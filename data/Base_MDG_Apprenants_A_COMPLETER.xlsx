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li Basisa\Desktop\SDA_MDG_PROJET\data\"/>
    </mc:Choice>
  </mc:AlternateContent>
  <xr:revisionPtr revIDLastSave="0" documentId="13_ncr:1_{53EF84EE-F8C1-457A-ACBE-5BF1B31CD871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TDC" sheetId="5" r:id="rId1"/>
    <sheet name="BASE_DONNEES" sheetId="1" r:id="rId2"/>
    <sheet name="CLIENTS" sheetId="3" r:id="rId3"/>
    <sheet name="BDD Bruit" sheetId="2" r:id="rId4"/>
  </sheets>
  <definedNames>
    <definedName name="_xlnm._FilterDatabase" localSheetId="1" hidden="1">BASE_DONNEES!$A$1:$AO$1001</definedName>
  </definedNames>
  <calcPr calcId="191029"/>
  <pivotCaches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9" i="3" l="1"/>
  <c r="B20" i="3"/>
  <c r="B21" i="3"/>
  <c r="B22" i="3"/>
  <c r="B18" i="3"/>
  <c r="B9" i="3"/>
  <c r="B10" i="3"/>
  <c r="B11" i="3"/>
  <c r="B12" i="3"/>
  <c r="B13" i="3"/>
  <c r="B8" i="3"/>
  <c r="E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2" i="1"/>
  <c r="AL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K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914" i="1"/>
  <c r="AK915" i="1"/>
  <c r="AK916" i="1"/>
  <c r="AK917" i="1"/>
  <c r="AK918" i="1"/>
  <c r="AK919" i="1"/>
  <c r="AK920" i="1"/>
  <c r="AK921" i="1"/>
  <c r="AK922" i="1"/>
  <c r="AK923" i="1"/>
  <c r="AK924" i="1"/>
  <c r="AK925" i="1"/>
  <c r="AK926" i="1"/>
  <c r="AK927" i="1"/>
  <c r="AK928" i="1"/>
  <c r="AK929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948" i="1"/>
  <c r="AK949" i="1"/>
  <c r="AK950" i="1"/>
  <c r="AK951" i="1"/>
  <c r="AK952" i="1"/>
  <c r="AK953" i="1"/>
  <c r="AK954" i="1"/>
  <c r="AK955" i="1"/>
  <c r="AK956" i="1"/>
  <c r="AK957" i="1"/>
  <c r="AK958" i="1"/>
  <c r="AK959" i="1"/>
  <c r="AK960" i="1"/>
  <c r="AK961" i="1"/>
  <c r="AK962" i="1"/>
  <c r="AK963" i="1"/>
  <c r="AK964" i="1"/>
  <c r="AK965" i="1"/>
  <c r="AK966" i="1"/>
  <c r="AK967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985" i="1"/>
  <c r="AK986" i="1"/>
  <c r="AK987" i="1"/>
  <c r="AK988" i="1"/>
  <c r="AK989" i="1"/>
  <c r="AK990" i="1"/>
  <c r="AK991" i="1"/>
  <c r="AK992" i="1"/>
  <c r="AK993" i="1"/>
  <c r="AK994" i="1"/>
  <c r="AK995" i="1"/>
  <c r="AK996" i="1"/>
  <c r="AK997" i="1"/>
  <c r="AK998" i="1"/>
  <c r="AK999" i="1"/>
  <c r="AK1000" i="1"/>
  <c r="AK1001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E6" i="1"/>
  <c r="AE2" i="1"/>
  <c r="AE3" i="1"/>
  <c r="AE4" i="1"/>
  <c r="AE5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B3" i="1"/>
  <c r="AB4" i="1"/>
  <c r="AB5" i="1"/>
  <c r="AB6" i="1"/>
  <c r="AB7" i="1"/>
  <c r="AB8" i="1"/>
  <c r="AB9" i="1"/>
  <c r="AB10" i="1"/>
  <c r="AB11" i="1"/>
  <c r="AB12" i="1"/>
  <c r="AB13" i="1"/>
  <c r="AC13" i="1" s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C45" i="1" s="1"/>
  <c r="AB46" i="1"/>
  <c r="AB47" i="1"/>
  <c r="AB48" i="1"/>
  <c r="AB49" i="1"/>
  <c r="AC49" i="1" s="1"/>
  <c r="AB50" i="1"/>
  <c r="AB51" i="1"/>
  <c r="AB52" i="1"/>
  <c r="AC52" i="1" s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C77" i="1" s="1"/>
  <c r="AB78" i="1"/>
  <c r="AC78" i="1" s="1"/>
  <c r="AB79" i="1"/>
  <c r="AB80" i="1"/>
  <c r="AB81" i="1"/>
  <c r="AB82" i="1"/>
  <c r="AB83" i="1"/>
  <c r="AB84" i="1"/>
  <c r="AB85" i="1"/>
  <c r="AB86" i="1"/>
  <c r="AB87" i="1"/>
  <c r="AC87" i="1" s="1"/>
  <c r="AB88" i="1"/>
  <c r="AC88" i="1" s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C109" i="1" s="1"/>
  <c r="AB110" i="1"/>
  <c r="AC110" i="1" s="1"/>
  <c r="AB111" i="1"/>
  <c r="AB112" i="1"/>
  <c r="AB113" i="1"/>
  <c r="AB114" i="1"/>
  <c r="AB115" i="1"/>
  <c r="AC115" i="1" s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C133" i="1" s="1"/>
  <c r="AB134" i="1"/>
  <c r="AB135" i="1"/>
  <c r="AB136" i="1"/>
  <c r="AB137" i="1"/>
  <c r="AB138" i="1"/>
  <c r="AB139" i="1"/>
  <c r="AB140" i="1"/>
  <c r="AB141" i="1"/>
  <c r="AC141" i="1" s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C157" i="1" s="1"/>
  <c r="AB158" i="1"/>
  <c r="AB159" i="1"/>
  <c r="AB160" i="1"/>
  <c r="AB161" i="1"/>
  <c r="AB162" i="1"/>
  <c r="AB163" i="1"/>
  <c r="AB164" i="1"/>
  <c r="AB165" i="1"/>
  <c r="AB166" i="1"/>
  <c r="AB167" i="1"/>
  <c r="AB168" i="1"/>
  <c r="AC168" i="1" s="1"/>
  <c r="AB169" i="1"/>
  <c r="AB170" i="1"/>
  <c r="AB171" i="1"/>
  <c r="AB172" i="1"/>
  <c r="AB173" i="1"/>
  <c r="AB174" i="1"/>
  <c r="AC174" i="1" s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C188" i="1" s="1"/>
  <c r="AB189" i="1"/>
  <c r="AB190" i="1"/>
  <c r="AB191" i="1"/>
  <c r="AB192" i="1"/>
  <c r="AB193" i="1"/>
  <c r="AB194" i="1"/>
  <c r="AB195" i="1"/>
  <c r="AC195" i="1" s="1"/>
  <c r="AB196" i="1"/>
  <c r="AB197" i="1"/>
  <c r="AC197" i="1" s="1"/>
  <c r="AB198" i="1"/>
  <c r="AB199" i="1"/>
  <c r="AB200" i="1"/>
  <c r="AB201" i="1"/>
  <c r="AB202" i="1"/>
  <c r="AB203" i="1"/>
  <c r="AB204" i="1"/>
  <c r="AB205" i="1"/>
  <c r="AC205" i="1" s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C233" i="1" s="1"/>
  <c r="AB234" i="1"/>
  <c r="AB235" i="1"/>
  <c r="AB236" i="1"/>
  <c r="AB237" i="1"/>
  <c r="AB238" i="1"/>
  <c r="AB239" i="1"/>
  <c r="AB240" i="1"/>
  <c r="AC240" i="1" s="1"/>
  <c r="AB241" i="1"/>
  <c r="AB242" i="1"/>
  <c r="AB243" i="1"/>
  <c r="AB244" i="1"/>
  <c r="AB245" i="1"/>
  <c r="AB246" i="1"/>
  <c r="AB247" i="1"/>
  <c r="AC247" i="1" s="1"/>
  <c r="AB248" i="1"/>
  <c r="AB249" i="1"/>
  <c r="AC249" i="1" s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68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C287" i="1" s="1"/>
  <c r="AB288" i="1"/>
  <c r="AC288" i="1" s="1"/>
  <c r="AB289" i="1"/>
  <c r="AB290" i="1"/>
  <c r="AB291" i="1"/>
  <c r="AB292" i="1"/>
  <c r="AB293" i="1"/>
  <c r="AB294" i="1"/>
  <c r="AB295" i="1"/>
  <c r="AB296" i="1"/>
  <c r="AB297" i="1"/>
  <c r="AC297" i="1" s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C311" i="1" s="1"/>
  <c r="AB312" i="1"/>
  <c r="AB313" i="1"/>
  <c r="AC313" i="1" s="1"/>
  <c r="AB314" i="1"/>
  <c r="AB315" i="1"/>
  <c r="AC315" i="1" s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C361" i="1" s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C375" i="1" s="1"/>
  <c r="AB376" i="1"/>
  <c r="AB377" i="1"/>
  <c r="AC377" i="1" s="1"/>
  <c r="AB378" i="1"/>
  <c r="AB379" i="1"/>
  <c r="AB380" i="1"/>
  <c r="AB381" i="1"/>
  <c r="AC381" i="1" s="1"/>
  <c r="AD381" i="1" s="1"/>
  <c r="AO381" i="1" s="1"/>
  <c r="AB382" i="1"/>
  <c r="AC382" i="1" s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C425" i="1" s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C439" i="1" s="1"/>
  <c r="AB440" i="1"/>
  <c r="AB441" i="1"/>
  <c r="AC441" i="1" s="1"/>
  <c r="AB442" i="1"/>
  <c r="AB443" i="1"/>
  <c r="AB444" i="1"/>
  <c r="AB445" i="1"/>
  <c r="AC445" i="1" s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C463" i="1" s="1"/>
  <c r="AB464" i="1"/>
  <c r="AB465" i="1"/>
  <c r="AB466" i="1"/>
  <c r="AB467" i="1"/>
  <c r="AB468" i="1"/>
  <c r="AB469" i="1"/>
  <c r="AC469" i="1" s="1"/>
  <c r="AD469" i="1" s="1"/>
  <c r="AO469" i="1" s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C489" i="1" s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C503" i="1" s="1"/>
  <c r="AB504" i="1"/>
  <c r="AB505" i="1"/>
  <c r="AC505" i="1" s="1"/>
  <c r="AB506" i="1"/>
  <c r="AB507" i="1"/>
  <c r="AB508" i="1"/>
  <c r="AB509" i="1"/>
  <c r="AC509" i="1" s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C533" i="1" s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C550" i="1" s="1"/>
  <c r="AB551" i="1"/>
  <c r="AC551" i="1" s="1"/>
  <c r="AD551" i="1" s="1"/>
  <c r="AO551" i="1" s="1"/>
  <c r="AB552" i="1"/>
  <c r="AB553" i="1"/>
  <c r="AC553" i="1" s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C567" i="1" s="1"/>
  <c r="AB568" i="1"/>
  <c r="AB569" i="1"/>
  <c r="AC569" i="1" s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C589" i="1" s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C605" i="1" s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C617" i="1" s="1"/>
  <c r="AB618" i="1"/>
  <c r="AB619" i="1"/>
  <c r="AB620" i="1"/>
  <c r="AB621" i="1"/>
  <c r="AC621" i="1" s="1"/>
  <c r="AD621" i="1" s="1"/>
  <c r="AO621" i="1" s="1"/>
  <c r="AB622" i="1"/>
  <c r="AC622" i="1" s="1"/>
  <c r="AB623" i="1"/>
  <c r="AB624" i="1"/>
  <c r="AC624" i="1" s="1"/>
  <c r="AB625" i="1"/>
  <c r="AB626" i="1"/>
  <c r="AB627" i="1"/>
  <c r="AB628" i="1"/>
  <c r="AB629" i="1"/>
  <c r="AB630" i="1"/>
  <c r="AC630" i="1" s="1"/>
  <c r="AB631" i="1"/>
  <c r="AC631" i="1" s="1"/>
  <c r="AB632" i="1"/>
  <c r="AB633" i="1"/>
  <c r="AB634" i="1"/>
  <c r="AB635" i="1"/>
  <c r="AB636" i="1"/>
  <c r="AB637" i="1"/>
  <c r="AB638" i="1"/>
  <c r="AB639" i="1"/>
  <c r="AB640" i="1"/>
  <c r="AC640" i="1" s="1"/>
  <c r="AB641" i="1"/>
  <c r="AB642" i="1"/>
  <c r="AB643" i="1"/>
  <c r="AB644" i="1"/>
  <c r="AB645" i="1"/>
  <c r="AC645" i="1" s="1"/>
  <c r="AB646" i="1"/>
  <c r="AB647" i="1"/>
  <c r="AB648" i="1"/>
  <c r="AC648" i="1" s="1"/>
  <c r="AB649" i="1"/>
  <c r="AB650" i="1"/>
  <c r="AB651" i="1"/>
  <c r="AB652" i="1"/>
  <c r="AB653" i="1"/>
  <c r="AB654" i="1"/>
  <c r="AB655" i="1"/>
  <c r="AB656" i="1"/>
  <c r="AC656" i="1" s="1"/>
  <c r="AB657" i="1"/>
  <c r="AB658" i="1"/>
  <c r="AB659" i="1"/>
  <c r="AB660" i="1"/>
  <c r="AB661" i="1"/>
  <c r="AB662" i="1"/>
  <c r="AB663" i="1"/>
  <c r="AB664" i="1"/>
  <c r="AC664" i="1" s="1"/>
  <c r="AB665" i="1"/>
  <c r="AB666" i="1"/>
  <c r="AB667" i="1"/>
  <c r="AB668" i="1"/>
  <c r="AB669" i="1"/>
  <c r="AB670" i="1"/>
  <c r="AC670" i="1" s="1"/>
  <c r="AB671" i="1"/>
  <c r="AB672" i="1"/>
  <c r="AC672" i="1" s="1"/>
  <c r="AB673" i="1"/>
  <c r="AB674" i="1"/>
  <c r="AB675" i="1"/>
  <c r="AB676" i="1"/>
  <c r="AB677" i="1"/>
  <c r="AB678" i="1"/>
  <c r="AB679" i="1"/>
  <c r="AB680" i="1"/>
  <c r="AC680" i="1" s="1"/>
  <c r="AB681" i="1"/>
  <c r="AB682" i="1"/>
  <c r="AB683" i="1"/>
  <c r="AB684" i="1"/>
  <c r="AB685" i="1"/>
  <c r="AC685" i="1" s="1"/>
  <c r="AD685" i="1" s="1"/>
  <c r="AO685" i="1" s="1"/>
  <c r="AB686" i="1"/>
  <c r="AC686" i="1" s="1"/>
  <c r="AB687" i="1"/>
  <c r="AB688" i="1"/>
  <c r="AC688" i="1" s="1"/>
  <c r="AB689" i="1"/>
  <c r="AB690" i="1"/>
  <c r="AB691" i="1"/>
  <c r="AB692" i="1"/>
  <c r="AC692" i="1" s="1"/>
  <c r="AB693" i="1"/>
  <c r="AC693" i="1" s="1"/>
  <c r="AB694" i="1"/>
  <c r="AB695" i="1"/>
  <c r="AB696" i="1"/>
  <c r="AC696" i="1" s="1"/>
  <c r="AB697" i="1"/>
  <c r="AB698" i="1"/>
  <c r="AC698" i="1" s="1"/>
  <c r="AB699" i="1"/>
  <c r="AB700" i="1"/>
  <c r="AB701" i="1"/>
  <c r="AB702" i="1"/>
  <c r="AC702" i="1" s="1"/>
  <c r="AB703" i="1"/>
  <c r="AC703" i="1" s="1"/>
  <c r="AB704" i="1"/>
  <c r="AB705" i="1"/>
  <c r="AB706" i="1"/>
  <c r="AB707" i="1"/>
  <c r="AB708" i="1"/>
  <c r="AB709" i="1"/>
  <c r="AB710" i="1"/>
  <c r="AB711" i="1"/>
  <c r="AC711" i="1" s="1"/>
  <c r="AB712" i="1"/>
  <c r="AC712" i="1" s="1"/>
  <c r="AB713" i="1"/>
  <c r="AB714" i="1"/>
  <c r="AC714" i="1" s="1"/>
  <c r="AB715" i="1"/>
  <c r="AB716" i="1"/>
  <c r="AB717" i="1"/>
  <c r="AB718" i="1"/>
  <c r="AB719" i="1"/>
  <c r="AB720" i="1"/>
  <c r="AC720" i="1" s="1"/>
  <c r="AB721" i="1"/>
  <c r="AB722" i="1"/>
  <c r="AB723" i="1"/>
  <c r="AB724" i="1"/>
  <c r="AB725" i="1"/>
  <c r="AB726" i="1"/>
  <c r="AB727" i="1"/>
  <c r="AB728" i="1"/>
  <c r="AC728" i="1" s="1"/>
  <c r="AB729" i="1"/>
  <c r="AB730" i="1"/>
  <c r="AC730" i="1" s="1"/>
  <c r="AB731" i="1"/>
  <c r="AB732" i="1"/>
  <c r="AB733" i="1"/>
  <c r="AB734" i="1"/>
  <c r="AB735" i="1"/>
  <c r="AB736" i="1"/>
  <c r="AC736" i="1" s="1"/>
  <c r="AB737" i="1"/>
  <c r="AB738" i="1"/>
  <c r="AC738" i="1" s="1"/>
  <c r="AB739" i="1"/>
  <c r="AB740" i="1"/>
  <c r="AC740" i="1" s="1"/>
  <c r="AB741" i="1"/>
  <c r="AB742" i="1"/>
  <c r="AC742" i="1" s="1"/>
  <c r="AB743" i="1"/>
  <c r="AC743" i="1" s="1"/>
  <c r="AB744" i="1"/>
  <c r="AC744" i="1" s="1"/>
  <c r="AB745" i="1"/>
  <c r="AB746" i="1"/>
  <c r="AC746" i="1" s="1"/>
  <c r="AB747" i="1"/>
  <c r="AB748" i="1"/>
  <c r="AC748" i="1" s="1"/>
  <c r="AB749" i="1"/>
  <c r="AC749" i="1" s="1"/>
  <c r="AB750" i="1"/>
  <c r="AB751" i="1"/>
  <c r="AB752" i="1"/>
  <c r="AC752" i="1" s="1"/>
  <c r="AB753" i="1"/>
  <c r="AB754" i="1"/>
  <c r="AB755" i="1"/>
  <c r="AB756" i="1"/>
  <c r="AC756" i="1" s="1"/>
  <c r="AB757" i="1"/>
  <c r="AB758" i="1"/>
  <c r="AB759" i="1"/>
  <c r="AB760" i="1"/>
  <c r="AC760" i="1" s="1"/>
  <c r="AB761" i="1"/>
  <c r="AB762" i="1"/>
  <c r="AC762" i="1" s="1"/>
  <c r="AB763" i="1"/>
  <c r="AB764" i="1"/>
  <c r="AB765" i="1"/>
  <c r="AB766" i="1"/>
  <c r="AC766" i="1" s="1"/>
  <c r="AB767" i="1"/>
  <c r="AC767" i="1" s="1"/>
  <c r="AB768" i="1"/>
  <c r="AB769" i="1"/>
  <c r="AB770" i="1"/>
  <c r="AB771" i="1"/>
  <c r="AB772" i="1"/>
  <c r="AB773" i="1"/>
  <c r="AB774" i="1"/>
  <c r="AB775" i="1"/>
  <c r="AC775" i="1" s="1"/>
  <c r="AB776" i="1"/>
  <c r="AC776" i="1" s="1"/>
  <c r="AB777" i="1"/>
  <c r="AB778" i="1"/>
  <c r="AC778" i="1" s="1"/>
  <c r="AB779" i="1"/>
  <c r="AB780" i="1"/>
  <c r="AB781" i="1"/>
  <c r="AC781" i="1" s="1"/>
  <c r="AB782" i="1"/>
  <c r="AB783" i="1"/>
  <c r="AB784" i="1"/>
  <c r="AC784" i="1" s="1"/>
  <c r="AB785" i="1"/>
  <c r="AB786" i="1"/>
  <c r="AB787" i="1"/>
  <c r="AB788" i="1"/>
  <c r="AB789" i="1"/>
  <c r="AB790" i="1"/>
  <c r="AB791" i="1"/>
  <c r="AB792" i="1"/>
  <c r="AC792" i="1" s="1"/>
  <c r="AB793" i="1"/>
  <c r="AC793" i="1" s="1"/>
  <c r="AB794" i="1"/>
  <c r="AC794" i="1" s="1"/>
  <c r="AB795" i="1"/>
  <c r="AB796" i="1"/>
  <c r="AB797" i="1"/>
  <c r="AB798" i="1"/>
  <c r="AB799" i="1"/>
  <c r="AB800" i="1"/>
  <c r="AC800" i="1" s="1"/>
  <c r="AB801" i="1"/>
  <c r="AB802" i="1"/>
  <c r="AC802" i="1" s="1"/>
  <c r="AB803" i="1"/>
  <c r="AB804" i="1"/>
  <c r="AC804" i="1" s="1"/>
  <c r="AB805" i="1"/>
  <c r="AB806" i="1"/>
  <c r="AB807" i="1"/>
  <c r="AB808" i="1"/>
  <c r="AC808" i="1" s="1"/>
  <c r="AB809" i="1"/>
  <c r="AB810" i="1"/>
  <c r="AC810" i="1" s="1"/>
  <c r="AB811" i="1"/>
  <c r="AB812" i="1"/>
  <c r="AC812" i="1" s="1"/>
  <c r="AB813" i="1"/>
  <c r="AB814" i="1"/>
  <c r="AB815" i="1"/>
  <c r="AB816" i="1"/>
  <c r="AC816" i="1" s="1"/>
  <c r="AB817" i="1"/>
  <c r="AB818" i="1"/>
  <c r="AC818" i="1" s="1"/>
  <c r="AB819" i="1"/>
  <c r="AB820" i="1"/>
  <c r="AC820" i="1" s="1"/>
  <c r="AB821" i="1"/>
  <c r="AB822" i="1"/>
  <c r="AB823" i="1"/>
  <c r="AB824" i="1"/>
  <c r="AC824" i="1" s="1"/>
  <c r="AB825" i="1"/>
  <c r="AB826" i="1"/>
  <c r="AC826" i="1" s="1"/>
  <c r="AB827" i="1"/>
  <c r="AC827" i="1" s="1"/>
  <c r="AB828" i="1"/>
  <c r="AB829" i="1"/>
  <c r="AC829" i="1" s="1"/>
  <c r="AB830" i="1"/>
  <c r="AC830" i="1" s="1"/>
  <c r="AB831" i="1"/>
  <c r="AB832" i="1"/>
  <c r="AC832" i="1" s="1"/>
  <c r="AB833" i="1"/>
  <c r="AB834" i="1"/>
  <c r="AC834" i="1" s="1"/>
  <c r="AB835" i="1"/>
  <c r="AC835" i="1" s="1"/>
  <c r="AB836" i="1"/>
  <c r="AC836" i="1" s="1"/>
  <c r="AB837" i="1"/>
  <c r="AB838" i="1"/>
  <c r="AC838" i="1" s="1"/>
  <c r="AD838" i="1" s="1"/>
  <c r="AO838" i="1" s="1"/>
  <c r="AB839" i="1"/>
  <c r="AB840" i="1"/>
  <c r="AC840" i="1" s="1"/>
  <c r="AB841" i="1"/>
  <c r="AB842" i="1"/>
  <c r="AC842" i="1" s="1"/>
  <c r="AB843" i="1"/>
  <c r="AC843" i="1" s="1"/>
  <c r="AB844" i="1"/>
  <c r="AC844" i="1" s="1"/>
  <c r="AB845" i="1"/>
  <c r="AB846" i="1"/>
  <c r="AB847" i="1"/>
  <c r="AB848" i="1"/>
  <c r="AC848" i="1" s="1"/>
  <c r="AB849" i="1"/>
  <c r="AB850" i="1"/>
  <c r="AC850" i="1" s="1"/>
  <c r="AB851" i="1"/>
  <c r="AC851" i="1" s="1"/>
  <c r="AB852" i="1"/>
  <c r="AC852" i="1" s="1"/>
  <c r="AB853" i="1"/>
  <c r="AB854" i="1"/>
  <c r="AB855" i="1"/>
  <c r="AB856" i="1"/>
  <c r="AC856" i="1" s="1"/>
  <c r="AB857" i="1"/>
  <c r="AB858" i="1"/>
  <c r="AB859" i="1"/>
  <c r="AC859" i="1" s="1"/>
  <c r="AB860" i="1"/>
  <c r="AC860" i="1" s="1"/>
  <c r="AB861" i="1"/>
  <c r="AC861" i="1" s="1"/>
  <c r="AB862" i="1"/>
  <c r="AC862" i="1" s="1"/>
  <c r="AB863" i="1"/>
  <c r="AB864" i="1"/>
  <c r="AC864" i="1" s="1"/>
  <c r="AB865" i="1"/>
  <c r="AB866" i="1"/>
  <c r="AC866" i="1" s="1"/>
  <c r="AB867" i="1"/>
  <c r="AC867" i="1" s="1"/>
  <c r="AB868" i="1"/>
  <c r="AB869" i="1"/>
  <c r="AC869" i="1" s="1"/>
  <c r="AB870" i="1"/>
  <c r="AC870" i="1" s="1"/>
  <c r="AB871" i="1"/>
  <c r="AB872" i="1"/>
  <c r="AC872" i="1" s="1"/>
  <c r="AB873" i="1"/>
  <c r="AB874" i="1"/>
  <c r="AC874" i="1" s="1"/>
  <c r="AB875" i="1"/>
  <c r="AC875" i="1" s="1"/>
  <c r="AB876" i="1"/>
  <c r="AC876" i="1" s="1"/>
  <c r="AD876" i="1" s="1"/>
  <c r="AO876" i="1" s="1"/>
  <c r="AB877" i="1"/>
  <c r="AC877" i="1" s="1"/>
  <c r="AB878" i="1"/>
  <c r="AB879" i="1"/>
  <c r="AB880" i="1"/>
  <c r="AC880" i="1" s="1"/>
  <c r="AB881" i="1"/>
  <c r="AB882" i="1"/>
  <c r="AC882" i="1" s="1"/>
  <c r="AB883" i="1"/>
  <c r="AC883" i="1" s="1"/>
  <c r="AB884" i="1"/>
  <c r="AC884" i="1" s="1"/>
  <c r="AB885" i="1"/>
  <c r="AC885" i="1" s="1"/>
  <c r="AB886" i="1"/>
  <c r="AB887" i="1"/>
  <c r="AB888" i="1"/>
  <c r="AC888" i="1" s="1"/>
  <c r="AB889" i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B896" i="1"/>
  <c r="AC896" i="1" s="1"/>
  <c r="AB897" i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B904" i="1"/>
  <c r="AC904" i="1" s="1"/>
  <c r="AB905" i="1"/>
  <c r="AB906" i="1"/>
  <c r="AC906" i="1" s="1"/>
  <c r="AB907" i="1"/>
  <c r="AC907" i="1" s="1"/>
  <c r="AB908" i="1"/>
  <c r="AC908" i="1" s="1"/>
  <c r="AB909" i="1"/>
  <c r="AB910" i="1"/>
  <c r="AB911" i="1"/>
  <c r="AB912" i="1"/>
  <c r="AC912" i="1" s="1"/>
  <c r="AD912" i="1" s="1"/>
  <c r="AO912" i="1" s="1"/>
  <c r="AB913" i="1"/>
  <c r="AC913" i="1" s="1"/>
  <c r="AB914" i="1"/>
  <c r="AC914" i="1" s="1"/>
  <c r="AB915" i="1"/>
  <c r="AC915" i="1" s="1"/>
  <c r="AB916" i="1"/>
  <c r="AC916" i="1" s="1"/>
  <c r="AB917" i="1"/>
  <c r="AB918" i="1"/>
  <c r="AB919" i="1"/>
  <c r="AB920" i="1"/>
  <c r="AC920" i="1" s="1"/>
  <c r="AB921" i="1"/>
  <c r="AB922" i="1"/>
  <c r="AB923" i="1"/>
  <c r="AC923" i="1" s="1"/>
  <c r="AB924" i="1"/>
  <c r="AC924" i="1" s="1"/>
  <c r="AB925" i="1"/>
  <c r="AC925" i="1" s="1"/>
  <c r="AB926" i="1"/>
  <c r="AC926" i="1" s="1"/>
  <c r="AB927" i="1"/>
  <c r="AB928" i="1"/>
  <c r="AC928" i="1" s="1"/>
  <c r="AB929" i="1"/>
  <c r="AB930" i="1"/>
  <c r="AB931" i="1"/>
  <c r="AC931" i="1" s="1"/>
  <c r="AB932" i="1"/>
  <c r="AB933" i="1"/>
  <c r="AC933" i="1" s="1"/>
  <c r="AB934" i="1"/>
  <c r="AC934" i="1" s="1"/>
  <c r="AB935" i="1"/>
  <c r="AB936" i="1"/>
  <c r="AC936" i="1" s="1"/>
  <c r="AB937" i="1"/>
  <c r="AB938" i="1"/>
  <c r="AC938" i="1" s="1"/>
  <c r="AB939" i="1"/>
  <c r="AC939" i="1" s="1"/>
  <c r="AB940" i="1"/>
  <c r="AB941" i="1"/>
  <c r="AB942" i="1"/>
  <c r="AC942" i="1" s="1"/>
  <c r="AB943" i="1"/>
  <c r="AB944" i="1"/>
  <c r="AC944" i="1" s="1"/>
  <c r="AB945" i="1"/>
  <c r="AB946" i="1"/>
  <c r="AC946" i="1" s="1"/>
  <c r="AB947" i="1"/>
  <c r="AC947" i="1" s="1"/>
  <c r="AB948" i="1"/>
  <c r="AC948" i="1" s="1"/>
  <c r="AB949" i="1"/>
  <c r="AC949" i="1" s="1"/>
  <c r="AB950" i="1"/>
  <c r="AC950" i="1" s="1"/>
  <c r="AD950" i="1" s="1"/>
  <c r="AO950" i="1" s="1"/>
  <c r="AB951" i="1"/>
  <c r="AB952" i="1"/>
  <c r="AC952" i="1" s="1"/>
  <c r="AB953" i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B960" i="1"/>
  <c r="AC960" i="1" s="1"/>
  <c r="AB961" i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B968" i="1"/>
  <c r="AC968" i="1" s="1"/>
  <c r="AB969" i="1"/>
  <c r="AB970" i="1"/>
  <c r="AC970" i="1" s="1"/>
  <c r="AB971" i="1"/>
  <c r="AC971" i="1" s="1"/>
  <c r="AB972" i="1"/>
  <c r="AC972" i="1" s="1"/>
  <c r="AB973" i="1"/>
  <c r="AB974" i="1"/>
  <c r="AB975" i="1"/>
  <c r="AB976" i="1"/>
  <c r="AC976" i="1" s="1"/>
  <c r="AB977" i="1"/>
  <c r="AB978" i="1"/>
  <c r="AC978" i="1" s="1"/>
  <c r="AB979" i="1"/>
  <c r="AC979" i="1" s="1"/>
  <c r="AB980" i="1"/>
  <c r="AC980" i="1" s="1"/>
  <c r="AB981" i="1"/>
  <c r="AC981" i="1" s="1"/>
  <c r="AB982" i="1"/>
  <c r="AC982" i="1" s="1"/>
  <c r="AD982" i="1" s="1"/>
  <c r="AO982" i="1" s="1"/>
  <c r="AB983" i="1"/>
  <c r="AB984" i="1"/>
  <c r="AC984" i="1" s="1"/>
  <c r="AB985" i="1"/>
  <c r="AB986" i="1"/>
  <c r="AC986" i="1" s="1"/>
  <c r="AB987" i="1"/>
  <c r="AC987" i="1" s="1"/>
  <c r="AB988" i="1"/>
  <c r="AB989" i="1"/>
  <c r="AC989" i="1" s="1"/>
  <c r="AB990" i="1"/>
  <c r="AC990" i="1" s="1"/>
  <c r="AB991" i="1"/>
  <c r="AB992" i="1"/>
  <c r="AC992" i="1" s="1"/>
  <c r="AB993" i="1"/>
  <c r="AB994" i="1"/>
  <c r="AC994" i="1" s="1"/>
  <c r="AB995" i="1"/>
  <c r="AC995" i="1" s="1"/>
  <c r="AB996" i="1"/>
  <c r="AB997" i="1"/>
  <c r="AC997" i="1" s="1"/>
  <c r="AB998" i="1"/>
  <c r="AC998" i="1" s="1"/>
  <c r="AB999" i="1"/>
  <c r="AB1000" i="1"/>
  <c r="AC1000" i="1" s="1"/>
  <c r="AB1001" i="1"/>
  <c r="AB2" i="1"/>
  <c r="C11" i="3" l="1"/>
  <c r="C12" i="3"/>
  <c r="C10" i="3"/>
  <c r="C9" i="3"/>
  <c r="C8" i="3"/>
  <c r="C13" i="3"/>
  <c r="C18" i="3"/>
  <c r="C22" i="3"/>
  <c r="C21" i="3"/>
  <c r="C20" i="3"/>
  <c r="C19" i="3"/>
  <c r="AF982" i="1"/>
  <c r="AG982" i="1" s="1"/>
  <c r="AF950" i="1"/>
  <c r="AG950" i="1" s="1"/>
  <c r="AF876" i="1"/>
  <c r="AG876" i="1" s="1"/>
  <c r="AF551" i="1"/>
  <c r="AG551" i="1" s="1"/>
  <c r="AF685" i="1"/>
  <c r="AG685" i="1" s="1"/>
  <c r="AF621" i="1"/>
  <c r="AG621" i="1" s="1"/>
  <c r="AF469" i="1"/>
  <c r="AG469" i="1" s="1"/>
  <c r="AF381" i="1"/>
  <c r="AG381" i="1" s="1"/>
  <c r="AF838" i="1"/>
  <c r="AG838" i="1" s="1"/>
  <c r="AF912" i="1"/>
  <c r="AG912" i="1" s="1"/>
  <c r="AD188" i="1"/>
  <c r="AD794" i="1"/>
  <c r="AD622" i="1"/>
  <c r="AD141" i="1"/>
  <c r="AC669" i="1"/>
  <c r="AD669" i="1" s="1"/>
  <c r="AD288" i="1"/>
  <c r="AC757" i="1"/>
  <c r="AD757" i="1" s="1"/>
  <c r="AD195" i="1"/>
  <c r="AD730" i="1"/>
  <c r="AD88" i="1"/>
  <c r="AC1001" i="1"/>
  <c r="AD1001" i="1" s="1"/>
  <c r="AC993" i="1"/>
  <c r="AD993" i="1" s="1"/>
  <c r="AC985" i="1"/>
  <c r="AD985" i="1" s="1"/>
  <c r="AC977" i="1"/>
  <c r="AD977" i="1" s="1"/>
  <c r="AC969" i="1"/>
  <c r="AD969" i="1" s="1"/>
  <c r="AC961" i="1"/>
  <c r="AD961" i="1" s="1"/>
  <c r="AC953" i="1"/>
  <c r="AD953" i="1" s="1"/>
  <c r="AC945" i="1"/>
  <c r="AD945" i="1" s="1"/>
  <c r="AC937" i="1"/>
  <c r="AD937" i="1" s="1"/>
  <c r="AC929" i="1"/>
  <c r="AD929" i="1" s="1"/>
  <c r="AC921" i="1"/>
  <c r="AD921" i="1" s="1"/>
  <c r="AC905" i="1"/>
  <c r="AD905" i="1" s="1"/>
  <c r="AC897" i="1"/>
  <c r="AD897" i="1" s="1"/>
  <c r="AC889" i="1"/>
  <c r="AD889" i="1" s="1"/>
  <c r="AC881" i="1"/>
  <c r="AD881" i="1" s="1"/>
  <c r="AC873" i="1"/>
  <c r="AD873" i="1" s="1"/>
  <c r="AC865" i="1"/>
  <c r="AD865" i="1" s="1"/>
  <c r="AC857" i="1"/>
  <c r="AD857" i="1" s="1"/>
  <c r="AC849" i="1"/>
  <c r="AD849" i="1" s="1"/>
  <c r="AC841" i="1"/>
  <c r="AD841" i="1" s="1"/>
  <c r="AC833" i="1"/>
  <c r="AD833" i="1" s="1"/>
  <c r="AC825" i="1"/>
  <c r="AD825" i="1" s="1"/>
  <c r="AC817" i="1"/>
  <c r="AD817" i="1" s="1"/>
  <c r="AC809" i="1"/>
  <c r="AD809" i="1" s="1"/>
  <c r="AC801" i="1"/>
  <c r="AD801" i="1" s="1"/>
  <c r="AC777" i="1"/>
  <c r="AD777" i="1" s="1"/>
  <c r="AC769" i="1"/>
  <c r="AD769" i="1" s="1"/>
  <c r="AC761" i="1"/>
  <c r="AD761" i="1" s="1"/>
  <c r="AC753" i="1"/>
  <c r="AD753" i="1" s="1"/>
  <c r="AC745" i="1"/>
  <c r="AD745" i="1" s="1"/>
  <c r="AC737" i="1"/>
  <c r="AD737" i="1" s="1"/>
  <c r="AC713" i="1"/>
  <c r="AD713" i="1" s="1"/>
  <c r="AC705" i="1"/>
  <c r="AD705" i="1" s="1"/>
  <c r="AC697" i="1"/>
  <c r="AD697" i="1" s="1"/>
  <c r="AC689" i="1"/>
  <c r="AD689" i="1" s="1"/>
  <c r="AC673" i="1"/>
  <c r="AD673" i="1" s="1"/>
  <c r="AC665" i="1"/>
  <c r="AD665" i="1" s="1"/>
  <c r="AC657" i="1"/>
  <c r="AD657" i="1" s="1"/>
  <c r="AC649" i="1"/>
  <c r="AD649" i="1" s="1"/>
  <c r="AC633" i="1"/>
  <c r="AD633" i="1" s="1"/>
  <c r="AC625" i="1"/>
  <c r="AD625" i="1" s="1"/>
  <c r="AD617" i="1"/>
  <c r="AC609" i="1"/>
  <c r="AD609" i="1" s="1"/>
  <c r="AC593" i="1"/>
  <c r="AD593" i="1" s="1"/>
  <c r="AC577" i="1"/>
  <c r="AD577" i="1" s="1"/>
  <c r="AD569" i="1"/>
  <c r="AC561" i="1"/>
  <c r="AD561" i="1" s="1"/>
  <c r="AD553" i="1"/>
  <c r="AC545" i="1"/>
  <c r="AD545" i="1" s="1"/>
  <c r="AC529" i="1"/>
  <c r="AD529" i="1" s="1"/>
  <c r="AC513" i="1"/>
  <c r="AD513" i="1" s="1"/>
  <c r="AD505" i="1"/>
  <c r="AC497" i="1"/>
  <c r="AD497" i="1" s="1"/>
  <c r="AD489" i="1"/>
  <c r="AC481" i="1"/>
  <c r="AD481" i="1" s="1"/>
  <c r="AC465" i="1"/>
  <c r="AD465" i="1" s="1"/>
  <c r="AC449" i="1"/>
  <c r="AD449" i="1" s="1"/>
  <c r="AD441" i="1"/>
  <c r="AC433" i="1"/>
  <c r="AD433" i="1" s="1"/>
  <c r="AD425" i="1"/>
  <c r="AC417" i="1"/>
  <c r="AD417" i="1" s="1"/>
  <c r="AC401" i="1"/>
  <c r="AD401" i="1" s="1"/>
  <c r="AC385" i="1"/>
  <c r="AD385" i="1" s="1"/>
  <c r="AD377" i="1"/>
  <c r="AC369" i="1"/>
  <c r="AD369" i="1" s="1"/>
  <c r="AD361" i="1"/>
  <c r="AC353" i="1"/>
  <c r="AD353" i="1" s="1"/>
  <c r="AC337" i="1"/>
  <c r="AD337" i="1" s="1"/>
  <c r="AC321" i="1"/>
  <c r="AD321" i="1" s="1"/>
  <c r="AD313" i="1"/>
  <c r="AC305" i="1"/>
  <c r="AD305" i="1" s="1"/>
  <c r="AD297" i="1"/>
  <c r="AC289" i="1"/>
  <c r="AD289" i="1" s="1"/>
  <c r="AC273" i="1"/>
  <c r="AD273" i="1" s="1"/>
  <c r="AC257" i="1"/>
  <c r="AD257" i="1" s="1"/>
  <c r="AD249" i="1"/>
  <c r="AC241" i="1"/>
  <c r="AD241" i="1" s="1"/>
  <c r="AD233" i="1"/>
  <c r="AC225" i="1"/>
  <c r="AD225" i="1" s="1"/>
  <c r="AC209" i="1"/>
  <c r="AD209" i="1" s="1"/>
  <c r="AC201" i="1"/>
  <c r="AD201" i="1" s="1"/>
  <c r="AC193" i="1"/>
  <c r="AD193" i="1" s="1"/>
  <c r="AC185" i="1"/>
  <c r="AD185" i="1" s="1"/>
  <c r="AC169" i="1"/>
  <c r="AD169" i="1" s="1"/>
  <c r="AC161" i="1"/>
  <c r="AD161" i="1" s="1"/>
  <c r="AC145" i="1"/>
  <c r="AD145" i="1" s="1"/>
  <c r="AC137" i="1"/>
  <c r="AD137" i="1" s="1"/>
  <c r="AC129" i="1"/>
  <c r="AD129" i="1" s="1"/>
  <c r="AC121" i="1"/>
  <c r="AD121" i="1" s="1"/>
  <c r="AC837" i="1"/>
  <c r="AD837" i="1" s="1"/>
  <c r="AC177" i="1"/>
  <c r="AD177" i="1" s="1"/>
  <c r="AD981" i="1"/>
  <c r="AD287" i="1"/>
  <c r="AC999" i="1"/>
  <c r="AD999" i="1" s="1"/>
  <c r="AC959" i="1"/>
  <c r="AD959" i="1" s="1"/>
  <c r="AC943" i="1"/>
  <c r="AD943" i="1" s="1"/>
  <c r="AC927" i="1"/>
  <c r="AD927" i="1" s="1"/>
  <c r="AC895" i="1"/>
  <c r="AD895" i="1" s="1"/>
  <c r="AC887" i="1"/>
  <c r="AD887" i="1" s="1"/>
  <c r="AC879" i="1"/>
  <c r="AD879" i="1" s="1"/>
  <c r="AC871" i="1"/>
  <c r="AD871" i="1" s="1"/>
  <c r="AC863" i="1"/>
  <c r="AD863" i="1" s="1"/>
  <c r="AC855" i="1"/>
  <c r="AD855" i="1" s="1"/>
  <c r="AC847" i="1"/>
  <c r="AD847" i="1" s="1"/>
  <c r="AC839" i="1"/>
  <c r="AD839" i="1" s="1"/>
  <c r="AC831" i="1"/>
  <c r="AD831" i="1" s="1"/>
  <c r="AC823" i="1"/>
  <c r="AD823" i="1" s="1"/>
  <c r="AC815" i="1"/>
  <c r="AD815" i="1" s="1"/>
  <c r="AC807" i="1"/>
  <c r="AD807" i="1" s="1"/>
  <c r="AC799" i="1"/>
  <c r="AD799" i="1" s="1"/>
  <c r="AC791" i="1"/>
  <c r="AD791" i="1" s="1"/>
  <c r="AC783" i="1"/>
  <c r="AD783" i="1" s="1"/>
  <c r="AC759" i="1"/>
  <c r="AD759" i="1" s="1"/>
  <c r="AC735" i="1"/>
  <c r="AD735" i="1" s="1"/>
  <c r="AC727" i="1"/>
  <c r="AD727" i="1" s="1"/>
  <c r="AC719" i="1"/>
  <c r="AD719" i="1" s="1"/>
  <c r="AD711" i="1"/>
  <c r="AD703" i="1"/>
  <c r="AC695" i="1"/>
  <c r="AD695" i="1" s="1"/>
  <c r="AC687" i="1"/>
  <c r="AD687" i="1" s="1"/>
  <c r="AC679" i="1"/>
  <c r="AD679" i="1" s="1"/>
  <c r="AC671" i="1"/>
  <c r="AD671" i="1" s="1"/>
  <c r="AC663" i="1"/>
  <c r="AD663" i="1" s="1"/>
  <c r="AC647" i="1"/>
  <c r="AD647" i="1" s="1"/>
  <c r="AC639" i="1"/>
  <c r="AD639" i="1" s="1"/>
  <c r="AD631" i="1"/>
  <c r="AC623" i="1"/>
  <c r="AD623" i="1" s="1"/>
  <c r="AC607" i="1"/>
  <c r="AD607" i="1" s="1"/>
  <c r="AC591" i="1"/>
  <c r="AD591" i="1" s="1"/>
  <c r="AC575" i="1"/>
  <c r="AD575" i="1" s="1"/>
  <c r="AD567" i="1"/>
  <c r="AC559" i="1"/>
  <c r="AD559" i="1" s="1"/>
  <c r="AC543" i="1"/>
  <c r="AD543" i="1" s="1"/>
  <c r="AC527" i="1"/>
  <c r="AD527" i="1" s="1"/>
  <c r="AC511" i="1"/>
  <c r="AD511" i="1" s="1"/>
  <c r="AD503" i="1"/>
  <c r="AC495" i="1"/>
  <c r="AD495" i="1" s="1"/>
  <c r="AC479" i="1"/>
  <c r="AD479" i="1" s="1"/>
  <c r="AC447" i="1"/>
  <c r="AD447" i="1" s="1"/>
  <c r="AD439" i="1"/>
  <c r="AC431" i="1"/>
  <c r="AD431" i="1" s="1"/>
  <c r="AC415" i="1"/>
  <c r="AD415" i="1" s="1"/>
  <c r="AC399" i="1"/>
  <c r="AD399" i="1" s="1"/>
  <c r="AC383" i="1"/>
  <c r="AD383" i="1" s="1"/>
  <c r="AD375" i="1"/>
  <c r="AC367" i="1"/>
  <c r="AD367" i="1" s="1"/>
  <c r="AC351" i="1"/>
  <c r="AD351" i="1" s="1"/>
  <c r="AC335" i="1"/>
  <c r="AD335" i="1" s="1"/>
  <c r="AC319" i="1"/>
  <c r="AD319" i="1" s="1"/>
  <c r="AD311" i="1"/>
  <c r="AC303" i="1"/>
  <c r="AD303" i="1" s="1"/>
  <c r="AC271" i="1"/>
  <c r="AD271" i="1" s="1"/>
  <c r="AC255" i="1"/>
  <c r="AD255" i="1" s="1"/>
  <c r="AD247" i="1"/>
  <c r="AC239" i="1"/>
  <c r="AD239" i="1" s="1"/>
  <c r="AC223" i="1"/>
  <c r="AD223" i="1" s="1"/>
  <c r="AC207" i="1"/>
  <c r="AD207" i="1" s="1"/>
  <c r="AC199" i="1"/>
  <c r="AD199" i="1" s="1"/>
  <c r="AC191" i="1"/>
  <c r="AD191" i="1" s="1"/>
  <c r="AC183" i="1"/>
  <c r="AD183" i="1" s="1"/>
  <c r="AC175" i="1"/>
  <c r="AD175" i="1" s="1"/>
  <c r="AC167" i="1"/>
  <c r="AD167" i="1" s="1"/>
  <c r="AC159" i="1"/>
  <c r="AD159" i="1" s="1"/>
  <c r="AC151" i="1"/>
  <c r="AD151" i="1" s="1"/>
  <c r="AC143" i="1"/>
  <c r="AD143" i="1" s="1"/>
  <c r="AC135" i="1"/>
  <c r="AD135" i="1" s="1"/>
  <c r="AC127" i="1"/>
  <c r="AD127" i="1" s="1"/>
  <c r="AC119" i="1"/>
  <c r="AD119" i="1" s="1"/>
  <c r="AC111" i="1"/>
  <c r="AD111" i="1" s="1"/>
  <c r="AC103" i="1"/>
  <c r="AD103" i="1" s="1"/>
  <c r="AC95" i="1"/>
  <c r="AD95" i="1" s="1"/>
  <c r="AC79" i="1"/>
  <c r="AD79" i="1" s="1"/>
  <c r="AC71" i="1"/>
  <c r="AD71" i="1" s="1"/>
  <c r="AC63" i="1"/>
  <c r="AD63" i="1" s="1"/>
  <c r="AC55" i="1"/>
  <c r="AD55" i="1" s="1"/>
  <c r="AC47" i="1"/>
  <c r="AD47" i="1" s="1"/>
  <c r="AC39" i="1"/>
  <c r="AD39" i="1" s="1"/>
  <c r="AC31" i="1"/>
  <c r="AD31" i="1" s="1"/>
  <c r="AC23" i="1"/>
  <c r="AD23" i="1" s="1"/>
  <c r="AC15" i="1"/>
  <c r="AD15" i="1" s="1"/>
  <c r="AC7" i="1"/>
  <c r="AD7" i="1" s="1"/>
  <c r="AC615" i="1"/>
  <c r="AD615" i="1" s="1"/>
  <c r="AC487" i="1"/>
  <c r="AD487" i="1" s="1"/>
  <c r="AC423" i="1"/>
  <c r="AD423" i="1" s="1"/>
  <c r="AC359" i="1"/>
  <c r="AD359" i="1" s="1"/>
  <c r="AC295" i="1"/>
  <c r="AD295" i="1" s="1"/>
  <c r="AC231" i="1"/>
  <c r="AD231" i="1" s="1"/>
  <c r="AD949" i="1"/>
  <c r="AD793" i="1"/>
  <c r="AD550" i="1"/>
  <c r="AC983" i="1"/>
  <c r="AD983" i="1" s="1"/>
  <c r="AC919" i="1"/>
  <c r="AD919" i="1" s="1"/>
  <c r="AD767" i="1"/>
  <c r="AD998" i="1"/>
  <c r="AD990" i="1"/>
  <c r="AD966" i="1"/>
  <c r="AD934" i="1"/>
  <c r="AD926" i="1"/>
  <c r="AD902" i="1"/>
  <c r="AD894" i="1"/>
  <c r="AD870" i="1"/>
  <c r="AD862" i="1"/>
  <c r="AD830" i="1"/>
  <c r="AC814" i="1"/>
  <c r="AD814" i="1" s="1"/>
  <c r="AC806" i="1"/>
  <c r="AD806" i="1" s="1"/>
  <c r="AC798" i="1"/>
  <c r="AD798" i="1" s="1"/>
  <c r="AC790" i="1"/>
  <c r="AD790" i="1" s="1"/>
  <c r="AC782" i="1"/>
  <c r="AD782" i="1" s="1"/>
  <c r="AC774" i="1"/>
  <c r="AD774" i="1" s="1"/>
  <c r="AD766" i="1"/>
  <c r="AC750" i="1"/>
  <c r="AD750" i="1" s="1"/>
  <c r="AC734" i="1"/>
  <c r="AD734" i="1" s="1"/>
  <c r="AC726" i="1"/>
  <c r="AD726" i="1" s="1"/>
  <c r="AC718" i="1"/>
  <c r="AD718" i="1" s="1"/>
  <c r="AC710" i="1"/>
  <c r="AD710" i="1" s="1"/>
  <c r="AD702" i="1"/>
  <c r="AC678" i="1"/>
  <c r="AD678" i="1" s="1"/>
  <c r="AD670" i="1"/>
  <c r="AC662" i="1"/>
  <c r="AD662" i="1" s="1"/>
  <c r="AC654" i="1"/>
  <c r="AD654" i="1" s="1"/>
  <c r="AC646" i="1"/>
  <c r="AD646" i="1" s="1"/>
  <c r="AC638" i="1"/>
  <c r="AD638" i="1" s="1"/>
  <c r="AD630" i="1"/>
  <c r="AC614" i="1"/>
  <c r="AD614" i="1" s="1"/>
  <c r="AC606" i="1"/>
  <c r="AD606" i="1" s="1"/>
  <c r="AC598" i="1"/>
  <c r="AD598" i="1" s="1"/>
  <c r="AC590" i="1"/>
  <c r="AD590" i="1" s="1"/>
  <c r="AC582" i="1"/>
  <c r="AD582" i="1" s="1"/>
  <c r="AC574" i="1"/>
  <c r="AD574" i="1" s="1"/>
  <c r="AC566" i="1"/>
  <c r="AD566" i="1" s="1"/>
  <c r="AC558" i="1"/>
  <c r="AD558" i="1" s="1"/>
  <c r="AC542" i="1"/>
  <c r="AD542" i="1" s="1"/>
  <c r="AC534" i="1"/>
  <c r="AD534" i="1" s="1"/>
  <c r="AC526" i="1"/>
  <c r="AD526" i="1" s="1"/>
  <c r="AC518" i="1"/>
  <c r="AD518" i="1" s="1"/>
  <c r="AC510" i="1"/>
  <c r="AD510" i="1" s="1"/>
  <c r="AC502" i="1"/>
  <c r="AD502" i="1" s="1"/>
  <c r="AC494" i="1"/>
  <c r="AD494" i="1" s="1"/>
  <c r="AC486" i="1"/>
  <c r="AD486" i="1" s="1"/>
  <c r="AC478" i="1"/>
  <c r="AD478" i="1" s="1"/>
  <c r="AC470" i="1"/>
  <c r="AD470" i="1" s="1"/>
  <c r="AC462" i="1"/>
  <c r="AD462" i="1" s="1"/>
  <c r="AC454" i="1"/>
  <c r="AD454" i="1" s="1"/>
  <c r="AC446" i="1"/>
  <c r="AD446" i="1" s="1"/>
  <c r="AC438" i="1"/>
  <c r="AD438" i="1" s="1"/>
  <c r="AC430" i="1"/>
  <c r="AD430" i="1" s="1"/>
  <c r="AC422" i="1"/>
  <c r="AD422" i="1" s="1"/>
  <c r="AC414" i="1"/>
  <c r="AD414" i="1" s="1"/>
  <c r="AC406" i="1"/>
  <c r="AD406" i="1" s="1"/>
  <c r="AC398" i="1"/>
  <c r="AD398" i="1" s="1"/>
  <c r="AC390" i="1"/>
  <c r="AD390" i="1" s="1"/>
  <c r="AC374" i="1"/>
  <c r="AD374" i="1" s="1"/>
  <c r="AC366" i="1"/>
  <c r="AD366" i="1" s="1"/>
  <c r="AC358" i="1"/>
  <c r="AD358" i="1" s="1"/>
  <c r="AC350" i="1"/>
  <c r="AD350" i="1" s="1"/>
  <c r="AC342" i="1"/>
  <c r="AD342" i="1" s="1"/>
  <c r="AC334" i="1"/>
  <c r="AD334" i="1" s="1"/>
  <c r="AC326" i="1"/>
  <c r="AD326" i="1" s="1"/>
  <c r="AC318" i="1"/>
  <c r="AD318" i="1" s="1"/>
  <c r="AC310" i="1"/>
  <c r="AD310" i="1" s="1"/>
  <c r="AC302" i="1"/>
  <c r="AD302" i="1" s="1"/>
  <c r="AC294" i="1"/>
  <c r="AD294" i="1" s="1"/>
  <c r="AC286" i="1"/>
  <c r="AD286" i="1" s="1"/>
  <c r="AC278" i="1"/>
  <c r="AD278" i="1" s="1"/>
  <c r="AC270" i="1"/>
  <c r="AD270" i="1" s="1"/>
  <c r="AC262" i="1"/>
  <c r="AD262" i="1" s="1"/>
  <c r="AC254" i="1"/>
  <c r="AD254" i="1" s="1"/>
  <c r="AC246" i="1"/>
  <c r="AD246" i="1" s="1"/>
  <c r="AC238" i="1"/>
  <c r="AD238" i="1" s="1"/>
  <c r="AC230" i="1"/>
  <c r="AD230" i="1" s="1"/>
  <c r="AC222" i="1"/>
  <c r="AD222" i="1" s="1"/>
  <c r="AC214" i="1"/>
  <c r="AD214" i="1" s="1"/>
  <c r="AC206" i="1"/>
  <c r="AD206" i="1" s="1"/>
  <c r="AC190" i="1"/>
  <c r="AD190" i="1" s="1"/>
  <c r="AC182" i="1"/>
  <c r="AD182" i="1" s="1"/>
  <c r="AD174" i="1"/>
  <c r="AC166" i="1"/>
  <c r="AD166" i="1" s="1"/>
  <c r="AC158" i="1"/>
  <c r="AD158" i="1" s="1"/>
  <c r="AC150" i="1"/>
  <c r="AD150" i="1" s="1"/>
  <c r="AC142" i="1"/>
  <c r="AD142" i="1" s="1"/>
  <c r="AC126" i="1"/>
  <c r="AD126" i="1" s="1"/>
  <c r="AC118" i="1"/>
  <c r="AD118" i="1" s="1"/>
  <c r="AD110" i="1"/>
  <c r="AC102" i="1"/>
  <c r="AD102" i="1" s="1"/>
  <c r="AC94" i="1"/>
  <c r="AD94" i="1" s="1"/>
  <c r="AC86" i="1"/>
  <c r="AD86" i="1" s="1"/>
  <c r="AD78" i="1"/>
  <c r="AC70" i="1"/>
  <c r="AD70" i="1" s="1"/>
  <c r="AC62" i="1"/>
  <c r="AD62" i="1" s="1"/>
  <c r="AC54" i="1"/>
  <c r="AD54" i="1" s="1"/>
  <c r="AC38" i="1"/>
  <c r="AD38" i="1" s="1"/>
  <c r="AC30" i="1"/>
  <c r="AD30" i="1" s="1"/>
  <c r="AC22" i="1"/>
  <c r="AD22" i="1" s="1"/>
  <c r="AC6" i="1"/>
  <c r="AD6" i="1" s="1"/>
  <c r="AC918" i="1"/>
  <c r="AD918" i="1" s="1"/>
  <c r="AC886" i="1"/>
  <c r="AD886" i="1" s="1"/>
  <c r="AC854" i="1"/>
  <c r="AD854" i="1" s="1"/>
  <c r="AC729" i="1"/>
  <c r="AD729" i="1" s="1"/>
  <c r="AC601" i="1"/>
  <c r="AD601" i="1" s="1"/>
  <c r="AC537" i="1"/>
  <c r="AD537" i="1" s="1"/>
  <c r="AC473" i="1"/>
  <c r="AD473" i="1" s="1"/>
  <c r="AC409" i="1"/>
  <c r="AD409" i="1" s="1"/>
  <c r="AC345" i="1"/>
  <c r="AD345" i="1" s="1"/>
  <c r="AC281" i="1"/>
  <c r="AD281" i="1" s="1"/>
  <c r="AC217" i="1"/>
  <c r="AD217" i="1" s="1"/>
  <c r="AC153" i="1"/>
  <c r="AD153" i="1" s="1"/>
  <c r="AC46" i="1"/>
  <c r="AD46" i="1" s="1"/>
  <c r="AD913" i="1"/>
  <c r="AD743" i="1"/>
  <c r="AC967" i="1"/>
  <c r="AD967" i="1" s="1"/>
  <c r="AC935" i="1"/>
  <c r="AD935" i="1" s="1"/>
  <c r="AD958" i="1"/>
  <c r="AD997" i="1"/>
  <c r="AD989" i="1"/>
  <c r="AD965" i="1"/>
  <c r="AD957" i="1"/>
  <c r="AD933" i="1"/>
  <c r="AD925" i="1"/>
  <c r="AD901" i="1"/>
  <c r="AD893" i="1"/>
  <c r="AD869" i="1"/>
  <c r="AD861" i="1"/>
  <c r="AD829" i="1"/>
  <c r="AC805" i="1"/>
  <c r="AD805" i="1" s="1"/>
  <c r="AC797" i="1"/>
  <c r="AD797" i="1" s="1"/>
  <c r="AC917" i="1"/>
  <c r="AD917" i="1" s="1"/>
  <c r="AC853" i="1"/>
  <c r="AD853" i="1" s="1"/>
  <c r="AC822" i="1"/>
  <c r="AD822" i="1" s="1"/>
  <c r="AC785" i="1"/>
  <c r="AD785" i="1" s="1"/>
  <c r="AC758" i="1"/>
  <c r="AD758" i="1" s="1"/>
  <c r="AC721" i="1"/>
  <c r="AD721" i="1" s="1"/>
  <c r="AC694" i="1"/>
  <c r="AD694" i="1" s="1"/>
  <c r="AC655" i="1"/>
  <c r="AD655" i="1" s="1"/>
  <c r="AC599" i="1"/>
  <c r="AD599" i="1" s="1"/>
  <c r="AC535" i="1"/>
  <c r="AD535" i="1" s="1"/>
  <c r="AC471" i="1"/>
  <c r="AD471" i="1" s="1"/>
  <c r="AC407" i="1"/>
  <c r="AD407" i="1" s="1"/>
  <c r="AC343" i="1"/>
  <c r="AD343" i="1" s="1"/>
  <c r="AC279" i="1"/>
  <c r="AD279" i="1" s="1"/>
  <c r="AC215" i="1"/>
  <c r="AD215" i="1" s="1"/>
  <c r="AD742" i="1"/>
  <c r="AD463" i="1"/>
  <c r="AD87" i="1"/>
  <c r="AC991" i="1"/>
  <c r="AD991" i="1" s="1"/>
  <c r="AC951" i="1"/>
  <c r="AD951" i="1" s="1"/>
  <c r="AC903" i="1"/>
  <c r="AD903" i="1" s="1"/>
  <c r="AC751" i="1"/>
  <c r="AD751" i="1" s="1"/>
  <c r="AC996" i="1"/>
  <c r="AD996" i="1" s="1"/>
  <c r="AC988" i="1"/>
  <c r="AD988" i="1" s="1"/>
  <c r="AC974" i="1"/>
  <c r="AD974" i="1" s="1"/>
  <c r="AC910" i="1"/>
  <c r="AD910" i="1" s="1"/>
  <c r="AC878" i="1"/>
  <c r="AD878" i="1" s="1"/>
  <c r="AC846" i="1"/>
  <c r="AD846" i="1" s="1"/>
  <c r="AC821" i="1"/>
  <c r="AD821" i="1" s="1"/>
  <c r="AC585" i="1"/>
  <c r="AD585" i="1" s="1"/>
  <c r="AC521" i="1"/>
  <c r="AD521" i="1" s="1"/>
  <c r="AC457" i="1"/>
  <c r="AD457" i="1" s="1"/>
  <c r="AC393" i="1"/>
  <c r="AD393" i="1" s="1"/>
  <c r="AC329" i="1"/>
  <c r="AD329" i="1" s="1"/>
  <c r="AC265" i="1"/>
  <c r="AD265" i="1" s="1"/>
  <c r="AC134" i="1"/>
  <c r="AD134" i="1" s="1"/>
  <c r="AC14" i="1"/>
  <c r="AD14" i="1" s="1"/>
  <c r="AD877" i="1"/>
  <c r="AD686" i="1"/>
  <c r="AD382" i="1"/>
  <c r="AC975" i="1"/>
  <c r="AD975" i="1" s="1"/>
  <c r="AC911" i="1"/>
  <c r="AD911" i="1" s="1"/>
  <c r="AD775" i="1"/>
  <c r="AD942" i="1"/>
  <c r="AD885" i="1"/>
  <c r="AC973" i="1"/>
  <c r="AD973" i="1" s="1"/>
  <c r="AC941" i="1"/>
  <c r="AD941" i="1" s="1"/>
  <c r="AC909" i="1"/>
  <c r="AD909" i="1" s="1"/>
  <c r="AC845" i="1"/>
  <c r="AD845" i="1" s="1"/>
  <c r="AC813" i="1"/>
  <c r="AD813" i="1" s="1"/>
  <c r="AC681" i="1"/>
  <c r="AD681" i="1" s="1"/>
  <c r="AC641" i="1"/>
  <c r="AD641" i="1" s="1"/>
  <c r="AC583" i="1"/>
  <c r="AD583" i="1" s="1"/>
  <c r="AC519" i="1"/>
  <c r="AD519" i="1" s="1"/>
  <c r="AC455" i="1"/>
  <c r="AD455" i="1" s="1"/>
  <c r="AC391" i="1"/>
  <c r="AD391" i="1" s="1"/>
  <c r="AC327" i="1"/>
  <c r="AD327" i="1" s="1"/>
  <c r="AC263" i="1"/>
  <c r="AD263" i="1" s="1"/>
  <c r="AC198" i="1"/>
  <c r="AD198" i="1" s="1"/>
  <c r="AD749" i="1"/>
  <c r="AD693" i="1"/>
  <c r="AD645" i="1"/>
  <c r="AD205" i="1"/>
  <c r="AD197" i="1"/>
  <c r="AD157" i="1"/>
  <c r="AD133" i="1"/>
  <c r="AD109" i="1"/>
  <c r="AD77" i="1"/>
  <c r="AD45" i="1"/>
  <c r="AD13" i="1"/>
  <c r="AC940" i="1"/>
  <c r="AD940" i="1" s="1"/>
  <c r="AC932" i="1"/>
  <c r="AD932" i="1" s="1"/>
  <c r="AC868" i="1"/>
  <c r="AD868" i="1" s="1"/>
  <c r="AC828" i="1"/>
  <c r="AD828" i="1" s="1"/>
  <c r="AC765" i="1"/>
  <c r="AD765" i="1" s="1"/>
  <c r="AC701" i="1"/>
  <c r="AD701" i="1" s="1"/>
  <c r="AC629" i="1"/>
  <c r="AD629" i="1" s="1"/>
  <c r="AC173" i="1"/>
  <c r="AD173" i="1" s="1"/>
  <c r="AD904" i="1"/>
  <c r="AD533" i="1"/>
  <c r="AD268" i="1"/>
  <c r="AD168" i="1"/>
  <c r="AD52" i="1"/>
  <c r="AD980" i="1"/>
  <c r="AD972" i="1"/>
  <c r="AD964" i="1"/>
  <c r="AD956" i="1"/>
  <c r="AD948" i="1"/>
  <c r="AD924" i="1"/>
  <c r="AD916" i="1"/>
  <c r="AD908" i="1"/>
  <c r="AD900" i="1"/>
  <c r="AD892" i="1"/>
  <c r="AD884" i="1"/>
  <c r="AD860" i="1"/>
  <c r="AD852" i="1"/>
  <c r="AD844" i="1"/>
  <c r="AD836" i="1"/>
  <c r="AD820" i="1"/>
  <c r="AD812" i="1"/>
  <c r="AD804" i="1"/>
  <c r="AD756" i="1"/>
  <c r="AD748" i="1"/>
  <c r="AD740" i="1"/>
  <c r="AD692" i="1"/>
  <c r="AC684" i="1"/>
  <c r="AD684" i="1" s="1"/>
  <c r="AC676" i="1"/>
  <c r="AD676" i="1" s="1"/>
  <c r="AC668" i="1"/>
  <c r="AD668" i="1" s="1"/>
  <c r="AC660" i="1"/>
  <c r="AD660" i="1" s="1"/>
  <c r="AC652" i="1"/>
  <c r="AD652" i="1" s="1"/>
  <c r="AC644" i="1"/>
  <c r="AD644" i="1" s="1"/>
  <c r="AC636" i="1"/>
  <c r="AD636" i="1" s="1"/>
  <c r="AC628" i="1"/>
  <c r="AD628" i="1" s="1"/>
  <c r="AC620" i="1"/>
  <c r="AD620" i="1" s="1"/>
  <c r="AC612" i="1"/>
  <c r="AD612" i="1" s="1"/>
  <c r="AC604" i="1"/>
  <c r="AD604" i="1" s="1"/>
  <c r="AC596" i="1"/>
  <c r="AD596" i="1" s="1"/>
  <c r="AC588" i="1"/>
  <c r="AD588" i="1" s="1"/>
  <c r="AC580" i="1"/>
  <c r="AD580" i="1" s="1"/>
  <c r="AC572" i="1"/>
  <c r="AD572" i="1" s="1"/>
  <c r="AC564" i="1"/>
  <c r="AD564" i="1" s="1"/>
  <c r="AC556" i="1"/>
  <c r="AD556" i="1" s="1"/>
  <c r="AC548" i="1"/>
  <c r="AD548" i="1" s="1"/>
  <c r="AC540" i="1"/>
  <c r="AD540" i="1" s="1"/>
  <c r="AC532" i="1"/>
  <c r="AD532" i="1" s="1"/>
  <c r="AC524" i="1"/>
  <c r="AD524" i="1" s="1"/>
  <c r="AC516" i="1"/>
  <c r="AD516" i="1" s="1"/>
  <c r="AC508" i="1"/>
  <c r="AD508" i="1" s="1"/>
  <c r="AC500" i="1"/>
  <c r="AD500" i="1" s="1"/>
  <c r="AC492" i="1"/>
  <c r="AD492" i="1" s="1"/>
  <c r="AC484" i="1"/>
  <c r="AD484" i="1" s="1"/>
  <c r="AC476" i="1"/>
  <c r="AD476" i="1" s="1"/>
  <c r="AC468" i="1"/>
  <c r="AD468" i="1" s="1"/>
  <c r="AC460" i="1"/>
  <c r="AD460" i="1" s="1"/>
  <c r="AC452" i="1"/>
  <c r="AD452" i="1" s="1"/>
  <c r="AC444" i="1"/>
  <c r="AD444" i="1" s="1"/>
  <c r="AC436" i="1"/>
  <c r="AD436" i="1" s="1"/>
  <c r="AC428" i="1"/>
  <c r="AD428" i="1" s="1"/>
  <c r="AC420" i="1"/>
  <c r="AD420" i="1" s="1"/>
  <c r="AC412" i="1"/>
  <c r="AD412" i="1" s="1"/>
  <c r="AC404" i="1"/>
  <c r="AD404" i="1" s="1"/>
  <c r="AC396" i="1"/>
  <c r="AD396" i="1" s="1"/>
  <c r="AC388" i="1"/>
  <c r="AD388" i="1" s="1"/>
  <c r="AC380" i="1"/>
  <c r="AD380" i="1" s="1"/>
  <c r="AC372" i="1"/>
  <c r="AD372" i="1" s="1"/>
  <c r="AC364" i="1"/>
  <c r="AD364" i="1" s="1"/>
  <c r="AC356" i="1"/>
  <c r="AD356" i="1" s="1"/>
  <c r="AC348" i="1"/>
  <c r="AD348" i="1" s="1"/>
  <c r="AC340" i="1"/>
  <c r="AD340" i="1" s="1"/>
  <c r="AC332" i="1"/>
  <c r="AD332" i="1" s="1"/>
  <c r="AC324" i="1"/>
  <c r="AD324" i="1" s="1"/>
  <c r="AC316" i="1"/>
  <c r="AD316" i="1" s="1"/>
  <c r="AC308" i="1"/>
  <c r="AD308" i="1" s="1"/>
  <c r="AC300" i="1"/>
  <c r="AD300" i="1" s="1"/>
  <c r="AC292" i="1"/>
  <c r="AD292" i="1" s="1"/>
  <c r="AC284" i="1"/>
  <c r="AD284" i="1" s="1"/>
  <c r="AC276" i="1"/>
  <c r="AD276" i="1" s="1"/>
  <c r="AC260" i="1"/>
  <c r="AD260" i="1" s="1"/>
  <c r="AC252" i="1"/>
  <c r="AD252" i="1" s="1"/>
  <c r="AC244" i="1"/>
  <c r="AD244" i="1" s="1"/>
  <c r="AC236" i="1"/>
  <c r="AD236" i="1" s="1"/>
  <c r="AC228" i="1"/>
  <c r="AD228" i="1" s="1"/>
  <c r="AC220" i="1"/>
  <c r="AD220" i="1" s="1"/>
  <c r="AC212" i="1"/>
  <c r="AD212" i="1" s="1"/>
  <c r="AC204" i="1"/>
  <c r="AD204" i="1" s="1"/>
  <c r="AC196" i="1"/>
  <c r="AD196" i="1" s="1"/>
  <c r="AC180" i="1"/>
  <c r="AD180" i="1" s="1"/>
  <c r="AC172" i="1"/>
  <c r="AD172" i="1" s="1"/>
  <c r="AC164" i="1"/>
  <c r="AD164" i="1" s="1"/>
  <c r="AC156" i="1"/>
  <c r="AD156" i="1" s="1"/>
  <c r="AC148" i="1"/>
  <c r="AD148" i="1" s="1"/>
  <c r="AC140" i="1"/>
  <c r="AD140" i="1" s="1"/>
  <c r="AC132" i="1"/>
  <c r="AD132" i="1" s="1"/>
  <c r="AC124" i="1"/>
  <c r="AD124" i="1" s="1"/>
  <c r="AC116" i="1"/>
  <c r="AD116" i="1" s="1"/>
  <c r="AC108" i="1"/>
  <c r="AD108" i="1" s="1"/>
  <c r="AC100" i="1"/>
  <c r="AD100" i="1" s="1"/>
  <c r="AC92" i="1"/>
  <c r="AD92" i="1" s="1"/>
  <c r="AC84" i="1"/>
  <c r="AD84" i="1" s="1"/>
  <c r="AC76" i="1"/>
  <c r="AD76" i="1" s="1"/>
  <c r="AC68" i="1"/>
  <c r="AD68" i="1" s="1"/>
  <c r="AC60" i="1"/>
  <c r="AD60" i="1" s="1"/>
  <c r="AC44" i="1"/>
  <c r="AD44" i="1" s="1"/>
  <c r="AC36" i="1"/>
  <c r="AD36" i="1" s="1"/>
  <c r="AC28" i="1"/>
  <c r="AD28" i="1" s="1"/>
  <c r="AC20" i="1"/>
  <c r="AD20" i="1" s="1"/>
  <c r="AC12" i="1"/>
  <c r="AD12" i="1" s="1"/>
  <c r="AC4" i="1"/>
  <c r="AD4" i="1" s="1"/>
  <c r="AC773" i="1"/>
  <c r="AD773" i="1" s="1"/>
  <c r="AC764" i="1"/>
  <c r="AD764" i="1" s="1"/>
  <c r="AC754" i="1"/>
  <c r="AD754" i="1" s="1"/>
  <c r="AC709" i="1"/>
  <c r="AD709" i="1" s="1"/>
  <c r="AC700" i="1"/>
  <c r="AD700" i="1" s="1"/>
  <c r="AC653" i="1"/>
  <c r="AD653" i="1" s="1"/>
  <c r="AC613" i="1"/>
  <c r="AD613" i="1" s="1"/>
  <c r="AC597" i="1"/>
  <c r="AD597" i="1" s="1"/>
  <c r="AC581" i="1"/>
  <c r="AD581" i="1" s="1"/>
  <c r="AC565" i="1"/>
  <c r="AD565" i="1" s="1"/>
  <c r="AC549" i="1"/>
  <c r="AD549" i="1" s="1"/>
  <c r="AC517" i="1"/>
  <c r="AD517" i="1" s="1"/>
  <c r="AC501" i="1"/>
  <c r="AD501" i="1" s="1"/>
  <c r="AC485" i="1"/>
  <c r="AD485" i="1" s="1"/>
  <c r="AC453" i="1"/>
  <c r="AD453" i="1" s="1"/>
  <c r="AC437" i="1"/>
  <c r="AD437" i="1" s="1"/>
  <c r="AC421" i="1"/>
  <c r="AD421" i="1" s="1"/>
  <c r="AC405" i="1"/>
  <c r="AD405" i="1" s="1"/>
  <c r="AC389" i="1"/>
  <c r="AD389" i="1" s="1"/>
  <c r="AC373" i="1"/>
  <c r="AD373" i="1" s="1"/>
  <c r="AC357" i="1"/>
  <c r="AD357" i="1" s="1"/>
  <c r="AC341" i="1"/>
  <c r="AD341" i="1" s="1"/>
  <c r="AC325" i="1"/>
  <c r="AD325" i="1" s="1"/>
  <c r="AC309" i="1"/>
  <c r="AD309" i="1" s="1"/>
  <c r="AC293" i="1"/>
  <c r="AD293" i="1" s="1"/>
  <c r="AC277" i="1"/>
  <c r="AD277" i="1" s="1"/>
  <c r="AC261" i="1"/>
  <c r="AD261" i="1" s="1"/>
  <c r="AC245" i="1"/>
  <c r="AD245" i="1" s="1"/>
  <c r="AC229" i="1"/>
  <c r="AD229" i="1" s="1"/>
  <c r="AC213" i="1"/>
  <c r="AD213" i="1" s="1"/>
  <c r="AC149" i="1"/>
  <c r="AD149" i="1" s="1"/>
  <c r="AC101" i="1"/>
  <c r="AD101" i="1" s="1"/>
  <c r="AC69" i="1"/>
  <c r="AD69" i="1" s="1"/>
  <c r="AC37" i="1"/>
  <c r="AD37" i="1" s="1"/>
  <c r="AC5" i="1"/>
  <c r="AD5" i="1" s="1"/>
  <c r="AD866" i="1"/>
  <c r="AD826" i="1"/>
  <c r="AD781" i="1"/>
  <c r="AD605" i="1"/>
  <c r="AD445" i="1"/>
  <c r="AD49" i="1"/>
  <c r="AD995" i="1"/>
  <c r="AD987" i="1"/>
  <c r="AD979" i="1"/>
  <c r="AD971" i="1"/>
  <c r="AD963" i="1"/>
  <c r="AD955" i="1"/>
  <c r="AD947" i="1"/>
  <c r="AD939" i="1"/>
  <c r="AD931" i="1"/>
  <c r="AD923" i="1"/>
  <c r="AD915" i="1"/>
  <c r="AD907" i="1"/>
  <c r="AD899" i="1"/>
  <c r="AD891" i="1"/>
  <c r="AD883" i="1"/>
  <c r="AD875" i="1"/>
  <c r="AD867" i="1"/>
  <c r="AD859" i="1"/>
  <c r="AD851" i="1"/>
  <c r="AD843" i="1"/>
  <c r="AD835" i="1"/>
  <c r="AD827" i="1"/>
  <c r="AC819" i="1"/>
  <c r="AD819" i="1" s="1"/>
  <c r="AC811" i="1"/>
  <c r="AD811" i="1" s="1"/>
  <c r="AC803" i="1"/>
  <c r="AD803" i="1" s="1"/>
  <c r="AC795" i="1"/>
  <c r="AD795" i="1" s="1"/>
  <c r="AC787" i="1"/>
  <c r="AD787" i="1" s="1"/>
  <c r="AC779" i="1"/>
  <c r="AD779" i="1" s="1"/>
  <c r="AC771" i="1"/>
  <c r="AD771" i="1" s="1"/>
  <c r="AC763" i="1"/>
  <c r="AD763" i="1" s="1"/>
  <c r="AC755" i="1"/>
  <c r="AD755" i="1" s="1"/>
  <c r="AC747" i="1"/>
  <c r="AD747" i="1" s="1"/>
  <c r="AC739" i="1"/>
  <c r="AD739" i="1" s="1"/>
  <c r="AC731" i="1"/>
  <c r="AD731" i="1" s="1"/>
  <c r="AC723" i="1"/>
  <c r="AD723" i="1" s="1"/>
  <c r="AC715" i="1"/>
  <c r="AD715" i="1" s="1"/>
  <c r="AC707" i="1"/>
  <c r="AD707" i="1" s="1"/>
  <c r="AC699" i="1"/>
  <c r="AD699" i="1" s="1"/>
  <c r="AC691" i="1"/>
  <c r="AD691" i="1" s="1"/>
  <c r="AC683" i="1"/>
  <c r="AD683" i="1" s="1"/>
  <c r="AC675" i="1"/>
  <c r="AD675" i="1" s="1"/>
  <c r="AC667" i="1"/>
  <c r="AD667" i="1" s="1"/>
  <c r="AC659" i="1"/>
  <c r="AD659" i="1" s="1"/>
  <c r="AC651" i="1"/>
  <c r="AD651" i="1" s="1"/>
  <c r="AC643" i="1"/>
  <c r="AD643" i="1" s="1"/>
  <c r="AC635" i="1"/>
  <c r="AD635" i="1" s="1"/>
  <c r="AC627" i="1"/>
  <c r="AD627" i="1" s="1"/>
  <c r="AC619" i="1"/>
  <c r="AD619" i="1" s="1"/>
  <c r="AC611" i="1"/>
  <c r="AD611" i="1" s="1"/>
  <c r="AC603" i="1"/>
  <c r="AD603" i="1" s="1"/>
  <c r="AC595" i="1"/>
  <c r="AD595" i="1" s="1"/>
  <c r="AC587" i="1"/>
  <c r="AD587" i="1" s="1"/>
  <c r="AC579" i="1"/>
  <c r="AD579" i="1" s="1"/>
  <c r="AC571" i="1"/>
  <c r="AD571" i="1" s="1"/>
  <c r="AC563" i="1"/>
  <c r="AD563" i="1" s="1"/>
  <c r="AC555" i="1"/>
  <c r="AD555" i="1" s="1"/>
  <c r="AC547" i="1"/>
  <c r="AD547" i="1" s="1"/>
  <c r="AC539" i="1"/>
  <c r="AD539" i="1" s="1"/>
  <c r="AC531" i="1"/>
  <c r="AD531" i="1" s="1"/>
  <c r="AC523" i="1"/>
  <c r="AD523" i="1" s="1"/>
  <c r="AC515" i="1"/>
  <c r="AD515" i="1" s="1"/>
  <c r="AC507" i="1"/>
  <c r="AD507" i="1" s="1"/>
  <c r="AC499" i="1"/>
  <c r="AD499" i="1" s="1"/>
  <c r="AC491" i="1"/>
  <c r="AD491" i="1" s="1"/>
  <c r="AC483" i="1"/>
  <c r="AD483" i="1" s="1"/>
  <c r="AC475" i="1"/>
  <c r="AD475" i="1" s="1"/>
  <c r="AC467" i="1"/>
  <c r="AD467" i="1" s="1"/>
  <c r="AC459" i="1"/>
  <c r="AD459" i="1" s="1"/>
  <c r="AC451" i="1"/>
  <c r="AD451" i="1" s="1"/>
  <c r="AC443" i="1"/>
  <c r="AD443" i="1" s="1"/>
  <c r="AC435" i="1"/>
  <c r="AD435" i="1" s="1"/>
  <c r="AC427" i="1"/>
  <c r="AD427" i="1" s="1"/>
  <c r="AC419" i="1"/>
  <c r="AD419" i="1" s="1"/>
  <c r="AC411" i="1"/>
  <c r="AD411" i="1" s="1"/>
  <c r="AC403" i="1"/>
  <c r="AD403" i="1" s="1"/>
  <c r="AC395" i="1"/>
  <c r="AD395" i="1" s="1"/>
  <c r="AC387" i="1"/>
  <c r="AD387" i="1" s="1"/>
  <c r="AC379" i="1"/>
  <c r="AD379" i="1" s="1"/>
  <c r="AC371" i="1"/>
  <c r="AD371" i="1" s="1"/>
  <c r="AC363" i="1"/>
  <c r="AD363" i="1" s="1"/>
  <c r="AC355" i="1"/>
  <c r="AD355" i="1" s="1"/>
  <c r="AC347" i="1"/>
  <c r="AD347" i="1" s="1"/>
  <c r="AC339" i="1"/>
  <c r="AD339" i="1" s="1"/>
  <c r="AC331" i="1"/>
  <c r="AD331" i="1" s="1"/>
  <c r="AC323" i="1"/>
  <c r="AD323" i="1" s="1"/>
  <c r="AC307" i="1"/>
  <c r="AD307" i="1" s="1"/>
  <c r="AC299" i="1"/>
  <c r="AD299" i="1" s="1"/>
  <c r="AC291" i="1"/>
  <c r="AD291" i="1" s="1"/>
  <c r="AC283" i="1"/>
  <c r="AD283" i="1" s="1"/>
  <c r="AC275" i="1"/>
  <c r="AD275" i="1" s="1"/>
  <c r="AC267" i="1"/>
  <c r="AD267" i="1" s="1"/>
  <c r="AC259" i="1"/>
  <c r="AD259" i="1" s="1"/>
  <c r="AC251" i="1"/>
  <c r="AD251" i="1" s="1"/>
  <c r="AC243" i="1"/>
  <c r="AD243" i="1" s="1"/>
  <c r="AC235" i="1"/>
  <c r="AD235" i="1" s="1"/>
  <c r="AC227" i="1"/>
  <c r="AD227" i="1" s="1"/>
  <c r="AC219" i="1"/>
  <c r="AD219" i="1" s="1"/>
  <c r="AC211" i="1"/>
  <c r="AD211" i="1" s="1"/>
  <c r="AC203" i="1"/>
  <c r="AD203" i="1" s="1"/>
  <c r="AC187" i="1"/>
  <c r="AD187" i="1" s="1"/>
  <c r="AC179" i="1"/>
  <c r="AD179" i="1" s="1"/>
  <c r="AC171" i="1"/>
  <c r="AD171" i="1" s="1"/>
  <c r="AC163" i="1"/>
  <c r="AD163" i="1" s="1"/>
  <c r="AC155" i="1"/>
  <c r="AD155" i="1" s="1"/>
  <c r="AC147" i="1"/>
  <c r="AD147" i="1" s="1"/>
  <c r="AC139" i="1"/>
  <c r="AD139" i="1" s="1"/>
  <c r="AC131" i="1"/>
  <c r="AD131" i="1" s="1"/>
  <c r="AC123" i="1"/>
  <c r="AD123" i="1" s="1"/>
  <c r="AC107" i="1"/>
  <c r="AD107" i="1" s="1"/>
  <c r="AC99" i="1"/>
  <c r="AD99" i="1" s="1"/>
  <c r="AC91" i="1"/>
  <c r="AD91" i="1" s="1"/>
  <c r="AC83" i="1"/>
  <c r="AD83" i="1" s="1"/>
  <c r="AC75" i="1"/>
  <c r="AD75" i="1" s="1"/>
  <c r="AC67" i="1"/>
  <c r="AD67" i="1" s="1"/>
  <c r="AC59" i="1"/>
  <c r="AD59" i="1" s="1"/>
  <c r="AC51" i="1"/>
  <c r="AD51" i="1" s="1"/>
  <c r="AC43" i="1"/>
  <c r="AD43" i="1" s="1"/>
  <c r="AC35" i="1"/>
  <c r="AD35" i="1" s="1"/>
  <c r="AC27" i="1"/>
  <c r="AD27" i="1" s="1"/>
  <c r="AC19" i="1"/>
  <c r="AD19" i="1" s="1"/>
  <c r="AC11" i="1"/>
  <c r="AD11" i="1" s="1"/>
  <c r="AC3" i="1"/>
  <c r="AD3" i="1" s="1"/>
  <c r="AC930" i="1"/>
  <c r="AD930" i="1" s="1"/>
  <c r="AC922" i="1"/>
  <c r="AD922" i="1" s="1"/>
  <c r="AC858" i="1"/>
  <c r="AD858" i="1" s="1"/>
  <c r="AC772" i="1"/>
  <c r="AD772" i="1" s="1"/>
  <c r="AC717" i="1"/>
  <c r="AD717" i="1" s="1"/>
  <c r="AC708" i="1"/>
  <c r="AD708" i="1" s="1"/>
  <c r="AC677" i="1"/>
  <c r="AD677" i="1" s="1"/>
  <c r="AC189" i="1"/>
  <c r="AD189" i="1" s="1"/>
  <c r="AC125" i="1"/>
  <c r="AD125" i="1" s="1"/>
  <c r="AC2" i="1"/>
  <c r="AD2" i="1" s="1"/>
  <c r="AD994" i="1"/>
  <c r="AD986" i="1"/>
  <c r="AD978" i="1"/>
  <c r="AD970" i="1"/>
  <c r="AD962" i="1"/>
  <c r="AD954" i="1"/>
  <c r="AD946" i="1"/>
  <c r="AD938" i="1"/>
  <c r="AD914" i="1"/>
  <c r="AD906" i="1"/>
  <c r="AD898" i="1"/>
  <c r="AD890" i="1"/>
  <c r="AD882" i="1"/>
  <c r="AD874" i="1"/>
  <c r="AD850" i="1"/>
  <c r="AD842" i="1"/>
  <c r="AD834" i="1"/>
  <c r="AD818" i="1"/>
  <c r="AD810" i="1"/>
  <c r="AD802" i="1"/>
  <c r="AD778" i="1"/>
  <c r="AD762" i="1"/>
  <c r="AD746" i="1"/>
  <c r="AD738" i="1"/>
  <c r="AD714" i="1"/>
  <c r="AD698" i="1"/>
  <c r="AC690" i="1"/>
  <c r="AD690" i="1" s="1"/>
  <c r="AC682" i="1"/>
  <c r="AD682" i="1" s="1"/>
  <c r="AC674" i="1"/>
  <c r="AD674" i="1" s="1"/>
  <c r="AC666" i="1"/>
  <c r="AD666" i="1" s="1"/>
  <c r="AC658" i="1"/>
  <c r="AD658" i="1" s="1"/>
  <c r="AC650" i="1"/>
  <c r="AD650" i="1" s="1"/>
  <c r="AC642" i="1"/>
  <c r="AD642" i="1" s="1"/>
  <c r="AC634" i="1"/>
  <c r="AD634" i="1" s="1"/>
  <c r="AC626" i="1"/>
  <c r="AD626" i="1" s="1"/>
  <c r="AC618" i="1"/>
  <c r="AD618" i="1" s="1"/>
  <c r="AC610" i="1"/>
  <c r="AD610" i="1" s="1"/>
  <c r="AC602" i="1"/>
  <c r="AD602" i="1" s="1"/>
  <c r="AC594" i="1"/>
  <c r="AD594" i="1" s="1"/>
  <c r="AC586" i="1"/>
  <c r="AD586" i="1" s="1"/>
  <c r="AC578" i="1"/>
  <c r="AD578" i="1" s="1"/>
  <c r="AC570" i="1"/>
  <c r="AD570" i="1" s="1"/>
  <c r="AC562" i="1"/>
  <c r="AD562" i="1" s="1"/>
  <c r="AC554" i="1"/>
  <c r="AD554" i="1" s="1"/>
  <c r="AC546" i="1"/>
  <c r="AD546" i="1" s="1"/>
  <c r="AC538" i="1"/>
  <c r="AD538" i="1" s="1"/>
  <c r="AC530" i="1"/>
  <c r="AD530" i="1" s="1"/>
  <c r="AC522" i="1"/>
  <c r="AD522" i="1" s="1"/>
  <c r="AC514" i="1"/>
  <c r="AD514" i="1" s="1"/>
  <c r="AC506" i="1"/>
  <c r="AD506" i="1" s="1"/>
  <c r="AC498" i="1"/>
  <c r="AD498" i="1" s="1"/>
  <c r="AC490" i="1"/>
  <c r="AD490" i="1" s="1"/>
  <c r="AC482" i="1"/>
  <c r="AD482" i="1" s="1"/>
  <c r="AC474" i="1"/>
  <c r="AD474" i="1" s="1"/>
  <c r="AC466" i="1"/>
  <c r="AD466" i="1" s="1"/>
  <c r="AC458" i="1"/>
  <c r="AD458" i="1" s="1"/>
  <c r="AC450" i="1"/>
  <c r="AD450" i="1" s="1"/>
  <c r="AC442" i="1"/>
  <c r="AD442" i="1" s="1"/>
  <c r="AC434" i="1"/>
  <c r="AD434" i="1" s="1"/>
  <c r="AC426" i="1"/>
  <c r="AD426" i="1" s="1"/>
  <c r="AC418" i="1"/>
  <c r="AD418" i="1" s="1"/>
  <c r="AC410" i="1"/>
  <c r="AD410" i="1" s="1"/>
  <c r="AC402" i="1"/>
  <c r="AD402" i="1" s="1"/>
  <c r="AC394" i="1"/>
  <c r="AD394" i="1" s="1"/>
  <c r="AC386" i="1"/>
  <c r="AD386" i="1" s="1"/>
  <c r="AC378" i="1"/>
  <c r="AD378" i="1" s="1"/>
  <c r="AC370" i="1"/>
  <c r="AD370" i="1" s="1"/>
  <c r="AC362" i="1"/>
  <c r="AD362" i="1" s="1"/>
  <c r="AC354" i="1"/>
  <c r="AD354" i="1" s="1"/>
  <c r="AC346" i="1"/>
  <c r="AD346" i="1" s="1"/>
  <c r="AC338" i="1"/>
  <c r="AD338" i="1" s="1"/>
  <c r="AC330" i="1"/>
  <c r="AD330" i="1" s="1"/>
  <c r="AC322" i="1"/>
  <c r="AD322" i="1" s="1"/>
  <c r="AC314" i="1"/>
  <c r="AD314" i="1" s="1"/>
  <c r="AC306" i="1"/>
  <c r="AD306" i="1" s="1"/>
  <c r="AC298" i="1"/>
  <c r="AD298" i="1" s="1"/>
  <c r="AC290" i="1"/>
  <c r="AD290" i="1" s="1"/>
  <c r="AC282" i="1"/>
  <c r="AD282" i="1" s="1"/>
  <c r="AC274" i="1"/>
  <c r="AD274" i="1" s="1"/>
  <c r="AC266" i="1"/>
  <c r="AD266" i="1" s="1"/>
  <c r="AC258" i="1"/>
  <c r="AD258" i="1" s="1"/>
  <c r="AC250" i="1"/>
  <c r="AD250" i="1" s="1"/>
  <c r="AC242" i="1"/>
  <c r="AD242" i="1" s="1"/>
  <c r="AC234" i="1"/>
  <c r="AD234" i="1" s="1"/>
  <c r="AC226" i="1"/>
  <c r="AD226" i="1" s="1"/>
  <c r="AC218" i="1"/>
  <c r="AD218" i="1" s="1"/>
  <c r="AC210" i="1"/>
  <c r="AD210" i="1" s="1"/>
  <c r="AC202" i="1"/>
  <c r="AD202" i="1" s="1"/>
  <c r="AC194" i="1"/>
  <c r="AD194" i="1" s="1"/>
  <c r="AC186" i="1"/>
  <c r="AD186" i="1" s="1"/>
  <c r="AC178" i="1"/>
  <c r="AD178" i="1" s="1"/>
  <c r="AC170" i="1"/>
  <c r="AD170" i="1" s="1"/>
  <c r="AC162" i="1"/>
  <c r="AD162" i="1" s="1"/>
  <c r="AC154" i="1"/>
  <c r="AD154" i="1" s="1"/>
  <c r="AC146" i="1"/>
  <c r="AD146" i="1" s="1"/>
  <c r="AC138" i="1"/>
  <c r="AD138" i="1" s="1"/>
  <c r="AC130" i="1"/>
  <c r="AD130" i="1" s="1"/>
  <c r="AC122" i="1"/>
  <c r="AD122" i="1" s="1"/>
  <c r="AC114" i="1"/>
  <c r="AD114" i="1" s="1"/>
  <c r="AC106" i="1"/>
  <c r="AD106" i="1" s="1"/>
  <c r="AC98" i="1"/>
  <c r="AD98" i="1" s="1"/>
  <c r="AC90" i="1"/>
  <c r="AD90" i="1" s="1"/>
  <c r="AC82" i="1"/>
  <c r="AD82" i="1" s="1"/>
  <c r="AC74" i="1"/>
  <c r="AD74" i="1" s="1"/>
  <c r="AC66" i="1"/>
  <c r="AD66" i="1" s="1"/>
  <c r="AC58" i="1"/>
  <c r="AD58" i="1" s="1"/>
  <c r="AC50" i="1"/>
  <c r="AD50" i="1" s="1"/>
  <c r="AC42" i="1"/>
  <c r="AD42" i="1" s="1"/>
  <c r="AC34" i="1"/>
  <c r="AD34" i="1" s="1"/>
  <c r="AC26" i="1"/>
  <c r="AD26" i="1" s="1"/>
  <c r="AC18" i="1"/>
  <c r="AD18" i="1" s="1"/>
  <c r="AC10" i="1"/>
  <c r="AD10" i="1" s="1"/>
  <c r="AC789" i="1"/>
  <c r="AD789" i="1" s="1"/>
  <c r="AC780" i="1"/>
  <c r="AD780" i="1" s="1"/>
  <c r="AC770" i="1"/>
  <c r="AD770" i="1" s="1"/>
  <c r="AC725" i="1"/>
  <c r="AD725" i="1" s="1"/>
  <c r="AC716" i="1"/>
  <c r="AD716" i="1" s="1"/>
  <c r="AC706" i="1"/>
  <c r="AD706" i="1" s="1"/>
  <c r="AC637" i="1"/>
  <c r="AD637" i="1" s="1"/>
  <c r="AC165" i="1"/>
  <c r="AD165" i="1" s="1"/>
  <c r="AC93" i="1"/>
  <c r="AD93" i="1" s="1"/>
  <c r="AC61" i="1"/>
  <c r="AD61" i="1" s="1"/>
  <c r="AC29" i="1"/>
  <c r="AD29" i="1" s="1"/>
  <c r="AD589" i="1"/>
  <c r="AD509" i="1"/>
  <c r="AD240" i="1"/>
  <c r="AC113" i="1"/>
  <c r="AD113" i="1" s="1"/>
  <c r="AC105" i="1"/>
  <c r="AD105" i="1" s="1"/>
  <c r="AC97" i="1"/>
  <c r="AD97" i="1" s="1"/>
  <c r="AC89" i="1"/>
  <c r="AD89" i="1" s="1"/>
  <c r="AC81" i="1"/>
  <c r="AD81" i="1" s="1"/>
  <c r="AC73" i="1"/>
  <c r="AD73" i="1" s="1"/>
  <c r="AC65" i="1"/>
  <c r="AD65" i="1" s="1"/>
  <c r="AC57" i="1"/>
  <c r="AD57" i="1" s="1"/>
  <c r="AC41" i="1"/>
  <c r="AD41" i="1" s="1"/>
  <c r="AC33" i="1"/>
  <c r="AD33" i="1" s="1"/>
  <c r="AC25" i="1"/>
  <c r="AD25" i="1" s="1"/>
  <c r="AC17" i="1"/>
  <c r="AD17" i="1" s="1"/>
  <c r="AC9" i="1"/>
  <c r="AD9" i="1" s="1"/>
  <c r="AC788" i="1"/>
  <c r="AD788" i="1" s="1"/>
  <c r="AC733" i="1"/>
  <c r="AD733" i="1" s="1"/>
  <c r="AC724" i="1"/>
  <c r="AD724" i="1" s="1"/>
  <c r="AC661" i="1"/>
  <c r="AD661" i="1" s="1"/>
  <c r="AD315" i="1"/>
  <c r="AD1000" i="1"/>
  <c r="AD992" i="1"/>
  <c r="AD984" i="1"/>
  <c r="AD976" i="1"/>
  <c r="AD968" i="1"/>
  <c r="AD960" i="1"/>
  <c r="AD952" i="1"/>
  <c r="AD944" i="1"/>
  <c r="AD936" i="1"/>
  <c r="AD928" i="1"/>
  <c r="AD920" i="1"/>
  <c r="AD896" i="1"/>
  <c r="AD888" i="1"/>
  <c r="AD880" i="1"/>
  <c r="AD872" i="1"/>
  <c r="AD864" i="1"/>
  <c r="AD856" i="1"/>
  <c r="AD848" i="1"/>
  <c r="AD840" i="1"/>
  <c r="AD832" i="1"/>
  <c r="AD824" i="1"/>
  <c r="AD816" i="1"/>
  <c r="AD808" i="1"/>
  <c r="AD800" i="1"/>
  <c r="AD792" i="1"/>
  <c r="AD784" i="1"/>
  <c r="AD776" i="1"/>
  <c r="AD760" i="1"/>
  <c r="AD752" i="1"/>
  <c r="AD744" i="1"/>
  <c r="AD736" i="1"/>
  <c r="AD728" i="1"/>
  <c r="AD720" i="1"/>
  <c r="AD712" i="1"/>
  <c r="AD696" i="1"/>
  <c r="AD688" i="1"/>
  <c r="AD680" i="1"/>
  <c r="AD672" i="1"/>
  <c r="AD664" i="1"/>
  <c r="AD656" i="1"/>
  <c r="AD648" i="1"/>
  <c r="AD640" i="1"/>
  <c r="AD624" i="1"/>
  <c r="AC616" i="1"/>
  <c r="AD616" i="1" s="1"/>
  <c r="AC608" i="1"/>
  <c r="AD608" i="1" s="1"/>
  <c r="AC600" i="1"/>
  <c r="AD600" i="1" s="1"/>
  <c r="AC592" i="1"/>
  <c r="AD592" i="1" s="1"/>
  <c r="AC584" i="1"/>
  <c r="AD584" i="1" s="1"/>
  <c r="AC576" i="1"/>
  <c r="AD576" i="1" s="1"/>
  <c r="AC568" i="1"/>
  <c r="AD568" i="1" s="1"/>
  <c r="AC560" i="1"/>
  <c r="AD560" i="1" s="1"/>
  <c r="AC552" i="1"/>
  <c r="AD552" i="1" s="1"/>
  <c r="AC544" i="1"/>
  <c r="AD544" i="1" s="1"/>
  <c r="AC536" i="1"/>
  <c r="AD536" i="1" s="1"/>
  <c r="AC528" i="1"/>
  <c r="AD528" i="1" s="1"/>
  <c r="AC520" i="1"/>
  <c r="AD520" i="1" s="1"/>
  <c r="AC512" i="1"/>
  <c r="AD512" i="1" s="1"/>
  <c r="AC504" i="1"/>
  <c r="AD504" i="1" s="1"/>
  <c r="AC496" i="1"/>
  <c r="AD496" i="1" s="1"/>
  <c r="AC488" i="1"/>
  <c r="AD488" i="1" s="1"/>
  <c r="AC480" i="1"/>
  <c r="AD480" i="1" s="1"/>
  <c r="AC472" i="1"/>
  <c r="AD472" i="1" s="1"/>
  <c r="AC464" i="1"/>
  <c r="AD464" i="1" s="1"/>
  <c r="AC456" i="1"/>
  <c r="AD456" i="1" s="1"/>
  <c r="AC448" i="1"/>
  <c r="AD448" i="1" s="1"/>
  <c r="AC440" i="1"/>
  <c r="AD440" i="1" s="1"/>
  <c r="AC432" i="1"/>
  <c r="AD432" i="1" s="1"/>
  <c r="AC424" i="1"/>
  <c r="AD424" i="1" s="1"/>
  <c r="AC416" i="1"/>
  <c r="AD416" i="1" s="1"/>
  <c r="AC408" i="1"/>
  <c r="AD408" i="1" s="1"/>
  <c r="AC400" i="1"/>
  <c r="AD400" i="1" s="1"/>
  <c r="AC392" i="1"/>
  <c r="AD392" i="1" s="1"/>
  <c r="AC384" i="1"/>
  <c r="AD384" i="1" s="1"/>
  <c r="AC376" i="1"/>
  <c r="AD376" i="1" s="1"/>
  <c r="AC368" i="1"/>
  <c r="AD368" i="1" s="1"/>
  <c r="AC360" i="1"/>
  <c r="AD360" i="1" s="1"/>
  <c r="AC352" i="1"/>
  <c r="AD352" i="1" s="1"/>
  <c r="AC344" i="1"/>
  <c r="AD344" i="1" s="1"/>
  <c r="AC336" i="1"/>
  <c r="AD336" i="1" s="1"/>
  <c r="AC328" i="1"/>
  <c r="AD328" i="1" s="1"/>
  <c r="AC320" i="1"/>
  <c r="AD320" i="1" s="1"/>
  <c r="AC312" i="1"/>
  <c r="AD312" i="1" s="1"/>
  <c r="AC304" i="1"/>
  <c r="AD304" i="1" s="1"/>
  <c r="AC296" i="1"/>
  <c r="AD296" i="1" s="1"/>
  <c r="AC280" i="1"/>
  <c r="AD280" i="1" s="1"/>
  <c r="AC272" i="1"/>
  <c r="AD272" i="1" s="1"/>
  <c r="AC264" i="1"/>
  <c r="AD264" i="1" s="1"/>
  <c r="AC256" i="1"/>
  <c r="AD256" i="1" s="1"/>
  <c r="AC248" i="1"/>
  <c r="AD248" i="1" s="1"/>
  <c r="AC232" i="1"/>
  <c r="AD232" i="1" s="1"/>
  <c r="AC224" i="1"/>
  <c r="AD224" i="1" s="1"/>
  <c r="AC216" i="1"/>
  <c r="AD216" i="1" s="1"/>
  <c r="AC208" i="1"/>
  <c r="AD208" i="1" s="1"/>
  <c r="AC200" i="1"/>
  <c r="AD200" i="1" s="1"/>
  <c r="AC192" i="1"/>
  <c r="AD192" i="1" s="1"/>
  <c r="AC184" i="1"/>
  <c r="AD184" i="1" s="1"/>
  <c r="AC176" i="1"/>
  <c r="AD176" i="1" s="1"/>
  <c r="AC160" i="1"/>
  <c r="AD160" i="1" s="1"/>
  <c r="AC152" i="1"/>
  <c r="AD152" i="1" s="1"/>
  <c r="AC144" i="1"/>
  <c r="AD144" i="1" s="1"/>
  <c r="AC136" i="1"/>
  <c r="AD136" i="1" s="1"/>
  <c r="AC128" i="1"/>
  <c r="AD128" i="1" s="1"/>
  <c r="AC120" i="1"/>
  <c r="AD120" i="1" s="1"/>
  <c r="AC112" i="1"/>
  <c r="AD112" i="1" s="1"/>
  <c r="AC104" i="1"/>
  <c r="AD104" i="1" s="1"/>
  <c r="AC96" i="1"/>
  <c r="AD96" i="1" s="1"/>
  <c r="AC80" i="1"/>
  <c r="AD80" i="1" s="1"/>
  <c r="AC72" i="1"/>
  <c r="AD72" i="1" s="1"/>
  <c r="AC64" i="1"/>
  <c r="AD64" i="1" s="1"/>
  <c r="AC56" i="1"/>
  <c r="AD56" i="1" s="1"/>
  <c r="AC48" i="1"/>
  <c r="AD48" i="1" s="1"/>
  <c r="AC40" i="1"/>
  <c r="AD40" i="1" s="1"/>
  <c r="AC32" i="1"/>
  <c r="AD32" i="1" s="1"/>
  <c r="AC24" i="1"/>
  <c r="AD24" i="1" s="1"/>
  <c r="AC16" i="1"/>
  <c r="AD16" i="1" s="1"/>
  <c r="AC8" i="1"/>
  <c r="AD8" i="1" s="1"/>
  <c r="AC796" i="1"/>
  <c r="AD796" i="1" s="1"/>
  <c r="AC786" i="1"/>
  <c r="AD786" i="1" s="1"/>
  <c r="AC768" i="1"/>
  <c r="AD768" i="1" s="1"/>
  <c r="AC741" i="1"/>
  <c r="AD741" i="1" s="1"/>
  <c r="AC732" i="1"/>
  <c r="AD732" i="1" s="1"/>
  <c r="AC722" i="1"/>
  <c r="AD722" i="1" s="1"/>
  <c r="AC704" i="1"/>
  <c r="AD704" i="1" s="1"/>
  <c r="AC632" i="1"/>
  <c r="AD632" i="1" s="1"/>
  <c r="AC573" i="1"/>
  <c r="AD573" i="1" s="1"/>
  <c r="AC557" i="1"/>
  <c r="AD557" i="1" s="1"/>
  <c r="AC541" i="1"/>
  <c r="AD541" i="1" s="1"/>
  <c r="AC525" i="1"/>
  <c r="AD525" i="1" s="1"/>
  <c r="AC493" i="1"/>
  <c r="AD493" i="1" s="1"/>
  <c r="AC477" i="1"/>
  <c r="AD477" i="1" s="1"/>
  <c r="AC461" i="1"/>
  <c r="AD461" i="1" s="1"/>
  <c r="AC429" i="1"/>
  <c r="AD429" i="1" s="1"/>
  <c r="AC413" i="1"/>
  <c r="AD413" i="1" s="1"/>
  <c r="AC397" i="1"/>
  <c r="AD397" i="1" s="1"/>
  <c r="AC365" i="1"/>
  <c r="AD365" i="1" s="1"/>
  <c r="AC349" i="1"/>
  <c r="AD349" i="1" s="1"/>
  <c r="AC333" i="1"/>
  <c r="AD333" i="1" s="1"/>
  <c r="AC317" i="1"/>
  <c r="AD317" i="1" s="1"/>
  <c r="AC301" i="1"/>
  <c r="AD301" i="1" s="1"/>
  <c r="AC285" i="1"/>
  <c r="AD285" i="1" s="1"/>
  <c r="AC269" i="1"/>
  <c r="AD269" i="1" s="1"/>
  <c r="AC253" i="1"/>
  <c r="AD253" i="1" s="1"/>
  <c r="AC237" i="1"/>
  <c r="AD237" i="1" s="1"/>
  <c r="AC221" i="1"/>
  <c r="AD221" i="1" s="1"/>
  <c r="AC181" i="1"/>
  <c r="AD181" i="1" s="1"/>
  <c r="AC117" i="1"/>
  <c r="AD117" i="1" s="1"/>
  <c r="AC85" i="1"/>
  <c r="AD85" i="1" s="1"/>
  <c r="AC53" i="1"/>
  <c r="AD53" i="1" s="1"/>
  <c r="AC21" i="1"/>
  <c r="AD21" i="1" s="1"/>
  <c r="AD115" i="1"/>
  <c r="AF253" i="1" l="1"/>
  <c r="AG253" i="1" s="1"/>
  <c r="AO253" i="1"/>
  <c r="AF672" i="1"/>
  <c r="AG672" i="1" s="1"/>
  <c r="AO672" i="1"/>
  <c r="AF282" i="1"/>
  <c r="AG282" i="1" s="1"/>
  <c r="AO282" i="1"/>
  <c r="AF67" i="1"/>
  <c r="AG67" i="1" s="1"/>
  <c r="AO67" i="1"/>
  <c r="AF731" i="1"/>
  <c r="AG731" i="1" s="1"/>
  <c r="AO731" i="1"/>
  <c r="AF44" i="1"/>
  <c r="AG44" i="1" s="1"/>
  <c r="AO44" i="1"/>
  <c r="AF644" i="1"/>
  <c r="AG644" i="1" s="1"/>
  <c r="AO644" i="1"/>
  <c r="AF686" i="1"/>
  <c r="AG686" i="1" s="1"/>
  <c r="AO686" i="1"/>
  <c r="AF102" i="1"/>
  <c r="AG102" i="1" s="1"/>
  <c r="AO102" i="1"/>
  <c r="AF814" i="1"/>
  <c r="AG814" i="1" s="1"/>
  <c r="AO814" i="1"/>
  <c r="AF439" i="1"/>
  <c r="AG439" i="1" s="1"/>
  <c r="AO439" i="1"/>
  <c r="AF977" i="1"/>
  <c r="AG977" i="1" s="1"/>
  <c r="AO977" i="1"/>
  <c r="AF269" i="1"/>
  <c r="AG269" i="1" s="1"/>
  <c r="AO269" i="1"/>
  <c r="AF413" i="1"/>
  <c r="AG413" i="1" s="1"/>
  <c r="AO413" i="1"/>
  <c r="AF796" i="1"/>
  <c r="AG796" i="1" s="1"/>
  <c r="AO796" i="1"/>
  <c r="AF64" i="1"/>
  <c r="AG64" i="1" s="1"/>
  <c r="AO64" i="1"/>
  <c r="AF208" i="1"/>
  <c r="AG208" i="1" s="1"/>
  <c r="AO208" i="1"/>
  <c r="AF280" i="1"/>
  <c r="AG280" i="1" s="1"/>
  <c r="AO280" i="1"/>
  <c r="AF352" i="1"/>
  <c r="AG352" i="1" s="1"/>
  <c r="AO352" i="1"/>
  <c r="AF416" i="1"/>
  <c r="AG416" i="1" s="1"/>
  <c r="AO416" i="1"/>
  <c r="AF480" i="1"/>
  <c r="AG480" i="1" s="1"/>
  <c r="AO480" i="1"/>
  <c r="AF544" i="1"/>
  <c r="AG544" i="1" s="1"/>
  <c r="AO544" i="1"/>
  <c r="AF608" i="1"/>
  <c r="AG608" i="1" s="1"/>
  <c r="AO608" i="1"/>
  <c r="AF680" i="1"/>
  <c r="AG680" i="1" s="1"/>
  <c r="AO680" i="1"/>
  <c r="AF752" i="1"/>
  <c r="AG752" i="1" s="1"/>
  <c r="AO752" i="1"/>
  <c r="AF824" i="1"/>
  <c r="AG824" i="1" s="1"/>
  <c r="AO824" i="1"/>
  <c r="AF888" i="1"/>
  <c r="AG888" i="1" s="1"/>
  <c r="AO888" i="1"/>
  <c r="AF968" i="1"/>
  <c r="AG968" i="1" s="1"/>
  <c r="AO968" i="1"/>
  <c r="AF733" i="1"/>
  <c r="AG733" i="1" s="1"/>
  <c r="AO733" i="1"/>
  <c r="AF65" i="1"/>
  <c r="AG65" i="1" s="1"/>
  <c r="AO65" i="1"/>
  <c r="AF509" i="1"/>
  <c r="AG509" i="1" s="1"/>
  <c r="AO509" i="1"/>
  <c r="AF716" i="1"/>
  <c r="AG716" i="1" s="1"/>
  <c r="AO716" i="1"/>
  <c r="AF34" i="1"/>
  <c r="AG34" i="1" s="1"/>
  <c r="AO34" i="1"/>
  <c r="AF98" i="1"/>
  <c r="AG98" i="1" s="1"/>
  <c r="AO98" i="1"/>
  <c r="AF162" i="1"/>
  <c r="AG162" i="1" s="1"/>
  <c r="AO162" i="1"/>
  <c r="AF226" i="1"/>
  <c r="AG226" i="1" s="1"/>
  <c r="AO226" i="1"/>
  <c r="AF290" i="1"/>
  <c r="AG290" i="1" s="1"/>
  <c r="AO290" i="1"/>
  <c r="AF354" i="1"/>
  <c r="AG354" i="1" s="1"/>
  <c r="AO354" i="1"/>
  <c r="AF418" i="1"/>
  <c r="AG418" i="1" s="1"/>
  <c r="AO418" i="1"/>
  <c r="AF482" i="1"/>
  <c r="AG482" i="1" s="1"/>
  <c r="AO482" i="1"/>
  <c r="AF546" i="1"/>
  <c r="AG546" i="1" s="1"/>
  <c r="AO546" i="1"/>
  <c r="AF610" i="1"/>
  <c r="AG610" i="1" s="1"/>
  <c r="AO610" i="1"/>
  <c r="AF674" i="1"/>
  <c r="AG674" i="1" s="1"/>
  <c r="AO674" i="1"/>
  <c r="AF778" i="1"/>
  <c r="AG778" i="1" s="1"/>
  <c r="AO778" i="1"/>
  <c r="AF882" i="1"/>
  <c r="AG882" i="1" s="1"/>
  <c r="AO882" i="1"/>
  <c r="AF962" i="1"/>
  <c r="AG962" i="1" s="1"/>
  <c r="AO962" i="1"/>
  <c r="AF677" i="1"/>
  <c r="AG677" i="1" s="1"/>
  <c r="AO677" i="1"/>
  <c r="AF11" i="1"/>
  <c r="AG11" i="1" s="1"/>
  <c r="AO11" i="1"/>
  <c r="AF75" i="1"/>
  <c r="AG75" i="1" s="1"/>
  <c r="AO75" i="1"/>
  <c r="AF147" i="1"/>
  <c r="AG147" i="1" s="1"/>
  <c r="AO147" i="1"/>
  <c r="AF219" i="1"/>
  <c r="AG219" i="1" s="1"/>
  <c r="AO219" i="1"/>
  <c r="AF283" i="1"/>
  <c r="AG283" i="1" s="1"/>
  <c r="AO283" i="1"/>
  <c r="AF355" i="1"/>
  <c r="AG355" i="1" s="1"/>
  <c r="AO355" i="1"/>
  <c r="AF419" i="1"/>
  <c r="AG419" i="1" s="1"/>
  <c r="AO419" i="1"/>
  <c r="AF483" i="1"/>
  <c r="AG483" i="1" s="1"/>
  <c r="AO483" i="1"/>
  <c r="AF547" i="1"/>
  <c r="AG547" i="1" s="1"/>
  <c r="AO547" i="1"/>
  <c r="AF611" i="1"/>
  <c r="AG611" i="1" s="1"/>
  <c r="AO611" i="1"/>
  <c r="AF675" i="1"/>
  <c r="AG675" i="1" s="1"/>
  <c r="AO675" i="1"/>
  <c r="AF739" i="1"/>
  <c r="AG739" i="1" s="1"/>
  <c r="AO739" i="1"/>
  <c r="AF803" i="1"/>
  <c r="AG803" i="1" s="1"/>
  <c r="AO803" i="1"/>
  <c r="AF867" i="1"/>
  <c r="AG867" i="1" s="1"/>
  <c r="AO867" i="1"/>
  <c r="AF931" i="1"/>
  <c r="AG931" i="1" s="1"/>
  <c r="AO931" i="1"/>
  <c r="AF995" i="1"/>
  <c r="AG995" i="1" s="1"/>
  <c r="AO995" i="1"/>
  <c r="AF37" i="1"/>
  <c r="AG37" i="1" s="1"/>
  <c r="AO37" i="1"/>
  <c r="AF277" i="1"/>
  <c r="AG277" i="1" s="1"/>
  <c r="AO277" i="1"/>
  <c r="AF405" i="1"/>
  <c r="AG405" i="1" s="1"/>
  <c r="AO405" i="1"/>
  <c r="AF565" i="1"/>
  <c r="AG565" i="1" s="1"/>
  <c r="AO565" i="1"/>
  <c r="AF764" i="1"/>
  <c r="AG764" i="1" s="1"/>
  <c r="AO764" i="1"/>
  <c r="AF60" i="1"/>
  <c r="AG60" i="1" s="1"/>
  <c r="AO60" i="1"/>
  <c r="AF124" i="1"/>
  <c r="AG124" i="1" s="1"/>
  <c r="AO124" i="1"/>
  <c r="AF196" i="1"/>
  <c r="AG196" i="1" s="1"/>
  <c r="AO196" i="1"/>
  <c r="AF260" i="1"/>
  <c r="AG260" i="1" s="1"/>
  <c r="AO260" i="1"/>
  <c r="AF332" i="1"/>
  <c r="AG332" i="1" s="1"/>
  <c r="AO332" i="1"/>
  <c r="AF396" i="1"/>
  <c r="AG396" i="1" s="1"/>
  <c r="AO396" i="1"/>
  <c r="AF460" i="1"/>
  <c r="AG460" i="1" s="1"/>
  <c r="AO460" i="1"/>
  <c r="AF524" i="1"/>
  <c r="AG524" i="1" s="1"/>
  <c r="AO524" i="1"/>
  <c r="AF588" i="1"/>
  <c r="AG588" i="1" s="1"/>
  <c r="AO588" i="1"/>
  <c r="AF652" i="1"/>
  <c r="AG652" i="1" s="1"/>
  <c r="AO652" i="1"/>
  <c r="AF756" i="1"/>
  <c r="AG756" i="1" s="1"/>
  <c r="AO756" i="1"/>
  <c r="AF884" i="1"/>
  <c r="AG884" i="1" s="1"/>
  <c r="AO884" i="1"/>
  <c r="AF964" i="1"/>
  <c r="AG964" i="1" s="1"/>
  <c r="AO964" i="1"/>
  <c r="AF173" i="1"/>
  <c r="AG173" i="1" s="1"/>
  <c r="AO173" i="1"/>
  <c r="AF13" i="1"/>
  <c r="AG13" i="1" s="1"/>
  <c r="AO13" i="1"/>
  <c r="AF645" i="1"/>
  <c r="AG645" i="1" s="1"/>
  <c r="AO645" i="1"/>
  <c r="AF519" i="1"/>
  <c r="AG519" i="1" s="1"/>
  <c r="AO519" i="1"/>
  <c r="AF973" i="1"/>
  <c r="AG973" i="1" s="1"/>
  <c r="AO973" i="1"/>
  <c r="AF877" i="1"/>
  <c r="AG877" i="1" s="1"/>
  <c r="AO877" i="1"/>
  <c r="AF585" i="1"/>
  <c r="AG585" i="1" s="1"/>
  <c r="AO585" i="1"/>
  <c r="AF751" i="1"/>
  <c r="AG751" i="1" s="1"/>
  <c r="AO751" i="1"/>
  <c r="AF279" i="1"/>
  <c r="AG279" i="1" s="1"/>
  <c r="AO279" i="1"/>
  <c r="AF721" i="1"/>
  <c r="AG721" i="1" s="1"/>
  <c r="AO721" i="1"/>
  <c r="AF829" i="1"/>
  <c r="AG829" i="1" s="1"/>
  <c r="AO829" i="1"/>
  <c r="AF965" i="1"/>
  <c r="AG965" i="1" s="1"/>
  <c r="AO965" i="1"/>
  <c r="AF46" i="1"/>
  <c r="AG46" i="1" s="1"/>
  <c r="AO46" i="1"/>
  <c r="AF601" i="1"/>
  <c r="AG601" i="1" s="1"/>
  <c r="AO601" i="1"/>
  <c r="AF38" i="1"/>
  <c r="AG38" i="1" s="1"/>
  <c r="AO38" i="1"/>
  <c r="AF110" i="1"/>
  <c r="AG110" i="1" s="1"/>
  <c r="AO110" i="1"/>
  <c r="AF182" i="1"/>
  <c r="AG182" i="1" s="1"/>
  <c r="AO182" i="1"/>
  <c r="AF254" i="1"/>
  <c r="AG254" i="1" s="1"/>
  <c r="AO254" i="1"/>
  <c r="AF318" i="1"/>
  <c r="AG318" i="1" s="1"/>
  <c r="AO318" i="1"/>
  <c r="AF390" i="1"/>
  <c r="AG390" i="1" s="1"/>
  <c r="AO390" i="1"/>
  <c r="AF454" i="1"/>
  <c r="AG454" i="1" s="1"/>
  <c r="AO454" i="1"/>
  <c r="AF518" i="1"/>
  <c r="AG518" i="1" s="1"/>
  <c r="AO518" i="1"/>
  <c r="AF590" i="1"/>
  <c r="AG590" i="1" s="1"/>
  <c r="AO590" i="1"/>
  <c r="AF662" i="1"/>
  <c r="AG662" i="1" s="1"/>
  <c r="AO662" i="1"/>
  <c r="AF750" i="1"/>
  <c r="AG750" i="1" s="1"/>
  <c r="AO750" i="1"/>
  <c r="AF830" i="1"/>
  <c r="AG830" i="1" s="1"/>
  <c r="AO830" i="1"/>
  <c r="AF990" i="1"/>
  <c r="AG990" i="1" s="1"/>
  <c r="AO990" i="1"/>
  <c r="AF231" i="1"/>
  <c r="AG231" i="1" s="1"/>
  <c r="AO231" i="1"/>
  <c r="AF23" i="1"/>
  <c r="AG23" i="1" s="1"/>
  <c r="AO23" i="1"/>
  <c r="AF95" i="1"/>
  <c r="AG95" i="1" s="1"/>
  <c r="AO95" i="1"/>
  <c r="AF159" i="1"/>
  <c r="AG159" i="1" s="1"/>
  <c r="AO159" i="1"/>
  <c r="AF239" i="1"/>
  <c r="AG239" i="1" s="1"/>
  <c r="AO239" i="1"/>
  <c r="AF351" i="1"/>
  <c r="AG351" i="1" s="1"/>
  <c r="AO351" i="1"/>
  <c r="AF447" i="1"/>
  <c r="AG447" i="1" s="1"/>
  <c r="AO447" i="1"/>
  <c r="AF567" i="1"/>
  <c r="AG567" i="1" s="1"/>
  <c r="AO567" i="1"/>
  <c r="AF663" i="1"/>
  <c r="AG663" i="1" s="1"/>
  <c r="AO663" i="1"/>
  <c r="AF727" i="1"/>
  <c r="AG727" i="1" s="1"/>
  <c r="AO727" i="1"/>
  <c r="AF823" i="1"/>
  <c r="AG823" i="1" s="1"/>
  <c r="AO823" i="1"/>
  <c r="AF887" i="1"/>
  <c r="AG887" i="1" s="1"/>
  <c r="AO887" i="1"/>
  <c r="AF177" i="1"/>
  <c r="AG177" i="1" s="1"/>
  <c r="AO177" i="1"/>
  <c r="AF185" i="1"/>
  <c r="AG185" i="1" s="1"/>
  <c r="AO185" i="1"/>
  <c r="AF257" i="1"/>
  <c r="AG257" i="1" s="1"/>
  <c r="AO257" i="1"/>
  <c r="AF353" i="1"/>
  <c r="AG353" i="1" s="1"/>
  <c r="AO353" i="1"/>
  <c r="AF433" i="1"/>
  <c r="AG433" i="1" s="1"/>
  <c r="AO433" i="1"/>
  <c r="AF513" i="1"/>
  <c r="AG513" i="1" s="1"/>
  <c r="AO513" i="1"/>
  <c r="AF609" i="1"/>
  <c r="AG609" i="1" s="1"/>
  <c r="AO609" i="1"/>
  <c r="AF689" i="1"/>
  <c r="AG689" i="1" s="1"/>
  <c r="AO689" i="1"/>
  <c r="AF769" i="1"/>
  <c r="AG769" i="1" s="1"/>
  <c r="AO769" i="1"/>
  <c r="AF849" i="1"/>
  <c r="AG849" i="1" s="1"/>
  <c r="AO849" i="1"/>
  <c r="AF921" i="1"/>
  <c r="AG921" i="1" s="1"/>
  <c r="AO921" i="1"/>
  <c r="AF985" i="1"/>
  <c r="AG985" i="1" s="1"/>
  <c r="AO985" i="1"/>
  <c r="AF669" i="1"/>
  <c r="AG669" i="1" s="1"/>
  <c r="AO669" i="1"/>
  <c r="AF56" i="1"/>
  <c r="AG56" i="1" s="1"/>
  <c r="AO56" i="1"/>
  <c r="AF408" i="1"/>
  <c r="AG408" i="1" s="1"/>
  <c r="AO408" i="1"/>
  <c r="AF816" i="1"/>
  <c r="AG816" i="1" s="1"/>
  <c r="AO816" i="1"/>
  <c r="AF90" i="1"/>
  <c r="AG90" i="1" s="1"/>
  <c r="AO90" i="1"/>
  <c r="AF538" i="1"/>
  <c r="AG538" i="1" s="1"/>
  <c r="AO538" i="1"/>
  <c r="AF189" i="1"/>
  <c r="AG189" i="1" s="1"/>
  <c r="AO189" i="1"/>
  <c r="AF411" i="1"/>
  <c r="AG411" i="1" s="1"/>
  <c r="AO411" i="1"/>
  <c r="AF859" i="1"/>
  <c r="AG859" i="1" s="1"/>
  <c r="AO859" i="1"/>
  <c r="AF549" i="1"/>
  <c r="AG549" i="1" s="1"/>
  <c r="AO549" i="1"/>
  <c r="AF388" i="1"/>
  <c r="AG388" i="1" s="1"/>
  <c r="AO388" i="1"/>
  <c r="AF956" i="1"/>
  <c r="AG956" i="1" s="1"/>
  <c r="AO956" i="1"/>
  <c r="AF996" i="1"/>
  <c r="AG996" i="1" s="1"/>
  <c r="AO996" i="1"/>
  <c r="AF30" i="1"/>
  <c r="AG30" i="1" s="1"/>
  <c r="AO30" i="1"/>
  <c r="AF446" i="1"/>
  <c r="AG446" i="1" s="1"/>
  <c r="AO446" i="1"/>
  <c r="AF949" i="1"/>
  <c r="AG949" i="1" s="1"/>
  <c r="AO949" i="1"/>
  <c r="AF647" i="1"/>
  <c r="AG647" i="1" s="1"/>
  <c r="AO647" i="1"/>
  <c r="AF288" i="1"/>
  <c r="AG288" i="1" s="1"/>
  <c r="AO288" i="1"/>
  <c r="AF573" i="1"/>
  <c r="AG573" i="1" s="1"/>
  <c r="AO573" i="1"/>
  <c r="AF53" i="1"/>
  <c r="AG53" i="1" s="1"/>
  <c r="AO53" i="1"/>
  <c r="AF285" i="1"/>
  <c r="AG285" i="1" s="1"/>
  <c r="AO285" i="1"/>
  <c r="AF429" i="1"/>
  <c r="AG429" i="1" s="1"/>
  <c r="AO429" i="1"/>
  <c r="AF632" i="1"/>
  <c r="AG632" i="1" s="1"/>
  <c r="AO632" i="1"/>
  <c r="AF8" i="1"/>
  <c r="AG8" i="1" s="1"/>
  <c r="AO8" i="1"/>
  <c r="AF72" i="1"/>
  <c r="AG72" i="1" s="1"/>
  <c r="AO72" i="1"/>
  <c r="AF216" i="1"/>
  <c r="AG216" i="1" s="1"/>
  <c r="AO216" i="1"/>
  <c r="AF296" i="1"/>
  <c r="AG296" i="1" s="1"/>
  <c r="AO296" i="1"/>
  <c r="AF360" i="1"/>
  <c r="AG360" i="1" s="1"/>
  <c r="AO360" i="1"/>
  <c r="AF424" i="1"/>
  <c r="AG424" i="1" s="1"/>
  <c r="AO424" i="1"/>
  <c r="AF488" i="1"/>
  <c r="AG488" i="1" s="1"/>
  <c r="AO488" i="1"/>
  <c r="AF552" i="1"/>
  <c r="AG552" i="1" s="1"/>
  <c r="AO552" i="1"/>
  <c r="AF616" i="1"/>
  <c r="AG616" i="1" s="1"/>
  <c r="AO616" i="1"/>
  <c r="AF688" i="1"/>
  <c r="AG688" i="1" s="1"/>
  <c r="AO688" i="1"/>
  <c r="AF760" i="1"/>
  <c r="AG760" i="1" s="1"/>
  <c r="AO760" i="1"/>
  <c r="AF832" i="1"/>
  <c r="AG832" i="1" s="1"/>
  <c r="AO832" i="1"/>
  <c r="AF896" i="1"/>
  <c r="AG896" i="1" s="1"/>
  <c r="AO896" i="1"/>
  <c r="AF976" i="1"/>
  <c r="AG976" i="1" s="1"/>
  <c r="AO976" i="1"/>
  <c r="AF788" i="1"/>
  <c r="AG788" i="1" s="1"/>
  <c r="AO788" i="1"/>
  <c r="AF73" i="1"/>
  <c r="AG73" i="1" s="1"/>
  <c r="AO73" i="1"/>
  <c r="AF589" i="1"/>
  <c r="AG589" i="1" s="1"/>
  <c r="AO589" i="1"/>
  <c r="AF725" i="1"/>
  <c r="AG725" i="1" s="1"/>
  <c r="AO725" i="1"/>
  <c r="AF42" i="1"/>
  <c r="AG42" i="1" s="1"/>
  <c r="AO42" i="1"/>
  <c r="AF106" i="1"/>
  <c r="AG106" i="1" s="1"/>
  <c r="AO106" i="1"/>
  <c r="AF170" i="1"/>
  <c r="AG170" i="1" s="1"/>
  <c r="AO170" i="1"/>
  <c r="AF234" i="1"/>
  <c r="AG234" i="1" s="1"/>
  <c r="AO234" i="1"/>
  <c r="AF298" i="1"/>
  <c r="AG298" i="1" s="1"/>
  <c r="AO298" i="1"/>
  <c r="AF362" i="1"/>
  <c r="AG362" i="1" s="1"/>
  <c r="AO362" i="1"/>
  <c r="AF426" i="1"/>
  <c r="AG426" i="1" s="1"/>
  <c r="AO426" i="1"/>
  <c r="AF490" i="1"/>
  <c r="AG490" i="1" s="1"/>
  <c r="AO490" i="1"/>
  <c r="AF554" i="1"/>
  <c r="AG554" i="1" s="1"/>
  <c r="AO554" i="1"/>
  <c r="AF618" i="1"/>
  <c r="AG618" i="1" s="1"/>
  <c r="AO618" i="1"/>
  <c r="AF682" i="1"/>
  <c r="AG682" i="1" s="1"/>
  <c r="AO682" i="1"/>
  <c r="AF802" i="1"/>
  <c r="AG802" i="1" s="1"/>
  <c r="AO802" i="1"/>
  <c r="AF890" i="1"/>
  <c r="AG890" i="1" s="1"/>
  <c r="AO890" i="1"/>
  <c r="AF970" i="1"/>
  <c r="AG970" i="1" s="1"/>
  <c r="AO970" i="1"/>
  <c r="AF708" i="1"/>
  <c r="AG708" i="1" s="1"/>
  <c r="AO708" i="1"/>
  <c r="AF19" i="1"/>
  <c r="AG19" i="1" s="1"/>
  <c r="AO19" i="1"/>
  <c r="AF83" i="1"/>
  <c r="AG83" i="1" s="1"/>
  <c r="AO83" i="1"/>
  <c r="AF155" i="1"/>
  <c r="AG155" i="1" s="1"/>
  <c r="AO155" i="1"/>
  <c r="AF227" i="1"/>
  <c r="AG227" i="1" s="1"/>
  <c r="AO227" i="1"/>
  <c r="AF291" i="1"/>
  <c r="AG291" i="1" s="1"/>
  <c r="AO291" i="1"/>
  <c r="AF363" i="1"/>
  <c r="AG363" i="1" s="1"/>
  <c r="AO363" i="1"/>
  <c r="AF427" i="1"/>
  <c r="AG427" i="1" s="1"/>
  <c r="AO427" i="1"/>
  <c r="AF491" i="1"/>
  <c r="AG491" i="1" s="1"/>
  <c r="AO491" i="1"/>
  <c r="AF555" i="1"/>
  <c r="AG555" i="1" s="1"/>
  <c r="AO555" i="1"/>
  <c r="AF619" i="1"/>
  <c r="AG619" i="1" s="1"/>
  <c r="AO619" i="1"/>
  <c r="AF683" i="1"/>
  <c r="AG683" i="1" s="1"/>
  <c r="AO683" i="1"/>
  <c r="AF747" i="1"/>
  <c r="AG747" i="1" s="1"/>
  <c r="AO747" i="1"/>
  <c r="AF811" i="1"/>
  <c r="AG811" i="1" s="1"/>
  <c r="AO811" i="1"/>
  <c r="AF875" i="1"/>
  <c r="AG875" i="1" s="1"/>
  <c r="AO875" i="1"/>
  <c r="AF939" i="1"/>
  <c r="AG939" i="1" s="1"/>
  <c r="AO939" i="1"/>
  <c r="AF49" i="1"/>
  <c r="AG49" i="1" s="1"/>
  <c r="AO49" i="1"/>
  <c r="AF69" i="1"/>
  <c r="AG69" i="1" s="1"/>
  <c r="AO69" i="1"/>
  <c r="AF293" i="1"/>
  <c r="AG293" i="1" s="1"/>
  <c r="AO293" i="1"/>
  <c r="AF421" i="1"/>
  <c r="AG421" i="1" s="1"/>
  <c r="AO421" i="1"/>
  <c r="AF581" i="1"/>
  <c r="AG581" i="1" s="1"/>
  <c r="AO581" i="1"/>
  <c r="AF773" i="1"/>
  <c r="AG773" i="1" s="1"/>
  <c r="AO773" i="1"/>
  <c r="AF68" i="1"/>
  <c r="AG68" i="1" s="1"/>
  <c r="AO68" i="1"/>
  <c r="AF132" i="1"/>
  <c r="AG132" i="1" s="1"/>
  <c r="AO132" i="1"/>
  <c r="AF204" i="1"/>
  <c r="AG204" i="1" s="1"/>
  <c r="AO204" i="1"/>
  <c r="AF276" i="1"/>
  <c r="AG276" i="1" s="1"/>
  <c r="AO276" i="1"/>
  <c r="AF340" i="1"/>
  <c r="AG340" i="1" s="1"/>
  <c r="AO340" i="1"/>
  <c r="AF404" i="1"/>
  <c r="AG404" i="1" s="1"/>
  <c r="AO404" i="1"/>
  <c r="AF468" i="1"/>
  <c r="AG468" i="1" s="1"/>
  <c r="AO468" i="1"/>
  <c r="AF532" i="1"/>
  <c r="AG532" i="1" s="1"/>
  <c r="AO532" i="1"/>
  <c r="AF596" i="1"/>
  <c r="AG596" i="1" s="1"/>
  <c r="AO596" i="1"/>
  <c r="AF660" i="1"/>
  <c r="AG660" i="1" s="1"/>
  <c r="AO660" i="1"/>
  <c r="AF804" i="1"/>
  <c r="AG804" i="1" s="1"/>
  <c r="AO804" i="1"/>
  <c r="AF892" i="1"/>
  <c r="AG892" i="1" s="1"/>
  <c r="AO892" i="1"/>
  <c r="AF972" i="1"/>
  <c r="AG972" i="1" s="1"/>
  <c r="AO972" i="1"/>
  <c r="AF629" i="1"/>
  <c r="AG629" i="1" s="1"/>
  <c r="AO629" i="1"/>
  <c r="AF45" i="1"/>
  <c r="AG45" i="1" s="1"/>
  <c r="AO45" i="1"/>
  <c r="AF693" i="1"/>
  <c r="AG693" i="1" s="1"/>
  <c r="AO693" i="1"/>
  <c r="AF583" i="1"/>
  <c r="AG583" i="1" s="1"/>
  <c r="AO583" i="1"/>
  <c r="AF885" i="1"/>
  <c r="AG885" i="1" s="1"/>
  <c r="AO885" i="1"/>
  <c r="AF14" i="1"/>
  <c r="AG14" i="1" s="1"/>
  <c r="AO14" i="1"/>
  <c r="AF821" i="1"/>
  <c r="AG821" i="1" s="1"/>
  <c r="AO821" i="1"/>
  <c r="AF903" i="1"/>
  <c r="AG903" i="1" s="1"/>
  <c r="AO903" i="1"/>
  <c r="AF343" i="1"/>
  <c r="AG343" i="1" s="1"/>
  <c r="AO343" i="1"/>
  <c r="AF758" i="1"/>
  <c r="AG758" i="1" s="1"/>
  <c r="AO758" i="1"/>
  <c r="AF861" i="1"/>
  <c r="AG861" i="1" s="1"/>
  <c r="AO861" i="1"/>
  <c r="AF989" i="1"/>
  <c r="AG989" i="1" s="1"/>
  <c r="AO989" i="1"/>
  <c r="AF153" i="1"/>
  <c r="AG153" i="1" s="1"/>
  <c r="AO153" i="1"/>
  <c r="AF729" i="1"/>
  <c r="AG729" i="1" s="1"/>
  <c r="AO729" i="1"/>
  <c r="AF54" i="1"/>
  <c r="AG54" i="1" s="1"/>
  <c r="AO54" i="1"/>
  <c r="AF118" i="1"/>
  <c r="AG118" i="1" s="1"/>
  <c r="AO118" i="1"/>
  <c r="AF190" i="1"/>
  <c r="AG190" i="1" s="1"/>
  <c r="AO190" i="1"/>
  <c r="AF262" i="1"/>
  <c r="AG262" i="1" s="1"/>
  <c r="AO262" i="1"/>
  <c r="AF326" i="1"/>
  <c r="AG326" i="1" s="1"/>
  <c r="AO326" i="1"/>
  <c r="AF398" i="1"/>
  <c r="AG398" i="1" s="1"/>
  <c r="AO398" i="1"/>
  <c r="AF462" i="1"/>
  <c r="AG462" i="1" s="1"/>
  <c r="AO462" i="1"/>
  <c r="AF526" i="1"/>
  <c r="AG526" i="1" s="1"/>
  <c r="AO526" i="1"/>
  <c r="AF598" i="1"/>
  <c r="AG598" i="1" s="1"/>
  <c r="AO598" i="1"/>
  <c r="AF670" i="1"/>
  <c r="AG670" i="1" s="1"/>
  <c r="AO670" i="1"/>
  <c r="AF766" i="1"/>
  <c r="AG766" i="1" s="1"/>
  <c r="AO766" i="1"/>
  <c r="AF862" i="1"/>
  <c r="AG862" i="1" s="1"/>
  <c r="AO862" i="1"/>
  <c r="AF998" i="1"/>
  <c r="AG998" i="1" s="1"/>
  <c r="AO998" i="1"/>
  <c r="AF295" i="1"/>
  <c r="AG295" i="1" s="1"/>
  <c r="AO295" i="1"/>
  <c r="AF31" i="1"/>
  <c r="AG31" i="1" s="1"/>
  <c r="AO31" i="1"/>
  <c r="AF103" i="1"/>
  <c r="AG103" i="1" s="1"/>
  <c r="AO103" i="1"/>
  <c r="AF167" i="1"/>
  <c r="AG167" i="1" s="1"/>
  <c r="AO167" i="1"/>
  <c r="AF247" i="1"/>
  <c r="AG247" i="1" s="1"/>
  <c r="AO247" i="1"/>
  <c r="AF367" i="1"/>
  <c r="AG367" i="1" s="1"/>
  <c r="AO367" i="1"/>
  <c r="AF479" i="1"/>
  <c r="AG479" i="1" s="1"/>
  <c r="AO479" i="1"/>
  <c r="AF575" i="1"/>
  <c r="AG575" i="1" s="1"/>
  <c r="AO575" i="1"/>
  <c r="AF671" i="1"/>
  <c r="AG671" i="1" s="1"/>
  <c r="AO671" i="1"/>
  <c r="AF735" i="1"/>
  <c r="AG735" i="1" s="1"/>
  <c r="AO735" i="1"/>
  <c r="AF831" i="1"/>
  <c r="AG831" i="1" s="1"/>
  <c r="AO831" i="1"/>
  <c r="AF895" i="1"/>
  <c r="AG895" i="1" s="1"/>
  <c r="AO895" i="1"/>
  <c r="AF837" i="1"/>
  <c r="AG837" i="1" s="1"/>
  <c r="AO837" i="1"/>
  <c r="AF193" i="1"/>
  <c r="AG193" i="1" s="1"/>
  <c r="AO193" i="1"/>
  <c r="AF273" i="1"/>
  <c r="AG273" i="1" s="1"/>
  <c r="AO273" i="1"/>
  <c r="AF361" i="1"/>
  <c r="AG361" i="1" s="1"/>
  <c r="AO361" i="1"/>
  <c r="AF441" i="1"/>
  <c r="AG441" i="1" s="1"/>
  <c r="AO441" i="1"/>
  <c r="AF529" i="1"/>
  <c r="AG529" i="1" s="1"/>
  <c r="AO529" i="1"/>
  <c r="AF617" i="1"/>
  <c r="AG617" i="1" s="1"/>
  <c r="AO617" i="1"/>
  <c r="AF697" i="1"/>
  <c r="AG697" i="1" s="1"/>
  <c r="AO697" i="1"/>
  <c r="AF777" i="1"/>
  <c r="AG777" i="1" s="1"/>
  <c r="AO777" i="1"/>
  <c r="AF857" i="1"/>
  <c r="AG857" i="1" s="1"/>
  <c r="AO857" i="1"/>
  <c r="AF929" i="1"/>
  <c r="AG929" i="1" s="1"/>
  <c r="AO929" i="1"/>
  <c r="AF993" i="1"/>
  <c r="AG993" i="1" s="1"/>
  <c r="AO993" i="1"/>
  <c r="AF141" i="1"/>
  <c r="AG141" i="1" s="1"/>
  <c r="AO141" i="1"/>
  <c r="AF397" i="1"/>
  <c r="AG397" i="1" s="1"/>
  <c r="AO397" i="1"/>
  <c r="AF272" i="1"/>
  <c r="AG272" i="1" s="1"/>
  <c r="AO272" i="1"/>
  <c r="AF744" i="1"/>
  <c r="AG744" i="1" s="1"/>
  <c r="AO744" i="1"/>
  <c r="AF706" i="1"/>
  <c r="AG706" i="1" s="1"/>
  <c r="AO706" i="1"/>
  <c r="AF410" i="1"/>
  <c r="AG410" i="1" s="1"/>
  <c r="AO410" i="1"/>
  <c r="AF874" i="1"/>
  <c r="AG874" i="1" s="1"/>
  <c r="AO874" i="1"/>
  <c r="AF275" i="1"/>
  <c r="AG275" i="1" s="1"/>
  <c r="AO275" i="1"/>
  <c r="AF667" i="1"/>
  <c r="AG667" i="1" s="1"/>
  <c r="AO667" i="1"/>
  <c r="AF261" i="1"/>
  <c r="AG261" i="1" s="1"/>
  <c r="AO261" i="1"/>
  <c r="AF324" i="1"/>
  <c r="AG324" i="1" s="1"/>
  <c r="AO324" i="1"/>
  <c r="AF860" i="1"/>
  <c r="AG860" i="1" s="1"/>
  <c r="AO860" i="1"/>
  <c r="AF941" i="1"/>
  <c r="AG941" i="1" s="1"/>
  <c r="AO941" i="1"/>
  <c r="AF537" i="1"/>
  <c r="AG537" i="1" s="1"/>
  <c r="AO537" i="1"/>
  <c r="AF510" i="1"/>
  <c r="AG510" i="1" s="1"/>
  <c r="AO510" i="1"/>
  <c r="AF335" i="1"/>
  <c r="AG335" i="1" s="1"/>
  <c r="AO335" i="1"/>
  <c r="AF21" i="1"/>
  <c r="AG21" i="1" s="1"/>
  <c r="AO21" i="1"/>
  <c r="AF136" i="1"/>
  <c r="AG136" i="1" s="1"/>
  <c r="AO136" i="1"/>
  <c r="AF144" i="1"/>
  <c r="AG144" i="1" s="1"/>
  <c r="AO144" i="1"/>
  <c r="AF85" i="1"/>
  <c r="AG85" i="1" s="1"/>
  <c r="AO85" i="1"/>
  <c r="AF301" i="1"/>
  <c r="AG301" i="1" s="1"/>
  <c r="AO301" i="1"/>
  <c r="AF461" i="1"/>
  <c r="AG461" i="1" s="1"/>
  <c r="AO461" i="1"/>
  <c r="AF704" i="1"/>
  <c r="AG704" i="1" s="1"/>
  <c r="AO704" i="1"/>
  <c r="AF16" i="1"/>
  <c r="AG16" i="1" s="1"/>
  <c r="AO16" i="1"/>
  <c r="AF80" i="1"/>
  <c r="AG80" i="1" s="1"/>
  <c r="AO80" i="1"/>
  <c r="AF152" i="1"/>
  <c r="AG152" i="1" s="1"/>
  <c r="AO152" i="1"/>
  <c r="AF224" i="1"/>
  <c r="AG224" i="1" s="1"/>
  <c r="AO224" i="1"/>
  <c r="AF304" i="1"/>
  <c r="AG304" i="1" s="1"/>
  <c r="AO304" i="1"/>
  <c r="AF368" i="1"/>
  <c r="AG368" i="1" s="1"/>
  <c r="AO368" i="1"/>
  <c r="AF432" i="1"/>
  <c r="AG432" i="1" s="1"/>
  <c r="AO432" i="1"/>
  <c r="AF496" i="1"/>
  <c r="AG496" i="1" s="1"/>
  <c r="AO496" i="1"/>
  <c r="AF560" i="1"/>
  <c r="AG560" i="1" s="1"/>
  <c r="AO560" i="1"/>
  <c r="AF624" i="1"/>
  <c r="AG624" i="1" s="1"/>
  <c r="AO624" i="1"/>
  <c r="AF696" i="1"/>
  <c r="AG696" i="1" s="1"/>
  <c r="AO696" i="1"/>
  <c r="AF776" i="1"/>
  <c r="AG776" i="1" s="1"/>
  <c r="AO776" i="1"/>
  <c r="AF840" i="1"/>
  <c r="AG840" i="1" s="1"/>
  <c r="AO840" i="1"/>
  <c r="AF920" i="1"/>
  <c r="AG920" i="1" s="1"/>
  <c r="AO920" i="1"/>
  <c r="AF984" i="1"/>
  <c r="AG984" i="1" s="1"/>
  <c r="AO984" i="1"/>
  <c r="AF9" i="1"/>
  <c r="AG9" i="1" s="1"/>
  <c r="AO9" i="1"/>
  <c r="AF81" i="1"/>
  <c r="AG81" i="1" s="1"/>
  <c r="AO81" i="1"/>
  <c r="AF29" i="1"/>
  <c r="AG29" i="1" s="1"/>
  <c r="AO29" i="1"/>
  <c r="AF770" i="1"/>
  <c r="AG770" i="1" s="1"/>
  <c r="AO770" i="1"/>
  <c r="AF50" i="1"/>
  <c r="AG50" i="1" s="1"/>
  <c r="AO50" i="1"/>
  <c r="AF114" i="1"/>
  <c r="AG114" i="1" s="1"/>
  <c r="AO114" i="1"/>
  <c r="AF178" i="1"/>
  <c r="AG178" i="1" s="1"/>
  <c r="AO178" i="1"/>
  <c r="AF242" i="1"/>
  <c r="AG242" i="1" s="1"/>
  <c r="AO242" i="1"/>
  <c r="AF306" i="1"/>
  <c r="AG306" i="1" s="1"/>
  <c r="AO306" i="1"/>
  <c r="AF370" i="1"/>
  <c r="AG370" i="1" s="1"/>
  <c r="AO370" i="1"/>
  <c r="AF434" i="1"/>
  <c r="AG434" i="1" s="1"/>
  <c r="AO434" i="1"/>
  <c r="AF498" i="1"/>
  <c r="AG498" i="1" s="1"/>
  <c r="AO498" i="1"/>
  <c r="AF562" i="1"/>
  <c r="AG562" i="1" s="1"/>
  <c r="AO562" i="1"/>
  <c r="AF626" i="1"/>
  <c r="AG626" i="1" s="1"/>
  <c r="AO626" i="1"/>
  <c r="AF690" i="1"/>
  <c r="AG690" i="1" s="1"/>
  <c r="AO690" i="1"/>
  <c r="AF810" i="1"/>
  <c r="AG810" i="1" s="1"/>
  <c r="AO810" i="1"/>
  <c r="AF898" i="1"/>
  <c r="AG898" i="1" s="1"/>
  <c r="AO898" i="1"/>
  <c r="AF978" i="1"/>
  <c r="AG978" i="1" s="1"/>
  <c r="AO978" i="1"/>
  <c r="AF717" i="1"/>
  <c r="AG717" i="1" s="1"/>
  <c r="AO717" i="1"/>
  <c r="AF27" i="1"/>
  <c r="AG27" i="1" s="1"/>
  <c r="AO27" i="1"/>
  <c r="AF91" i="1"/>
  <c r="AG91" i="1" s="1"/>
  <c r="AO91" i="1"/>
  <c r="AF163" i="1"/>
  <c r="AG163" i="1" s="1"/>
  <c r="AO163" i="1"/>
  <c r="AF235" i="1"/>
  <c r="AG235" i="1" s="1"/>
  <c r="AO235" i="1"/>
  <c r="AF299" i="1"/>
  <c r="AG299" i="1" s="1"/>
  <c r="AO299" i="1"/>
  <c r="AF371" i="1"/>
  <c r="AG371" i="1" s="1"/>
  <c r="AO371" i="1"/>
  <c r="AF435" i="1"/>
  <c r="AG435" i="1" s="1"/>
  <c r="AO435" i="1"/>
  <c r="AF499" i="1"/>
  <c r="AG499" i="1" s="1"/>
  <c r="AO499" i="1"/>
  <c r="AF563" i="1"/>
  <c r="AG563" i="1" s="1"/>
  <c r="AO563" i="1"/>
  <c r="AF627" i="1"/>
  <c r="AG627" i="1" s="1"/>
  <c r="AO627" i="1"/>
  <c r="AF691" i="1"/>
  <c r="AG691" i="1" s="1"/>
  <c r="AO691" i="1"/>
  <c r="AF755" i="1"/>
  <c r="AG755" i="1" s="1"/>
  <c r="AO755" i="1"/>
  <c r="AF819" i="1"/>
  <c r="AG819" i="1" s="1"/>
  <c r="AO819" i="1"/>
  <c r="AF883" i="1"/>
  <c r="AG883" i="1" s="1"/>
  <c r="AO883" i="1"/>
  <c r="AF947" i="1"/>
  <c r="AG947" i="1" s="1"/>
  <c r="AO947" i="1"/>
  <c r="AF445" i="1"/>
  <c r="AG445" i="1" s="1"/>
  <c r="AO445" i="1"/>
  <c r="AF101" i="1"/>
  <c r="AG101" i="1" s="1"/>
  <c r="AO101" i="1"/>
  <c r="AF309" i="1"/>
  <c r="AG309" i="1" s="1"/>
  <c r="AO309" i="1"/>
  <c r="AF437" i="1"/>
  <c r="AG437" i="1" s="1"/>
  <c r="AO437" i="1"/>
  <c r="AF597" i="1"/>
  <c r="AG597" i="1" s="1"/>
  <c r="AO597" i="1"/>
  <c r="AF4" i="1"/>
  <c r="AG4" i="1" s="1"/>
  <c r="AO4" i="1"/>
  <c r="AF76" i="1"/>
  <c r="AG76" i="1" s="1"/>
  <c r="AO76" i="1"/>
  <c r="AF140" i="1"/>
  <c r="AG140" i="1" s="1"/>
  <c r="AO140" i="1"/>
  <c r="AF212" i="1"/>
  <c r="AG212" i="1" s="1"/>
  <c r="AO212" i="1"/>
  <c r="AF284" i="1"/>
  <c r="AG284" i="1" s="1"/>
  <c r="AO284" i="1"/>
  <c r="AF348" i="1"/>
  <c r="AG348" i="1" s="1"/>
  <c r="AO348" i="1"/>
  <c r="AF412" i="1"/>
  <c r="AG412" i="1" s="1"/>
  <c r="AO412" i="1"/>
  <c r="AF476" i="1"/>
  <c r="AG476" i="1" s="1"/>
  <c r="AO476" i="1"/>
  <c r="AF540" i="1"/>
  <c r="AG540" i="1" s="1"/>
  <c r="AO540" i="1"/>
  <c r="AF604" i="1"/>
  <c r="AG604" i="1" s="1"/>
  <c r="AO604" i="1"/>
  <c r="AF668" i="1"/>
  <c r="AG668" i="1" s="1"/>
  <c r="AO668" i="1"/>
  <c r="AF812" i="1"/>
  <c r="AG812" i="1" s="1"/>
  <c r="AO812" i="1"/>
  <c r="AF900" i="1"/>
  <c r="AG900" i="1" s="1"/>
  <c r="AO900" i="1"/>
  <c r="AF980" i="1"/>
  <c r="AG980" i="1" s="1"/>
  <c r="AO980" i="1"/>
  <c r="AF701" i="1"/>
  <c r="AG701" i="1" s="1"/>
  <c r="AO701" i="1"/>
  <c r="AF77" i="1"/>
  <c r="AG77" i="1" s="1"/>
  <c r="AO77" i="1"/>
  <c r="AF749" i="1"/>
  <c r="AG749" i="1" s="1"/>
  <c r="AO749" i="1"/>
  <c r="AF641" i="1"/>
  <c r="AG641" i="1" s="1"/>
  <c r="AO641" i="1"/>
  <c r="AF942" i="1"/>
  <c r="AG942" i="1" s="1"/>
  <c r="AO942" i="1"/>
  <c r="AF134" i="1"/>
  <c r="AG134" i="1" s="1"/>
  <c r="AO134" i="1"/>
  <c r="AF846" i="1"/>
  <c r="AG846" i="1" s="1"/>
  <c r="AO846" i="1"/>
  <c r="AF951" i="1"/>
  <c r="AG951" i="1" s="1"/>
  <c r="AO951" i="1"/>
  <c r="AF407" i="1"/>
  <c r="AG407" i="1" s="1"/>
  <c r="AO407" i="1"/>
  <c r="AF785" i="1"/>
  <c r="AG785" i="1" s="1"/>
  <c r="AO785" i="1"/>
  <c r="AF869" i="1"/>
  <c r="AG869" i="1" s="1"/>
  <c r="AO869" i="1"/>
  <c r="AF997" i="1"/>
  <c r="AG997" i="1" s="1"/>
  <c r="AO997" i="1"/>
  <c r="AF217" i="1"/>
  <c r="AG217" i="1" s="1"/>
  <c r="AO217" i="1"/>
  <c r="AF854" i="1"/>
  <c r="AG854" i="1" s="1"/>
  <c r="AO854" i="1"/>
  <c r="AF62" i="1"/>
  <c r="AG62" i="1" s="1"/>
  <c r="AO62" i="1"/>
  <c r="AF126" i="1"/>
  <c r="AG126" i="1" s="1"/>
  <c r="AO126" i="1"/>
  <c r="AF206" i="1"/>
  <c r="AG206" i="1" s="1"/>
  <c r="AO206" i="1"/>
  <c r="AF270" i="1"/>
  <c r="AG270" i="1" s="1"/>
  <c r="AO270" i="1"/>
  <c r="AF334" i="1"/>
  <c r="AG334" i="1" s="1"/>
  <c r="AO334" i="1"/>
  <c r="AF406" i="1"/>
  <c r="AG406" i="1" s="1"/>
  <c r="AO406" i="1"/>
  <c r="AF470" i="1"/>
  <c r="AG470" i="1" s="1"/>
  <c r="AO470" i="1"/>
  <c r="AF534" i="1"/>
  <c r="AG534" i="1" s="1"/>
  <c r="AO534" i="1"/>
  <c r="AF606" i="1"/>
  <c r="AG606" i="1" s="1"/>
  <c r="AO606" i="1"/>
  <c r="AF678" i="1"/>
  <c r="AG678" i="1" s="1"/>
  <c r="AO678" i="1"/>
  <c r="AF774" i="1"/>
  <c r="AG774" i="1" s="1"/>
  <c r="AO774" i="1"/>
  <c r="AF870" i="1"/>
  <c r="AG870" i="1" s="1"/>
  <c r="AO870" i="1"/>
  <c r="AF767" i="1"/>
  <c r="AG767" i="1" s="1"/>
  <c r="AO767" i="1"/>
  <c r="AF359" i="1"/>
  <c r="AG359" i="1" s="1"/>
  <c r="AO359" i="1"/>
  <c r="AF39" i="1"/>
  <c r="AG39" i="1" s="1"/>
  <c r="AO39" i="1"/>
  <c r="AF111" i="1"/>
  <c r="AG111" i="1" s="1"/>
  <c r="AO111" i="1"/>
  <c r="AF175" i="1"/>
  <c r="AG175" i="1" s="1"/>
  <c r="AO175" i="1"/>
  <c r="AF255" i="1"/>
  <c r="AG255" i="1" s="1"/>
  <c r="AO255" i="1"/>
  <c r="AF375" i="1"/>
  <c r="AG375" i="1" s="1"/>
  <c r="AO375" i="1"/>
  <c r="AF495" i="1"/>
  <c r="AG495" i="1" s="1"/>
  <c r="AO495" i="1"/>
  <c r="AF591" i="1"/>
  <c r="AG591" i="1" s="1"/>
  <c r="AO591" i="1"/>
  <c r="AF679" i="1"/>
  <c r="AG679" i="1" s="1"/>
  <c r="AO679" i="1"/>
  <c r="AF759" i="1"/>
  <c r="AG759" i="1" s="1"/>
  <c r="AO759" i="1"/>
  <c r="AF839" i="1"/>
  <c r="AG839" i="1" s="1"/>
  <c r="AO839" i="1"/>
  <c r="AF927" i="1"/>
  <c r="AG927" i="1" s="1"/>
  <c r="AO927" i="1"/>
  <c r="AF121" i="1"/>
  <c r="AG121" i="1" s="1"/>
  <c r="AO121" i="1"/>
  <c r="AF201" i="1"/>
  <c r="AG201" i="1" s="1"/>
  <c r="AO201" i="1"/>
  <c r="AF289" i="1"/>
  <c r="AG289" i="1" s="1"/>
  <c r="AO289" i="1"/>
  <c r="AF369" i="1"/>
  <c r="AG369" i="1" s="1"/>
  <c r="AO369" i="1"/>
  <c r="AF449" i="1"/>
  <c r="AG449" i="1" s="1"/>
  <c r="AO449" i="1"/>
  <c r="AF545" i="1"/>
  <c r="AG545" i="1" s="1"/>
  <c r="AO545" i="1"/>
  <c r="AF625" i="1"/>
  <c r="AG625" i="1" s="1"/>
  <c r="AO625" i="1"/>
  <c r="AF705" i="1"/>
  <c r="AG705" i="1" s="1"/>
  <c r="AO705" i="1"/>
  <c r="AF801" i="1"/>
  <c r="AG801" i="1" s="1"/>
  <c r="AO801" i="1"/>
  <c r="AF865" i="1"/>
  <c r="AG865" i="1" s="1"/>
  <c r="AO865" i="1"/>
  <c r="AF937" i="1"/>
  <c r="AG937" i="1" s="1"/>
  <c r="AO937" i="1"/>
  <c r="AF1001" i="1"/>
  <c r="AG1001" i="1" s="1"/>
  <c r="AO1001" i="1"/>
  <c r="AF622" i="1"/>
  <c r="AG622" i="1" s="1"/>
  <c r="AO622" i="1"/>
  <c r="AF786" i="1"/>
  <c r="AG786" i="1" s="1"/>
  <c r="AO786" i="1"/>
  <c r="AF472" i="1"/>
  <c r="AG472" i="1" s="1"/>
  <c r="AO472" i="1"/>
  <c r="AF960" i="1"/>
  <c r="AG960" i="1" s="1"/>
  <c r="AO960" i="1"/>
  <c r="AF26" i="1"/>
  <c r="AG26" i="1" s="1"/>
  <c r="AO26" i="1"/>
  <c r="AF474" i="1"/>
  <c r="AG474" i="1" s="1"/>
  <c r="AO474" i="1"/>
  <c r="AF954" i="1"/>
  <c r="AG954" i="1" s="1"/>
  <c r="AO954" i="1"/>
  <c r="AF347" i="1"/>
  <c r="AG347" i="1" s="1"/>
  <c r="AO347" i="1"/>
  <c r="AF795" i="1"/>
  <c r="AG795" i="1" s="1"/>
  <c r="AO795" i="1"/>
  <c r="AF389" i="1"/>
  <c r="AG389" i="1" s="1"/>
  <c r="AO389" i="1"/>
  <c r="AF252" i="1"/>
  <c r="AG252" i="1" s="1"/>
  <c r="AO252" i="1"/>
  <c r="AF748" i="1"/>
  <c r="AG748" i="1" s="1"/>
  <c r="AO748" i="1"/>
  <c r="AF455" i="1"/>
  <c r="AG455" i="1" s="1"/>
  <c r="AO455" i="1"/>
  <c r="AF805" i="1"/>
  <c r="AG805" i="1" s="1"/>
  <c r="AO805" i="1"/>
  <c r="AF174" i="1"/>
  <c r="AG174" i="1" s="1"/>
  <c r="AO174" i="1"/>
  <c r="AF582" i="1"/>
  <c r="AG582" i="1" s="1"/>
  <c r="AO582" i="1"/>
  <c r="AF966" i="1"/>
  <c r="AG966" i="1" s="1"/>
  <c r="AO966" i="1"/>
  <c r="AF223" i="1"/>
  <c r="AG223" i="1" s="1"/>
  <c r="AO223" i="1"/>
  <c r="AF815" i="1"/>
  <c r="AG815" i="1" s="1"/>
  <c r="AO815" i="1"/>
  <c r="AF981" i="1"/>
  <c r="AG981" i="1" s="1"/>
  <c r="AO981" i="1"/>
  <c r="AF249" i="1"/>
  <c r="AG249" i="1" s="1"/>
  <c r="AO249" i="1"/>
  <c r="AF425" i="1"/>
  <c r="AG425" i="1" s="1"/>
  <c r="AO425" i="1"/>
  <c r="AF505" i="1"/>
  <c r="AG505" i="1" s="1"/>
  <c r="AO505" i="1"/>
  <c r="AF761" i="1"/>
  <c r="AG761" i="1" s="1"/>
  <c r="AO761" i="1"/>
  <c r="AF117" i="1"/>
  <c r="AG117" i="1" s="1"/>
  <c r="AO117" i="1"/>
  <c r="AF317" i="1"/>
  <c r="AG317" i="1" s="1"/>
  <c r="AO317" i="1"/>
  <c r="AF477" i="1"/>
  <c r="AG477" i="1" s="1"/>
  <c r="AO477" i="1"/>
  <c r="AF722" i="1"/>
  <c r="AG722" i="1" s="1"/>
  <c r="AO722" i="1"/>
  <c r="AF24" i="1"/>
  <c r="AG24" i="1" s="1"/>
  <c r="AO24" i="1"/>
  <c r="AF96" i="1"/>
  <c r="AG96" i="1" s="1"/>
  <c r="AO96" i="1"/>
  <c r="AF160" i="1"/>
  <c r="AG160" i="1" s="1"/>
  <c r="AO160" i="1"/>
  <c r="AF232" i="1"/>
  <c r="AG232" i="1" s="1"/>
  <c r="AO232" i="1"/>
  <c r="AF312" i="1"/>
  <c r="AG312" i="1" s="1"/>
  <c r="AO312" i="1"/>
  <c r="AF376" i="1"/>
  <c r="AG376" i="1" s="1"/>
  <c r="AO376" i="1"/>
  <c r="AF440" i="1"/>
  <c r="AG440" i="1" s="1"/>
  <c r="AO440" i="1"/>
  <c r="AF504" i="1"/>
  <c r="AG504" i="1" s="1"/>
  <c r="AO504" i="1"/>
  <c r="AF568" i="1"/>
  <c r="AG568" i="1" s="1"/>
  <c r="AO568" i="1"/>
  <c r="AF640" i="1"/>
  <c r="AG640" i="1" s="1"/>
  <c r="AO640" i="1"/>
  <c r="AF712" i="1"/>
  <c r="AG712" i="1" s="1"/>
  <c r="AO712" i="1"/>
  <c r="AF784" i="1"/>
  <c r="AG784" i="1" s="1"/>
  <c r="AO784" i="1"/>
  <c r="AF848" i="1"/>
  <c r="AG848" i="1" s="1"/>
  <c r="AO848" i="1"/>
  <c r="AF928" i="1"/>
  <c r="AG928" i="1" s="1"/>
  <c r="AO928" i="1"/>
  <c r="AF992" i="1"/>
  <c r="AG992" i="1" s="1"/>
  <c r="AO992" i="1"/>
  <c r="AF17" i="1"/>
  <c r="AG17" i="1" s="1"/>
  <c r="AO17" i="1"/>
  <c r="AF89" i="1"/>
  <c r="AG89" i="1" s="1"/>
  <c r="AO89" i="1"/>
  <c r="AF61" i="1"/>
  <c r="AG61" i="1" s="1"/>
  <c r="AO61" i="1"/>
  <c r="AF780" i="1"/>
  <c r="AG780" i="1" s="1"/>
  <c r="AO780" i="1"/>
  <c r="AF58" i="1"/>
  <c r="AG58" i="1" s="1"/>
  <c r="AO58" i="1"/>
  <c r="AF122" i="1"/>
  <c r="AG122" i="1" s="1"/>
  <c r="AO122" i="1"/>
  <c r="AF186" i="1"/>
  <c r="AG186" i="1" s="1"/>
  <c r="AO186" i="1"/>
  <c r="AF250" i="1"/>
  <c r="AG250" i="1" s="1"/>
  <c r="AO250" i="1"/>
  <c r="AF314" i="1"/>
  <c r="AG314" i="1" s="1"/>
  <c r="AO314" i="1"/>
  <c r="AF378" i="1"/>
  <c r="AG378" i="1" s="1"/>
  <c r="AO378" i="1"/>
  <c r="AF442" i="1"/>
  <c r="AG442" i="1" s="1"/>
  <c r="AO442" i="1"/>
  <c r="AF506" i="1"/>
  <c r="AG506" i="1" s="1"/>
  <c r="AO506" i="1"/>
  <c r="AF570" i="1"/>
  <c r="AG570" i="1" s="1"/>
  <c r="AO570" i="1"/>
  <c r="AF634" i="1"/>
  <c r="AG634" i="1" s="1"/>
  <c r="AO634" i="1"/>
  <c r="AF698" i="1"/>
  <c r="AG698" i="1" s="1"/>
  <c r="AO698" i="1"/>
  <c r="AF818" i="1"/>
  <c r="AG818" i="1" s="1"/>
  <c r="AO818" i="1"/>
  <c r="AF906" i="1"/>
  <c r="AG906" i="1" s="1"/>
  <c r="AO906" i="1"/>
  <c r="AF986" i="1"/>
  <c r="AG986" i="1" s="1"/>
  <c r="AO986" i="1"/>
  <c r="AF772" i="1"/>
  <c r="AG772" i="1" s="1"/>
  <c r="AO772" i="1"/>
  <c r="AF35" i="1"/>
  <c r="AG35" i="1" s="1"/>
  <c r="AO35" i="1"/>
  <c r="AF99" i="1"/>
  <c r="AG99" i="1" s="1"/>
  <c r="AO99" i="1"/>
  <c r="AF171" i="1"/>
  <c r="AG171" i="1" s="1"/>
  <c r="AO171" i="1"/>
  <c r="AF243" i="1"/>
  <c r="AG243" i="1" s="1"/>
  <c r="AO243" i="1"/>
  <c r="AF307" i="1"/>
  <c r="AG307" i="1" s="1"/>
  <c r="AO307" i="1"/>
  <c r="AF379" i="1"/>
  <c r="AG379" i="1" s="1"/>
  <c r="AO379" i="1"/>
  <c r="AF443" i="1"/>
  <c r="AG443" i="1" s="1"/>
  <c r="AO443" i="1"/>
  <c r="AF507" i="1"/>
  <c r="AG507" i="1" s="1"/>
  <c r="AO507" i="1"/>
  <c r="AF571" i="1"/>
  <c r="AG571" i="1" s="1"/>
  <c r="AO571" i="1"/>
  <c r="AF635" i="1"/>
  <c r="AG635" i="1" s="1"/>
  <c r="AO635" i="1"/>
  <c r="AF699" i="1"/>
  <c r="AG699" i="1" s="1"/>
  <c r="AO699" i="1"/>
  <c r="AF763" i="1"/>
  <c r="AG763" i="1" s="1"/>
  <c r="AO763" i="1"/>
  <c r="AF827" i="1"/>
  <c r="AG827" i="1" s="1"/>
  <c r="AO827" i="1"/>
  <c r="AF891" i="1"/>
  <c r="AG891" i="1" s="1"/>
  <c r="AO891" i="1"/>
  <c r="AF955" i="1"/>
  <c r="AG955" i="1" s="1"/>
  <c r="AO955" i="1"/>
  <c r="AF605" i="1"/>
  <c r="AG605" i="1" s="1"/>
  <c r="AO605" i="1"/>
  <c r="AF149" i="1"/>
  <c r="AG149" i="1" s="1"/>
  <c r="AO149" i="1"/>
  <c r="AF325" i="1"/>
  <c r="AG325" i="1" s="1"/>
  <c r="AO325" i="1"/>
  <c r="AF453" i="1"/>
  <c r="AG453" i="1" s="1"/>
  <c r="AO453" i="1"/>
  <c r="AF613" i="1"/>
  <c r="AG613" i="1" s="1"/>
  <c r="AO613" i="1"/>
  <c r="AF12" i="1"/>
  <c r="AG12" i="1" s="1"/>
  <c r="AO12" i="1"/>
  <c r="AF84" i="1"/>
  <c r="AG84" i="1" s="1"/>
  <c r="AO84" i="1"/>
  <c r="AF148" i="1"/>
  <c r="AG148" i="1" s="1"/>
  <c r="AO148" i="1"/>
  <c r="AF220" i="1"/>
  <c r="AG220" i="1" s="1"/>
  <c r="AO220" i="1"/>
  <c r="AF292" i="1"/>
  <c r="AG292" i="1" s="1"/>
  <c r="AO292" i="1"/>
  <c r="AF356" i="1"/>
  <c r="AG356" i="1" s="1"/>
  <c r="AO356" i="1"/>
  <c r="AF420" i="1"/>
  <c r="AG420" i="1" s="1"/>
  <c r="AO420" i="1"/>
  <c r="AF484" i="1"/>
  <c r="AG484" i="1" s="1"/>
  <c r="AO484" i="1"/>
  <c r="AF548" i="1"/>
  <c r="AG548" i="1" s="1"/>
  <c r="AO548" i="1"/>
  <c r="AF612" i="1"/>
  <c r="AG612" i="1" s="1"/>
  <c r="AO612" i="1"/>
  <c r="AF676" i="1"/>
  <c r="AG676" i="1" s="1"/>
  <c r="AO676" i="1"/>
  <c r="AF820" i="1"/>
  <c r="AG820" i="1" s="1"/>
  <c r="AO820" i="1"/>
  <c r="AF908" i="1"/>
  <c r="AG908" i="1" s="1"/>
  <c r="AO908" i="1"/>
  <c r="AF52" i="1"/>
  <c r="AG52" i="1" s="1"/>
  <c r="AO52" i="1"/>
  <c r="AF765" i="1"/>
  <c r="AG765" i="1" s="1"/>
  <c r="AO765" i="1"/>
  <c r="AF109" i="1"/>
  <c r="AG109" i="1" s="1"/>
  <c r="AO109" i="1"/>
  <c r="AF198" i="1"/>
  <c r="AG198" i="1" s="1"/>
  <c r="AO198" i="1"/>
  <c r="AF681" i="1"/>
  <c r="AG681" i="1" s="1"/>
  <c r="AO681" i="1"/>
  <c r="AF775" i="1"/>
  <c r="AG775" i="1" s="1"/>
  <c r="AO775" i="1"/>
  <c r="AF265" i="1"/>
  <c r="AG265" i="1" s="1"/>
  <c r="AO265" i="1"/>
  <c r="AF878" i="1"/>
  <c r="AG878" i="1" s="1"/>
  <c r="AO878" i="1"/>
  <c r="AF991" i="1"/>
  <c r="AG991" i="1" s="1"/>
  <c r="AO991" i="1"/>
  <c r="AF471" i="1"/>
  <c r="AG471" i="1" s="1"/>
  <c r="AO471" i="1"/>
  <c r="AF822" i="1"/>
  <c r="AG822" i="1" s="1"/>
  <c r="AO822" i="1"/>
  <c r="AF893" i="1"/>
  <c r="AG893" i="1" s="1"/>
  <c r="AO893" i="1"/>
  <c r="AF958" i="1"/>
  <c r="AG958" i="1" s="1"/>
  <c r="AO958" i="1"/>
  <c r="AF281" i="1"/>
  <c r="AG281" i="1" s="1"/>
  <c r="AO281" i="1"/>
  <c r="AF886" i="1"/>
  <c r="AG886" i="1" s="1"/>
  <c r="AO886" i="1"/>
  <c r="AF70" i="1"/>
  <c r="AG70" i="1" s="1"/>
  <c r="AO70" i="1"/>
  <c r="AF142" i="1"/>
  <c r="AG142" i="1" s="1"/>
  <c r="AO142" i="1"/>
  <c r="AF214" i="1"/>
  <c r="AG214" i="1" s="1"/>
  <c r="AO214" i="1"/>
  <c r="AF278" i="1"/>
  <c r="AG278" i="1" s="1"/>
  <c r="AO278" i="1"/>
  <c r="AF342" i="1"/>
  <c r="AG342" i="1" s="1"/>
  <c r="AO342" i="1"/>
  <c r="AF414" i="1"/>
  <c r="AG414" i="1" s="1"/>
  <c r="AO414" i="1"/>
  <c r="AF478" i="1"/>
  <c r="AG478" i="1" s="1"/>
  <c r="AO478" i="1"/>
  <c r="AF542" i="1"/>
  <c r="AG542" i="1" s="1"/>
  <c r="AO542" i="1"/>
  <c r="AF614" i="1"/>
  <c r="AG614" i="1" s="1"/>
  <c r="AO614" i="1"/>
  <c r="AF702" i="1"/>
  <c r="AG702" i="1" s="1"/>
  <c r="AO702" i="1"/>
  <c r="AF782" i="1"/>
  <c r="AG782" i="1" s="1"/>
  <c r="AO782" i="1"/>
  <c r="AF894" i="1"/>
  <c r="AG894" i="1" s="1"/>
  <c r="AO894" i="1"/>
  <c r="AF919" i="1"/>
  <c r="AG919" i="1" s="1"/>
  <c r="AO919" i="1"/>
  <c r="AF423" i="1"/>
  <c r="AG423" i="1" s="1"/>
  <c r="AO423" i="1"/>
  <c r="AF47" i="1"/>
  <c r="AG47" i="1" s="1"/>
  <c r="AO47" i="1"/>
  <c r="AF119" i="1"/>
  <c r="AG119" i="1" s="1"/>
  <c r="AO119" i="1"/>
  <c r="AF183" i="1"/>
  <c r="AG183" i="1" s="1"/>
  <c r="AO183" i="1"/>
  <c r="AF271" i="1"/>
  <c r="AG271" i="1" s="1"/>
  <c r="AO271" i="1"/>
  <c r="AF383" i="1"/>
  <c r="AG383" i="1" s="1"/>
  <c r="AO383" i="1"/>
  <c r="AF503" i="1"/>
  <c r="AG503" i="1" s="1"/>
  <c r="AO503" i="1"/>
  <c r="AF607" i="1"/>
  <c r="AG607" i="1" s="1"/>
  <c r="AO607" i="1"/>
  <c r="AF687" i="1"/>
  <c r="AG687" i="1" s="1"/>
  <c r="AO687" i="1"/>
  <c r="AF783" i="1"/>
  <c r="AG783" i="1" s="1"/>
  <c r="AO783" i="1"/>
  <c r="AF847" i="1"/>
  <c r="AG847" i="1" s="1"/>
  <c r="AO847" i="1"/>
  <c r="AF943" i="1"/>
  <c r="AG943" i="1" s="1"/>
  <c r="AO943" i="1"/>
  <c r="AF129" i="1"/>
  <c r="AG129" i="1" s="1"/>
  <c r="AO129" i="1"/>
  <c r="AF209" i="1"/>
  <c r="AG209" i="1" s="1"/>
  <c r="AO209" i="1"/>
  <c r="AF297" i="1"/>
  <c r="AG297" i="1" s="1"/>
  <c r="AO297" i="1"/>
  <c r="AF377" i="1"/>
  <c r="AG377" i="1" s="1"/>
  <c r="AO377" i="1"/>
  <c r="AF465" i="1"/>
  <c r="AG465" i="1" s="1"/>
  <c r="AO465" i="1"/>
  <c r="AF553" i="1"/>
  <c r="AG553" i="1" s="1"/>
  <c r="AO553" i="1"/>
  <c r="AF633" i="1"/>
  <c r="AG633" i="1" s="1"/>
  <c r="AO633" i="1"/>
  <c r="AF713" i="1"/>
  <c r="AG713" i="1" s="1"/>
  <c r="AO713" i="1"/>
  <c r="AF809" i="1"/>
  <c r="AG809" i="1" s="1"/>
  <c r="AO809" i="1"/>
  <c r="AF873" i="1"/>
  <c r="AG873" i="1" s="1"/>
  <c r="AO873" i="1"/>
  <c r="AF945" i="1"/>
  <c r="AG945" i="1" s="1"/>
  <c r="AO945" i="1"/>
  <c r="AF88" i="1"/>
  <c r="AG88" i="1" s="1"/>
  <c r="AO88" i="1"/>
  <c r="AF794" i="1"/>
  <c r="AG794" i="1" s="1"/>
  <c r="AO794" i="1"/>
  <c r="AF557" i="1"/>
  <c r="AG557" i="1" s="1"/>
  <c r="AO557" i="1"/>
  <c r="AF344" i="1"/>
  <c r="AG344" i="1" s="1"/>
  <c r="AO344" i="1"/>
  <c r="AF724" i="1"/>
  <c r="AG724" i="1" s="1"/>
  <c r="AO724" i="1"/>
  <c r="AF154" i="1"/>
  <c r="AG154" i="1" s="1"/>
  <c r="AO154" i="1"/>
  <c r="AF602" i="1"/>
  <c r="AG602" i="1" s="1"/>
  <c r="AO602" i="1"/>
  <c r="AF3" i="1"/>
  <c r="AG3" i="1" s="1"/>
  <c r="AO3" i="1"/>
  <c r="AF475" i="1"/>
  <c r="AG475" i="1" s="1"/>
  <c r="AO475" i="1"/>
  <c r="AF5" i="1"/>
  <c r="AG5" i="1" s="1"/>
  <c r="AO5" i="1"/>
  <c r="AF180" i="1"/>
  <c r="AG180" i="1" s="1"/>
  <c r="AO180" i="1"/>
  <c r="AF516" i="1"/>
  <c r="AG516" i="1" s="1"/>
  <c r="AO516" i="1"/>
  <c r="AF904" i="1"/>
  <c r="AG904" i="1" s="1"/>
  <c r="AO904" i="1"/>
  <c r="AF521" i="1"/>
  <c r="AG521" i="1" s="1"/>
  <c r="AO521" i="1"/>
  <c r="AF957" i="1"/>
  <c r="AG957" i="1" s="1"/>
  <c r="AO957" i="1"/>
  <c r="AF310" i="1"/>
  <c r="AG310" i="1" s="1"/>
  <c r="AO310" i="1"/>
  <c r="AF734" i="1"/>
  <c r="AG734" i="1" s="1"/>
  <c r="AO734" i="1"/>
  <c r="AF79" i="1"/>
  <c r="AG79" i="1" s="1"/>
  <c r="AO79" i="1"/>
  <c r="AF559" i="1"/>
  <c r="AG559" i="1" s="1"/>
  <c r="AO559" i="1"/>
  <c r="AF169" i="1"/>
  <c r="AG169" i="1" s="1"/>
  <c r="AO169" i="1"/>
  <c r="AF337" i="1"/>
  <c r="AG337" i="1" s="1"/>
  <c r="AO337" i="1"/>
  <c r="AF593" i="1"/>
  <c r="AG593" i="1" s="1"/>
  <c r="AO593" i="1"/>
  <c r="AF673" i="1"/>
  <c r="AG673" i="1" s="1"/>
  <c r="AO673" i="1"/>
  <c r="AF493" i="1"/>
  <c r="AG493" i="1" s="1"/>
  <c r="AO493" i="1"/>
  <c r="AF732" i="1"/>
  <c r="AG732" i="1" s="1"/>
  <c r="AO732" i="1"/>
  <c r="AF104" i="1"/>
  <c r="AG104" i="1" s="1"/>
  <c r="AO104" i="1"/>
  <c r="AF176" i="1"/>
  <c r="AG176" i="1" s="1"/>
  <c r="AO176" i="1"/>
  <c r="AF248" i="1"/>
  <c r="AG248" i="1" s="1"/>
  <c r="AO248" i="1"/>
  <c r="AF384" i="1"/>
  <c r="AG384" i="1" s="1"/>
  <c r="AO384" i="1"/>
  <c r="AF448" i="1"/>
  <c r="AG448" i="1" s="1"/>
  <c r="AO448" i="1"/>
  <c r="AF576" i="1"/>
  <c r="AG576" i="1" s="1"/>
  <c r="AO576" i="1"/>
  <c r="AF648" i="1"/>
  <c r="AG648" i="1" s="1"/>
  <c r="AO648" i="1"/>
  <c r="AF720" i="1"/>
  <c r="AG720" i="1" s="1"/>
  <c r="AO720" i="1"/>
  <c r="AF792" i="1"/>
  <c r="AG792" i="1" s="1"/>
  <c r="AO792" i="1"/>
  <c r="AF856" i="1"/>
  <c r="AG856" i="1" s="1"/>
  <c r="AO856" i="1"/>
  <c r="AF936" i="1"/>
  <c r="AG936" i="1" s="1"/>
  <c r="AO936" i="1"/>
  <c r="AF1000" i="1"/>
  <c r="AG1000" i="1" s="1"/>
  <c r="AO1000" i="1"/>
  <c r="AF25" i="1"/>
  <c r="AG25" i="1" s="1"/>
  <c r="AO25" i="1"/>
  <c r="AF97" i="1"/>
  <c r="AG97" i="1" s="1"/>
  <c r="AO97" i="1"/>
  <c r="AF93" i="1"/>
  <c r="AG93" i="1" s="1"/>
  <c r="AO93" i="1"/>
  <c r="AF789" i="1"/>
  <c r="AG789" i="1" s="1"/>
  <c r="AO789" i="1"/>
  <c r="AF66" i="1"/>
  <c r="AG66" i="1" s="1"/>
  <c r="AO66" i="1"/>
  <c r="AF130" i="1"/>
  <c r="AG130" i="1" s="1"/>
  <c r="AO130" i="1"/>
  <c r="AF194" i="1"/>
  <c r="AG194" i="1" s="1"/>
  <c r="AO194" i="1"/>
  <c r="AF258" i="1"/>
  <c r="AG258" i="1" s="1"/>
  <c r="AO258" i="1"/>
  <c r="AF322" i="1"/>
  <c r="AG322" i="1" s="1"/>
  <c r="AO322" i="1"/>
  <c r="AF386" i="1"/>
  <c r="AG386" i="1" s="1"/>
  <c r="AO386" i="1"/>
  <c r="AF450" i="1"/>
  <c r="AG450" i="1" s="1"/>
  <c r="AO450" i="1"/>
  <c r="AF514" i="1"/>
  <c r="AG514" i="1" s="1"/>
  <c r="AO514" i="1"/>
  <c r="AF578" i="1"/>
  <c r="AG578" i="1" s="1"/>
  <c r="AO578" i="1"/>
  <c r="AF642" i="1"/>
  <c r="AG642" i="1" s="1"/>
  <c r="AO642" i="1"/>
  <c r="AF714" i="1"/>
  <c r="AG714" i="1" s="1"/>
  <c r="AO714" i="1"/>
  <c r="AF834" i="1"/>
  <c r="AG834" i="1" s="1"/>
  <c r="AO834" i="1"/>
  <c r="AF914" i="1"/>
  <c r="AG914" i="1" s="1"/>
  <c r="AO914" i="1"/>
  <c r="AF994" i="1"/>
  <c r="AG994" i="1" s="1"/>
  <c r="AO994" i="1"/>
  <c r="AF858" i="1"/>
  <c r="AG858" i="1" s="1"/>
  <c r="AO858" i="1"/>
  <c r="AF43" i="1"/>
  <c r="AG43" i="1" s="1"/>
  <c r="AO43" i="1"/>
  <c r="AF107" i="1"/>
  <c r="AG107" i="1" s="1"/>
  <c r="AO107" i="1"/>
  <c r="AF179" i="1"/>
  <c r="AG179" i="1" s="1"/>
  <c r="AO179" i="1"/>
  <c r="AF251" i="1"/>
  <c r="AG251" i="1" s="1"/>
  <c r="AO251" i="1"/>
  <c r="AF323" i="1"/>
  <c r="AG323" i="1" s="1"/>
  <c r="AO323" i="1"/>
  <c r="AF387" i="1"/>
  <c r="AG387" i="1" s="1"/>
  <c r="AO387" i="1"/>
  <c r="AF451" i="1"/>
  <c r="AG451" i="1" s="1"/>
  <c r="AO451" i="1"/>
  <c r="AF515" i="1"/>
  <c r="AG515" i="1" s="1"/>
  <c r="AO515" i="1"/>
  <c r="AF579" i="1"/>
  <c r="AG579" i="1" s="1"/>
  <c r="AO579" i="1"/>
  <c r="AF643" i="1"/>
  <c r="AG643" i="1" s="1"/>
  <c r="AO643" i="1"/>
  <c r="AF707" i="1"/>
  <c r="AG707" i="1" s="1"/>
  <c r="AO707" i="1"/>
  <c r="AF771" i="1"/>
  <c r="AG771" i="1" s="1"/>
  <c r="AO771" i="1"/>
  <c r="AF835" i="1"/>
  <c r="AG835" i="1" s="1"/>
  <c r="AO835" i="1"/>
  <c r="AF899" i="1"/>
  <c r="AG899" i="1" s="1"/>
  <c r="AO899" i="1"/>
  <c r="AF963" i="1"/>
  <c r="AG963" i="1" s="1"/>
  <c r="AO963" i="1"/>
  <c r="AF781" i="1"/>
  <c r="AG781" i="1" s="1"/>
  <c r="AO781" i="1"/>
  <c r="AF213" i="1"/>
  <c r="AG213" i="1" s="1"/>
  <c r="AO213" i="1"/>
  <c r="AF341" i="1"/>
  <c r="AG341" i="1" s="1"/>
  <c r="AO341" i="1"/>
  <c r="AF485" i="1"/>
  <c r="AG485" i="1" s="1"/>
  <c r="AO485" i="1"/>
  <c r="AF653" i="1"/>
  <c r="AG653" i="1" s="1"/>
  <c r="AO653" i="1"/>
  <c r="AF20" i="1"/>
  <c r="AG20" i="1" s="1"/>
  <c r="AO20" i="1"/>
  <c r="AF92" i="1"/>
  <c r="AG92" i="1" s="1"/>
  <c r="AO92" i="1"/>
  <c r="AF156" i="1"/>
  <c r="AG156" i="1" s="1"/>
  <c r="AO156" i="1"/>
  <c r="AF228" i="1"/>
  <c r="AG228" i="1" s="1"/>
  <c r="AO228" i="1"/>
  <c r="AF300" i="1"/>
  <c r="AG300" i="1" s="1"/>
  <c r="AO300" i="1"/>
  <c r="AF364" i="1"/>
  <c r="AG364" i="1" s="1"/>
  <c r="AO364" i="1"/>
  <c r="AF428" i="1"/>
  <c r="AG428" i="1" s="1"/>
  <c r="AO428" i="1"/>
  <c r="AF492" i="1"/>
  <c r="AG492" i="1" s="1"/>
  <c r="AO492" i="1"/>
  <c r="AF556" i="1"/>
  <c r="AG556" i="1" s="1"/>
  <c r="AO556" i="1"/>
  <c r="AF620" i="1"/>
  <c r="AG620" i="1" s="1"/>
  <c r="AO620" i="1"/>
  <c r="AF684" i="1"/>
  <c r="AG684" i="1" s="1"/>
  <c r="AO684" i="1"/>
  <c r="AF836" i="1"/>
  <c r="AG836" i="1" s="1"/>
  <c r="AO836" i="1"/>
  <c r="AF916" i="1"/>
  <c r="AG916" i="1" s="1"/>
  <c r="AO916" i="1"/>
  <c r="AF168" i="1"/>
  <c r="AG168" i="1" s="1"/>
  <c r="AO168" i="1"/>
  <c r="AF828" i="1"/>
  <c r="AG828" i="1" s="1"/>
  <c r="AO828" i="1"/>
  <c r="AF133" i="1"/>
  <c r="AG133" i="1" s="1"/>
  <c r="AO133" i="1"/>
  <c r="AF263" i="1"/>
  <c r="AG263" i="1" s="1"/>
  <c r="AO263" i="1"/>
  <c r="AF813" i="1"/>
  <c r="AG813" i="1" s="1"/>
  <c r="AO813" i="1"/>
  <c r="AF911" i="1"/>
  <c r="AG911" i="1" s="1"/>
  <c r="AO911" i="1"/>
  <c r="AF329" i="1"/>
  <c r="AG329" i="1" s="1"/>
  <c r="AO329" i="1"/>
  <c r="AF910" i="1"/>
  <c r="AG910" i="1" s="1"/>
  <c r="AO910" i="1"/>
  <c r="AF87" i="1"/>
  <c r="AG87" i="1" s="1"/>
  <c r="AO87" i="1"/>
  <c r="AF535" i="1"/>
  <c r="AG535" i="1" s="1"/>
  <c r="AO535" i="1"/>
  <c r="AF853" i="1"/>
  <c r="AG853" i="1" s="1"/>
  <c r="AO853" i="1"/>
  <c r="AF901" i="1"/>
  <c r="AG901" i="1" s="1"/>
  <c r="AO901" i="1"/>
  <c r="AF935" i="1"/>
  <c r="AG935" i="1" s="1"/>
  <c r="AO935" i="1"/>
  <c r="AF345" i="1"/>
  <c r="AG345" i="1" s="1"/>
  <c r="AO345" i="1"/>
  <c r="AF918" i="1"/>
  <c r="AG918" i="1" s="1"/>
  <c r="AO918" i="1"/>
  <c r="AF78" i="1"/>
  <c r="AG78" i="1" s="1"/>
  <c r="AO78" i="1"/>
  <c r="AF150" i="1"/>
  <c r="AG150" i="1" s="1"/>
  <c r="AO150" i="1"/>
  <c r="AF222" i="1"/>
  <c r="AG222" i="1" s="1"/>
  <c r="AO222" i="1"/>
  <c r="AF286" i="1"/>
  <c r="AG286" i="1" s="1"/>
  <c r="AO286" i="1"/>
  <c r="AF350" i="1"/>
  <c r="AG350" i="1" s="1"/>
  <c r="AO350" i="1"/>
  <c r="AF422" i="1"/>
  <c r="AG422" i="1" s="1"/>
  <c r="AO422" i="1"/>
  <c r="AF486" i="1"/>
  <c r="AG486" i="1" s="1"/>
  <c r="AO486" i="1"/>
  <c r="AF558" i="1"/>
  <c r="AG558" i="1" s="1"/>
  <c r="AO558" i="1"/>
  <c r="AF630" i="1"/>
  <c r="AG630" i="1" s="1"/>
  <c r="AO630" i="1"/>
  <c r="AF710" i="1"/>
  <c r="AG710" i="1" s="1"/>
  <c r="AO710" i="1"/>
  <c r="AF790" i="1"/>
  <c r="AG790" i="1" s="1"/>
  <c r="AO790" i="1"/>
  <c r="AF902" i="1"/>
  <c r="AG902" i="1" s="1"/>
  <c r="AO902" i="1"/>
  <c r="AF983" i="1"/>
  <c r="AG983" i="1" s="1"/>
  <c r="AO983" i="1"/>
  <c r="AF487" i="1"/>
  <c r="AG487" i="1" s="1"/>
  <c r="AO487" i="1"/>
  <c r="AF55" i="1"/>
  <c r="AG55" i="1" s="1"/>
  <c r="AO55" i="1"/>
  <c r="AF127" i="1"/>
  <c r="AG127" i="1" s="1"/>
  <c r="AO127" i="1"/>
  <c r="AF191" i="1"/>
  <c r="AG191" i="1" s="1"/>
  <c r="AO191" i="1"/>
  <c r="AF303" i="1"/>
  <c r="AG303" i="1" s="1"/>
  <c r="AO303" i="1"/>
  <c r="AF399" i="1"/>
  <c r="AG399" i="1" s="1"/>
  <c r="AO399" i="1"/>
  <c r="AF511" i="1"/>
  <c r="AG511" i="1" s="1"/>
  <c r="AO511" i="1"/>
  <c r="AF623" i="1"/>
  <c r="AG623" i="1" s="1"/>
  <c r="AO623" i="1"/>
  <c r="AF695" i="1"/>
  <c r="AG695" i="1" s="1"/>
  <c r="AO695" i="1"/>
  <c r="AF791" i="1"/>
  <c r="AG791" i="1" s="1"/>
  <c r="AO791" i="1"/>
  <c r="AF855" i="1"/>
  <c r="AG855" i="1" s="1"/>
  <c r="AO855" i="1"/>
  <c r="AF959" i="1"/>
  <c r="AG959" i="1" s="1"/>
  <c r="AO959" i="1"/>
  <c r="AF137" i="1"/>
  <c r="AG137" i="1" s="1"/>
  <c r="AO137" i="1"/>
  <c r="AF225" i="1"/>
  <c r="AG225" i="1" s="1"/>
  <c r="AO225" i="1"/>
  <c r="AF305" i="1"/>
  <c r="AG305" i="1" s="1"/>
  <c r="AO305" i="1"/>
  <c r="AF385" i="1"/>
  <c r="AG385" i="1" s="1"/>
  <c r="AO385" i="1"/>
  <c r="AF481" i="1"/>
  <c r="AG481" i="1" s="1"/>
  <c r="AO481" i="1"/>
  <c r="AF561" i="1"/>
  <c r="AG561" i="1" s="1"/>
  <c r="AO561" i="1"/>
  <c r="AF649" i="1"/>
  <c r="AG649" i="1" s="1"/>
  <c r="AO649" i="1"/>
  <c r="AF737" i="1"/>
  <c r="AG737" i="1" s="1"/>
  <c r="AO737" i="1"/>
  <c r="AF817" i="1"/>
  <c r="AG817" i="1" s="1"/>
  <c r="AO817" i="1"/>
  <c r="AF881" i="1"/>
  <c r="AG881" i="1" s="1"/>
  <c r="AO881" i="1"/>
  <c r="AF953" i="1"/>
  <c r="AG953" i="1" s="1"/>
  <c r="AO953" i="1"/>
  <c r="AF730" i="1"/>
  <c r="AG730" i="1" s="1"/>
  <c r="AO730" i="1"/>
  <c r="AF188" i="1"/>
  <c r="AG188" i="1" s="1"/>
  <c r="AO188" i="1"/>
  <c r="AF115" i="1"/>
  <c r="AG115" i="1" s="1"/>
  <c r="AO115" i="1"/>
  <c r="AF200" i="1"/>
  <c r="AG200" i="1" s="1"/>
  <c r="AO200" i="1"/>
  <c r="AF536" i="1"/>
  <c r="AG536" i="1" s="1"/>
  <c r="AO536" i="1"/>
  <c r="AF880" i="1"/>
  <c r="AG880" i="1" s="1"/>
  <c r="AO880" i="1"/>
  <c r="AF240" i="1"/>
  <c r="AG240" i="1" s="1"/>
  <c r="AO240" i="1"/>
  <c r="AF346" i="1"/>
  <c r="AG346" i="1" s="1"/>
  <c r="AO346" i="1"/>
  <c r="AF762" i="1"/>
  <c r="AG762" i="1" s="1"/>
  <c r="AO762" i="1"/>
  <c r="AF211" i="1"/>
  <c r="AG211" i="1" s="1"/>
  <c r="AO211" i="1"/>
  <c r="AF603" i="1"/>
  <c r="AG603" i="1" s="1"/>
  <c r="AO603" i="1"/>
  <c r="AF987" i="1"/>
  <c r="AG987" i="1" s="1"/>
  <c r="AO987" i="1"/>
  <c r="AF116" i="1"/>
  <c r="AG116" i="1" s="1"/>
  <c r="AO116" i="1"/>
  <c r="AF580" i="1"/>
  <c r="AG580" i="1" s="1"/>
  <c r="AO580" i="1"/>
  <c r="AF205" i="1"/>
  <c r="AG205" i="1" s="1"/>
  <c r="AO205" i="1"/>
  <c r="AF215" i="1"/>
  <c r="AG215" i="1" s="1"/>
  <c r="AO215" i="1"/>
  <c r="AF913" i="1"/>
  <c r="AG913" i="1" s="1"/>
  <c r="AO913" i="1"/>
  <c r="AF374" i="1"/>
  <c r="AG374" i="1" s="1"/>
  <c r="AO374" i="1"/>
  <c r="AF15" i="1"/>
  <c r="AG15" i="1" s="1"/>
  <c r="AO15" i="1"/>
  <c r="AF719" i="1"/>
  <c r="AG719" i="1" s="1"/>
  <c r="AO719" i="1"/>
  <c r="AF905" i="1"/>
  <c r="AG905" i="1" s="1"/>
  <c r="AO905" i="1"/>
  <c r="AF181" i="1"/>
  <c r="AG181" i="1" s="1"/>
  <c r="AO181" i="1"/>
  <c r="AF320" i="1"/>
  <c r="AG320" i="1" s="1"/>
  <c r="AO320" i="1"/>
  <c r="AF221" i="1"/>
  <c r="AG221" i="1" s="1"/>
  <c r="AO221" i="1"/>
  <c r="AF349" i="1"/>
  <c r="AG349" i="1" s="1"/>
  <c r="AO349" i="1"/>
  <c r="AF525" i="1"/>
  <c r="AG525" i="1" s="1"/>
  <c r="AO525" i="1"/>
  <c r="AF40" i="1"/>
  <c r="AG40" i="1" s="1"/>
  <c r="AO40" i="1"/>
  <c r="AF112" i="1"/>
  <c r="AG112" i="1" s="1"/>
  <c r="AO112" i="1"/>
  <c r="AF184" i="1"/>
  <c r="AG184" i="1" s="1"/>
  <c r="AO184" i="1"/>
  <c r="AF256" i="1"/>
  <c r="AG256" i="1" s="1"/>
  <c r="AO256" i="1"/>
  <c r="AF328" i="1"/>
  <c r="AG328" i="1" s="1"/>
  <c r="AO328" i="1"/>
  <c r="AF392" i="1"/>
  <c r="AG392" i="1" s="1"/>
  <c r="AO392" i="1"/>
  <c r="AF456" i="1"/>
  <c r="AG456" i="1" s="1"/>
  <c r="AO456" i="1"/>
  <c r="AF520" i="1"/>
  <c r="AG520" i="1" s="1"/>
  <c r="AO520" i="1"/>
  <c r="AF584" i="1"/>
  <c r="AG584" i="1" s="1"/>
  <c r="AO584" i="1"/>
  <c r="AF656" i="1"/>
  <c r="AG656" i="1" s="1"/>
  <c r="AO656" i="1"/>
  <c r="AF728" i="1"/>
  <c r="AG728" i="1" s="1"/>
  <c r="AO728" i="1"/>
  <c r="AF800" i="1"/>
  <c r="AG800" i="1" s="1"/>
  <c r="AO800" i="1"/>
  <c r="AF864" i="1"/>
  <c r="AG864" i="1" s="1"/>
  <c r="AO864" i="1"/>
  <c r="AF944" i="1"/>
  <c r="AG944" i="1" s="1"/>
  <c r="AO944" i="1"/>
  <c r="AF315" i="1"/>
  <c r="AG315" i="1" s="1"/>
  <c r="AO315" i="1"/>
  <c r="AF33" i="1"/>
  <c r="AG33" i="1" s="1"/>
  <c r="AO33" i="1"/>
  <c r="AF105" i="1"/>
  <c r="AG105" i="1" s="1"/>
  <c r="AO105" i="1"/>
  <c r="AF165" i="1"/>
  <c r="AG165" i="1" s="1"/>
  <c r="AO165" i="1"/>
  <c r="AF10" i="1"/>
  <c r="AG10" i="1" s="1"/>
  <c r="AO10" i="1"/>
  <c r="AF74" i="1"/>
  <c r="AG74" i="1" s="1"/>
  <c r="AO74" i="1"/>
  <c r="AF138" i="1"/>
  <c r="AG138" i="1" s="1"/>
  <c r="AO138" i="1"/>
  <c r="AF202" i="1"/>
  <c r="AG202" i="1" s="1"/>
  <c r="AO202" i="1"/>
  <c r="AF266" i="1"/>
  <c r="AG266" i="1" s="1"/>
  <c r="AO266" i="1"/>
  <c r="AF330" i="1"/>
  <c r="AG330" i="1" s="1"/>
  <c r="AO330" i="1"/>
  <c r="AF394" i="1"/>
  <c r="AG394" i="1" s="1"/>
  <c r="AO394" i="1"/>
  <c r="AF458" i="1"/>
  <c r="AG458" i="1" s="1"/>
  <c r="AO458" i="1"/>
  <c r="AF522" i="1"/>
  <c r="AG522" i="1" s="1"/>
  <c r="AO522" i="1"/>
  <c r="AF586" i="1"/>
  <c r="AG586" i="1" s="1"/>
  <c r="AO586" i="1"/>
  <c r="AF650" i="1"/>
  <c r="AG650" i="1" s="1"/>
  <c r="AO650" i="1"/>
  <c r="AF738" i="1"/>
  <c r="AG738" i="1" s="1"/>
  <c r="AO738" i="1"/>
  <c r="AF842" i="1"/>
  <c r="AG842" i="1" s="1"/>
  <c r="AO842" i="1"/>
  <c r="AF938" i="1"/>
  <c r="AG938" i="1" s="1"/>
  <c r="AO938" i="1"/>
  <c r="AF2" i="1"/>
  <c r="AG2" i="1" s="1"/>
  <c r="AO2" i="1"/>
  <c r="AF922" i="1"/>
  <c r="AG922" i="1" s="1"/>
  <c r="AO922" i="1"/>
  <c r="AF51" i="1"/>
  <c r="AG51" i="1" s="1"/>
  <c r="AO51" i="1"/>
  <c r="AF123" i="1"/>
  <c r="AG123" i="1" s="1"/>
  <c r="AO123" i="1"/>
  <c r="AF187" i="1"/>
  <c r="AG187" i="1" s="1"/>
  <c r="AO187" i="1"/>
  <c r="AF259" i="1"/>
  <c r="AG259" i="1" s="1"/>
  <c r="AO259" i="1"/>
  <c r="AF331" i="1"/>
  <c r="AG331" i="1" s="1"/>
  <c r="AO331" i="1"/>
  <c r="AF395" i="1"/>
  <c r="AG395" i="1" s="1"/>
  <c r="AO395" i="1"/>
  <c r="AF459" i="1"/>
  <c r="AG459" i="1" s="1"/>
  <c r="AO459" i="1"/>
  <c r="AF523" i="1"/>
  <c r="AG523" i="1" s="1"/>
  <c r="AO523" i="1"/>
  <c r="AF587" i="1"/>
  <c r="AG587" i="1" s="1"/>
  <c r="AO587" i="1"/>
  <c r="AF651" i="1"/>
  <c r="AG651" i="1" s="1"/>
  <c r="AO651" i="1"/>
  <c r="AF715" i="1"/>
  <c r="AG715" i="1" s="1"/>
  <c r="AO715" i="1"/>
  <c r="AF779" i="1"/>
  <c r="AG779" i="1" s="1"/>
  <c r="AO779" i="1"/>
  <c r="AF843" i="1"/>
  <c r="AG843" i="1" s="1"/>
  <c r="AO843" i="1"/>
  <c r="AF907" i="1"/>
  <c r="AG907" i="1" s="1"/>
  <c r="AO907" i="1"/>
  <c r="AF971" i="1"/>
  <c r="AG971" i="1" s="1"/>
  <c r="AO971" i="1"/>
  <c r="AF826" i="1"/>
  <c r="AG826" i="1" s="1"/>
  <c r="AO826" i="1"/>
  <c r="AF229" i="1"/>
  <c r="AG229" i="1" s="1"/>
  <c r="AO229" i="1"/>
  <c r="AF357" i="1"/>
  <c r="AG357" i="1" s="1"/>
  <c r="AO357" i="1"/>
  <c r="AF501" i="1"/>
  <c r="AG501" i="1" s="1"/>
  <c r="AO501" i="1"/>
  <c r="AF700" i="1"/>
  <c r="AG700" i="1" s="1"/>
  <c r="AO700" i="1"/>
  <c r="AF28" i="1"/>
  <c r="AG28" i="1" s="1"/>
  <c r="AO28" i="1"/>
  <c r="AF100" i="1"/>
  <c r="AG100" i="1" s="1"/>
  <c r="AO100" i="1"/>
  <c r="AF164" i="1"/>
  <c r="AG164" i="1" s="1"/>
  <c r="AO164" i="1"/>
  <c r="AF236" i="1"/>
  <c r="AG236" i="1" s="1"/>
  <c r="AO236" i="1"/>
  <c r="AF308" i="1"/>
  <c r="AG308" i="1" s="1"/>
  <c r="AO308" i="1"/>
  <c r="AF372" i="1"/>
  <c r="AG372" i="1" s="1"/>
  <c r="AO372" i="1"/>
  <c r="AF436" i="1"/>
  <c r="AG436" i="1" s="1"/>
  <c r="AO436" i="1"/>
  <c r="AF500" i="1"/>
  <c r="AG500" i="1" s="1"/>
  <c r="AO500" i="1"/>
  <c r="AF564" i="1"/>
  <c r="AG564" i="1" s="1"/>
  <c r="AO564" i="1"/>
  <c r="AF628" i="1"/>
  <c r="AG628" i="1" s="1"/>
  <c r="AO628" i="1"/>
  <c r="AF692" i="1"/>
  <c r="AG692" i="1" s="1"/>
  <c r="AO692" i="1"/>
  <c r="AF844" i="1"/>
  <c r="AG844" i="1" s="1"/>
  <c r="AO844" i="1"/>
  <c r="AF924" i="1"/>
  <c r="AG924" i="1" s="1"/>
  <c r="AO924" i="1"/>
  <c r="AF268" i="1"/>
  <c r="AG268" i="1" s="1"/>
  <c r="AO268" i="1"/>
  <c r="AF868" i="1"/>
  <c r="AG868" i="1" s="1"/>
  <c r="AO868" i="1"/>
  <c r="AF157" i="1"/>
  <c r="AG157" i="1" s="1"/>
  <c r="AO157" i="1"/>
  <c r="AF327" i="1"/>
  <c r="AG327" i="1" s="1"/>
  <c r="AO327" i="1"/>
  <c r="AF845" i="1"/>
  <c r="AG845" i="1" s="1"/>
  <c r="AO845" i="1"/>
  <c r="AF975" i="1"/>
  <c r="AG975" i="1" s="1"/>
  <c r="AO975" i="1"/>
  <c r="AF393" i="1"/>
  <c r="AG393" i="1" s="1"/>
  <c r="AO393" i="1"/>
  <c r="AF974" i="1"/>
  <c r="AG974" i="1" s="1"/>
  <c r="AO974" i="1"/>
  <c r="AF463" i="1"/>
  <c r="AG463" i="1" s="1"/>
  <c r="AO463" i="1"/>
  <c r="AF599" i="1"/>
  <c r="AG599" i="1" s="1"/>
  <c r="AO599" i="1"/>
  <c r="AF917" i="1"/>
  <c r="AG917" i="1" s="1"/>
  <c r="AO917" i="1"/>
  <c r="AF925" i="1"/>
  <c r="AG925" i="1" s="1"/>
  <c r="AO925" i="1"/>
  <c r="AF967" i="1"/>
  <c r="AG967" i="1" s="1"/>
  <c r="AO967" i="1"/>
  <c r="AF409" i="1"/>
  <c r="AG409" i="1" s="1"/>
  <c r="AO409" i="1"/>
  <c r="AF6" i="1"/>
  <c r="AG6" i="1" s="1"/>
  <c r="AO6" i="1"/>
  <c r="AF86" i="1"/>
  <c r="AG86" i="1" s="1"/>
  <c r="AO86" i="1"/>
  <c r="AF158" i="1"/>
  <c r="AG158" i="1" s="1"/>
  <c r="AO158" i="1"/>
  <c r="AF230" i="1"/>
  <c r="AG230" i="1" s="1"/>
  <c r="AO230" i="1"/>
  <c r="AF294" i="1"/>
  <c r="AG294" i="1" s="1"/>
  <c r="AO294" i="1"/>
  <c r="AF358" i="1"/>
  <c r="AG358" i="1" s="1"/>
  <c r="AO358" i="1"/>
  <c r="AF430" i="1"/>
  <c r="AG430" i="1" s="1"/>
  <c r="AO430" i="1"/>
  <c r="AF494" i="1"/>
  <c r="AG494" i="1" s="1"/>
  <c r="AO494" i="1"/>
  <c r="AF566" i="1"/>
  <c r="AG566" i="1" s="1"/>
  <c r="AO566" i="1"/>
  <c r="AF638" i="1"/>
  <c r="AG638" i="1" s="1"/>
  <c r="AO638" i="1"/>
  <c r="AF718" i="1"/>
  <c r="AG718" i="1" s="1"/>
  <c r="AO718" i="1"/>
  <c r="AF798" i="1"/>
  <c r="AG798" i="1" s="1"/>
  <c r="AO798" i="1"/>
  <c r="AF926" i="1"/>
  <c r="AG926" i="1" s="1"/>
  <c r="AO926" i="1"/>
  <c r="AF550" i="1"/>
  <c r="AG550" i="1" s="1"/>
  <c r="AO550" i="1"/>
  <c r="AF615" i="1"/>
  <c r="AG615" i="1" s="1"/>
  <c r="AO615" i="1"/>
  <c r="AF63" i="1"/>
  <c r="AG63" i="1" s="1"/>
  <c r="AO63" i="1"/>
  <c r="AF135" i="1"/>
  <c r="AG135" i="1" s="1"/>
  <c r="AO135" i="1"/>
  <c r="AF199" i="1"/>
  <c r="AG199" i="1" s="1"/>
  <c r="AO199" i="1"/>
  <c r="AF311" i="1"/>
  <c r="AG311" i="1" s="1"/>
  <c r="AO311" i="1"/>
  <c r="AF415" i="1"/>
  <c r="AG415" i="1" s="1"/>
  <c r="AO415" i="1"/>
  <c r="AF527" i="1"/>
  <c r="AG527" i="1" s="1"/>
  <c r="AO527" i="1"/>
  <c r="AF631" i="1"/>
  <c r="AG631" i="1" s="1"/>
  <c r="AO631" i="1"/>
  <c r="AF703" i="1"/>
  <c r="AG703" i="1" s="1"/>
  <c r="AO703" i="1"/>
  <c r="AF799" i="1"/>
  <c r="AG799" i="1" s="1"/>
  <c r="AO799" i="1"/>
  <c r="AF863" i="1"/>
  <c r="AG863" i="1" s="1"/>
  <c r="AO863" i="1"/>
  <c r="AF999" i="1"/>
  <c r="AG999" i="1" s="1"/>
  <c r="AO999" i="1"/>
  <c r="AF145" i="1"/>
  <c r="AG145" i="1" s="1"/>
  <c r="AO145" i="1"/>
  <c r="AF233" i="1"/>
  <c r="AG233" i="1" s="1"/>
  <c r="AO233" i="1"/>
  <c r="AF313" i="1"/>
  <c r="AG313" i="1" s="1"/>
  <c r="AO313" i="1"/>
  <c r="AF401" i="1"/>
  <c r="AG401" i="1" s="1"/>
  <c r="AO401" i="1"/>
  <c r="AF489" i="1"/>
  <c r="AG489" i="1" s="1"/>
  <c r="AO489" i="1"/>
  <c r="AF569" i="1"/>
  <c r="AG569" i="1" s="1"/>
  <c r="AO569" i="1"/>
  <c r="AF657" i="1"/>
  <c r="AG657" i="1" s="1"/>
  <c r="AO657" i="1"/>
  <c r="AF745" i="1"/>
  <c r="AG745" i="1" s="1"/>
  <c r="AO745" i="1"/>
  <c r="AF825" i="1"/>
  <c r="AG825" i="1" s="1"/>
  <c r="AO825" i="1"/>
  <c r="AF889" i="1"/>
  <c r="AG889" i="1" s="1"/>
  <c r="AO889" i="1"/>
  <c r="AF961" i="1"/>
  <c r="AG961" i="1" s="1"/>
  <c r="AO961" i="1"/>
  <c r="AF195" i="1"/>
  <c r="AG195" i="1" s="1"/>
  <c r="AO195" i="1"/>
  <c r="AF128" i="1"/>
  <c r="AG128" i="1" s="1"/>
  <c r="AO128" i="1"/>
  <c r="AF600" i="1"/>
  <c r="AG600" i="1" s="1"/>
  <c r="AO600" i="1"/>
  <c r="AF57" i="1"/>
  <c r="AG57" i="1" s="1"/>
  <c r="AO57" i="1"/>
  <c r="AF218" i="1"/>
  <c r="AG218" i="1" s="1"/>
  <c r="AO218" i="1"/>
  <c r="AF666" i="1"/>
  <c r="AG666" i="1" s="1"/>
  <c r="AO666" i="1"/>
  <c r="AF139" i="1"/>
  <c r="AG139" i="1" s="1"/>
  <c r="AO139" i="1"/>
  <c r="AF539" i="1"/>
  <c r="AG539" i="1" s="1"/>
  <c r="AO539" i="1"/>
  <c r="AF923" i="1"/>
  <c r="AG923" i="1" s="1"/>
  <c r="AO923" i="1"/>
  <c r="AF754" i="1"/>
  <c r="AG754" i="1" s="1"/>
  <c r="AO754" i="1"/>
  <c r="AF452" i="1"/>
  <c r="AG452" i="1" s="1"/>
  <c r="AO452" i="1"/>
  <c r="AF940" i="1"/>
  <c r="AG940" i="1" s="1"/>
  <c r="AO940" i="1"/>
  <c r="AF694" i="1"/>
  <c r="AG694" i="1" s="1"/>
  <c r="AO694" i="1"/>
  <c r="AF246" i="1"/>
  <c r="AG246" i="1" s="1"/>
  <c r="AO246" i="1"/>
  <c r="AF654" i="1"/>
  <c r="AG654" i="1" s="1"/>
  <c r="AO654" i="1"/>
  <c r="AF151" i="1"/>
  <c r="AG151" i="1" s="1"/>
  <c r="AO151" i="1"/>
  <c r="AF879" i="1"/>
  <c r="AG879" i="1" s="1"/>
  <c r="AO879" i="1"/>
  <c r="AF841" i="1"/>
  <c r="AG841" i="1" s="1"/>
  <c r="AO841" i="1"/>
  <c r="AF333" i="1"/>
  <c r="AG333" i="1" s="1"/>
  <c r="AO333" i="1"/>
  <c r="AF32" i="1"/>
  <c r="AG32" i="1" s="1"/>
  <c r="AO32" i="1"/>
  <c r="AF512" i="1"/>
  <c r="AG512" i="1" s="1"/>
  <c r="AO512" i="1"/>
  <c r="AF741" i="1"/>
  <c r="AG741" i="1" s="1"/>
  <c r="AO741" i="1"/>
  <c r="AF237" i="1"/>
  <c r="AG237" i="1" s="1"/>
  <c r="AO237" i="1"/>
  <c r="AF365" i="1"/>
  <c r="AG365" i="1" s="1"/>
  <c r="AO365" i="1"/>
  <c r="AF541" i="1"/>
  <c r="AG541" i="1" s="1"/>
  <c r="AO541" i="1"/>
  <c r="AF768" i="1"/>
  <c r="AG768" i="1" s="1"/>
  <c r="AO768" i="1"/>
  <c r="AF48" i="1"/>
  <c r="AG48" i="1" s="1"/>
  <c r="AO48" i="1"/>
  <c r="AF120" i="1"/>
  <c r="AG120" i="1" s="1"/>
  <c r="AO120" i="1"/>
  <c r="AF192" i="1"/>
  <c r="AG192" i="1" s="1"/>
  <c r="AO192" i="1"/>
  <c r="AF264" i="1"/>
  <c r="AG264" i="1" s="1"/>
  <c r="AO264" i="1"/>
  <c r="AF336" i="1"/>
  <c r="AG336" i="1" s="1"/>
  <c r="AO336" i="1"/>
  <c r="AF400" i="1"/>
  <c r="AG400" i="1" s="1"/>
  <c r="AO400" i="1"/>
  <c r="AF464" i="1"/>
  <c r="AG464" i="1" s="1"/>
  <c r="AO464" i="1"/>
  <c r="AF528" i="1"/>
  <c r="AG528" i="1" s="1"/>
  <c r="AO528" i="1"/>
  <c r="AF592" i="1"/>
  <c r="AG592" i="1" s="1"/>
  <c r="AO592" i="1"/>
  <c r="AF664" i="1"/>
  <c r="AG664" i="1" s="1"/>
  <c r="AO664" i="1"/>
  <c r="AF736" i="1"/>
  <c r="AG736" i="1" s="1"/>
  <c r="AO736" i="1"/>
  <c r="AF808" i="1"/>
  <c r="AG808" i="1" s="1"/>
  <c r="AO808" i="1"/>
  <c r="AF872" i="1"/>
  <c r="AG872" i="1" s="1"/>
  <c r="AO872" i="1"/>
  <c r="AF952" i="1"/>
  <c r="AG952" i="1" s="1"/>
  <c r="AO952" i="1"/>
  <c r="AF661" i="1"/>
  <c r="AG661" i="1" s="1"/>
  <c r="AO661" i="1"/>
  <c r="AF41" i="1"/>
  <c r="AG41" i="1" s="1"/>
  <c r="AO41" i="1"/>
  <c r="AF113" i="1"/>
  <c r="AG113" i="1" s="1"/>
  <c r="AO113" i="1"/>
  <c r="AF637" i="1"/>
  <c r="AG637" i="1" s="1"/>
  <c r="AO637" i="1"/>
  <c r="AF18" i="1"/>
  <c r="AG18" i="1" s="1"/>
  <c r="AO18" i="1"/>
  <c r="AF82" i="1"/>
  <c r="AG82" i="1" s="1"/>
  <c r="AO82" i="1"/>
  <c r="AF146" i="1"/>
  <c r="AG146" i="1" s="1"/>
  <c r="AO146" i="1"/>
  <c r="AF210" i="1"/>
  <c r="AG210" i="1" s="1"/>
  <c r="AO210" i="1"/>
  <c r="AF274" i="1"/>
  <c r="AG274" i="1" s="1"/>
  <c r="AO274" i="1"/>
  <c r="AF338" i="1"/>
  <c r="AG338" i="1" s="1"/>
  <c r="AO338" i="1"/>
  <c r="AF402" i="1"/>
  <c r="AG402" i="1" s="1"/>
  <c r="AO402" i="1"/>
  <c r="AF466" i="1"/>
  <c r="AG466" i="1" s="1"/>
  <c r="AO466" i="1"/>
  <c r="AF530" i="1"/>
  <c r="AG530" i="1" s="1"/>
  <c r="AO530" i="1"/>
  <c r="AF594" i="1"/>
  <c r="AG594" i="1" s="1"/>
  <c r="AO594" i="1"/>
  <c r="AF658" i="1"/>
  <c r="AG658" i="1" s="1"/>
  <c r="AO658" i="1"/>
  <c r="AF746" i="1"/>
  <c r="AG746" i="1" s="1"/>
  <c r="AO746" i="1"/>
  <c r="AF850" i="1"/>
  <c r="AG850" i="1" s="1"/>
  <c r="AO850" i="1"/>
  <c r="AF946" i="1"/>
  <c r="AG946" i="1" s="1"/>
  <c r="AO946" i="1"/>
  <c r="AF125" i="1"/>
  <c r="AG125" i="1" s="1"/>
  <c r="AO125" i="1"/>
  <c r="AF930" i="1"/>
  <c r="AG930" i="1" s="1"/>
  <c r="AO930" i="1"/>
  <c r="AF59" i="1"/>
  <c r="AG59" i="1" s="1"/>
  <c r="AO59" i="1"/>
  <c r="AF131" i="1"/>
  <c r="AG131" i="1" s="1"/>
  <c r="AO131" i="1"/>
  <c r="AF203" i="1"/>
  <c r="AG203" i="1" s="1"/>
  <c r="AO203" i="1"/>
  <c r="AF267" i="1"/>
  <c r="AG267" i="1" s="1"/>
  <c r="AO267" i="1"/>
  <c r="AF339" i="1"/>
  <c r="AG339" i="1" s="1"/>
  <c r="AO339" i="1"/>
  <c r="AF403" i="1"/>
  <c r="AG403" i="1" s="1"/>
  <c r="AO403" i="1"/>
  <c r="AF467" i="1"/>
  <c r="AG467" i="1" s="1"/>
  <c r="AO467" i="1"/>
  <c r="AF531" i="1"/>
  <c r="AG531" i="1" s="1"/>
  <c r="AO531" i="1"/>
  <c r="AF595" i="1"/>
  <c r="AG595" i="1" s="1"/>
  <c r="AO595" i="1"/>
  <c r="AF659" i="1"/>
  <c r="AG659" i="1" s="1"/>
  <c r="AO659" i="1"/>
  <c r="AF723" i="1"/>
  <c r="AG723" i="1" s="1"/>
  <c r="AO723" i="1"/>
  <c r="AF787" i="1"/>
  <c r="AG787" i="1" s="1"/>
  <c r="AO787" i="1"/>
  <c r="AF851" i="1"/>
  <c r="AG851" i="1" s="1"/>
  <c r="AO851" i="1"/>
  <c r="AF915" i="1"/>
  <c r="AG915" i="1" s="1"/>
  <c r="AO915" i="1"/>
  <c r="AF979" i="1"/>
  <c r="AG979" i="1" s="1"/>
  <c r="AO979" i="1"/>
  <c r="AF866" i="1"/>
  <c r="AG866" i="1" s="1"/>
  <c r="AO866" i="1"/>
  <c r="AF245" i="1"/>
  <c r="AG245" i="1" s="1"/>
  <c r="AO245" i="1"/>
  <c r="AF373" i="1"/>
  <c r="AG373" i="1" s="1"/>
  <c r="AO373" i="1"/>
  <c r="AF517" i="1"/>
  <c r="AG517" i="1" s="1"/>
  <c r="AO517" i="1"/>
  <c r="AF709" i="1"/>
  <c r="AG709" i="1" s="1"/>
  <c r="AO709" i="1"/>
  <c r="AF36" i="1"/>
  <c r="AG36" i="1" s="1"/>
  <c r="AO36" i="1"/>
  <c r="AF108" i="1"/>
  <c r="AG108" i="1" s="1"/>
  <c r="AO108" i="1"/>
  <c r="AF172" i="1"/>
  <c r="AG172" i="1" s="1"/>
  <c r="AO172" i="1"/>
  <c r="AF244" i="1"/>
  <c r="AG244" i="1" s="1"/>
  <c r="AO244" i="1"/>
  <c r="AF316" i="1"/>
  <c r="AG316" i="1" s="1"/>
  <c r="AO316" i="1"/>
  <c r="AF380" i="1"/>
  <c r="AG380" i="1" s="1"/>
  <c r="AO380" i="1"/>
  <c r="AF444" i="1"/>
  <c r="AG444" i="1" s="1"/>
  <c r="AO444" i="1"/>
  <c r="AF508" i="1"/>
  <c r="AG508" i="1" s="1"/>
  <c r="AO508" i="1"/>
  <c r="AF572" i="1"/>
  <c r="AG572" i="1" s="1"/>
  <c r="AO572" i="1"/>
  <c r="AF636" i="1"/>
  <c r="AG636" i="1" s="1"/>
  <c r="AO636" i="1"/>
  <c r="AF740" i="1"/>
  <c r="AG740" i="1" s="1"/>
  <c r="AO740" i="1"/>
  <c r="AF852" i="1"/>
  <c r="AG852" i="1" s="1"/>
  <c r="AO852" i="1"/>
  <c r="AF948" i="1"/>
  <c r="AG948" i="1" s="1"/>
  <c r="AO948" i="1"/>
  <c r="AF533" i="1"/>
  <c r="AG533" i="1" s="1"/>
  <c r="AO533" i="1"/>
  <c r="AF932" i="1"/>
  <c r="AG932" i="1" s="1"/>
  <c r="AO932" i="1"/>
  <c r="AF197" i="1"/>
  <c r="AG197" i="1" s="1"/>
  <c r="AO197" i="1"/>
  <c r="AF391" i="1"/>
  <c r="AG391" i="1" s="1"/>
  <c r="AO391" i="1"/>
  <c r="AF909" i="1"/>
  <c r="AG909" i="1" s="1"/>
  <c r="AO909" i="1"/>
  <c r="AF382" i="1"/>
  <c r="AG382" i="1" s="1"/>
  <c r="AO382" i="1"/>
  <c r="AF457" i="1"/>
  <c r="AG457" i="1" s="1"/>
  <c r="AO457" i="1"/>
  <c r="AF988" i="1"/>
  <c r="AG988" i="1" s="1"/>
  <c r="AO988" i="1"/>
  <c r="AF742" i="1"/>
  <c r="AG742" i="1" s="1"/>
  <c r="AO742" i="1"/>
  <c r="AF655" i="1"/>
  <c r="AG655" i="1" s="1"/>
  <c r="AO655" i="1"/>
  <c r="AF797" i="1"/>
  <c r="AG797" i="1" s="1"/>
  <c r="AO797" i="1"/>
  <c r="AF933" i="1"/>
  <c r="AG933" i="1" s="1"/>
  <c r="AO933" i="1"/>
  <c r="AF743" i="1"/>
  <c r="AG743" i="1" s="1"/>
  <c r="AO743" i="1"/>
  <c r="AF473" i="1"/>
  <c r="AG473" i="1" s="1"/>
  <c r="AO473" i="1"/>
  <c r="AF22" i="1"/>
  <c r="AG22" i="1" s="1"/>
  <c r="AO22" i="1"/>
  <c r="AF94" i="1"/>
  <c r="AG94" i="1" s="1"/>
  <c r="AO94" i="1"/>
  <c r="AF166" i="1"/>
  <c r="AG166" i="1" s="1"/>
  <c r="AO166" i="1"/>
  <c r="AF238" i="1"/>
  <c r="AG238" i="1" s="1"/>
  <c r="AO238" i="1"/>
  <c r="AF302" i="1"/>
  <c r="AG302" i="1" s="1"/>
  <c r="AO302" i="1"/>
  <c r="AF366" i="1"/>
  <c r="AG366" i="1" s="1"/>
  <c r="AO366" i="1"/>
  <c r="AF438" i="1"/>
  <c r="AG438" i="1" s="1"/>
  <c r="AO438" i="1"/>
  <c r="AF502" i="1"/>
  <c r="AG502" i="1" s="1"/>
  <c r="AO502" i="1"/>
  <c r="AF574" i="1"/>
  <c r="AG574" i="1" s="1"/>
  <c r="AO574" i="1"/>
  <c r="AF646" i="1"/>
  <c r="AG646" i="1" s="1"/>
  <c r="AO646" i="1"/>
  <c r="AF726" i="1"/>
  <c r="AG726" i="1" s="1"/>
  <c r="AO726" i="1"/>
  <c r="AF806" i="1"/>
  <c r="AG806" i="1" s="1"/>
  <c r="AO806" i="1"/>
  <c r="AF934" i="1"/>
  <c r="AG934" i="1" s="1"/>
  <c r="AO934" i="1"/>
  <c r="AF793" i="1"/>
  <c r="AG793" i="1" s="1"/>
  <c r="AO793" i="1"/>
  <c r="AF7" i="1"/>
  <c r="AG7" i="1" s="1"/>
  <c r="AO7" i="1"/>
  <c r="AF71" i="1"/>
  <c r="AG71" i="1" s="1"/>
  <c r="AO71" i="1"/>
  <c r="AF143" i="1"/>
  <c r="AG143" i="1" s="1"/>
  <c r="AO143" i="1"/>
  <c r="AF207" i="1"/>
  <c r="AG207" i="1" s="1"/>
  <c r="AO207" i="1"/>
  <c r="AF319" i="1"/>
  <c r="AG319" i="1" s="1"/>
  <c r="AO319" i="1"/>
  <c r="AF431" i="1"/>
  <c r="AG431" i="1" s="1"/>
  <c r="AO431" i="1"/>
  <c r="AF543" i="1"/>
  <c r="AG543" i="1" s="1"/>
  <c r="AO543" i="1"/>
  <c r="AF639" i="1"/>
  <c r="AG639" i="1" s="1"/>
  <c r="AO639" i="1"/>
  <c r="AF711" i="1"/>
  <c r="AG711" i="1" s="1"/>
  <c r="AO711" i="1"/>
  <c r="AF807" i="1"/>
  <c r="AG807" i="1" s="1"/>
  <c r="AO807" i="1"/>
  <c r="AF871" i="1"/>
  <c r="AG871" i="1" s="1"/>
  <c r="AO871" i="1"/>
  <c r="AF287" i="1"/>
  <c r="AG287" i="1" s="1"/>
  <c r="AO287" i="1"/>
  <c r="AF161" i="1"/>
  <c r="AG161" i="1" s="1"/>
  <c r="AO161" i="1"/>
  <c r="AF241" i="1"/>
  <c r="AG241" i="1" s="1"/>
  <c r="AO241" i="1"/>
  <c r="AF321" i="1"/>
  <c r="AG321" i="1" s="1"/>
  <c r="AO321" i="1"/>
  <c r="AF417" i="1"/>
  <c r="AG417" i="1" s="1"/>
  <c r="AO417" i="1"/>
  <c r="AF497" i="1"/>
  <c r="AG497" i="1" s="1"/>
  <c r="AO497" i="1"/>
  <c r="AF577" i="1"/>
  <c r="AG577" i="1" s="1"/>
  <c r="AO577" i="1"/>
  <c r="AF665" i="1"/>
  <c r="AG665" i="1" s="1"/>
  <c r="AO665" i="1"/>
  <c r="AF753" i="1"/>
  <c r="AG753" i="1" s="1"/>
  <c r="AO753" i="1"/>
  <c r="AF833" i="1"/>
  <c r="AG833" i="1" s="1"/>
  <c r="AO833" i="1"/>
  <c r="AF897" i="1"/>
  <c r="AG897" i="1" s="1"/>
  <c r="AO897" i="1"/>
  <c r="AF969" i="1"/>
  <c r="AG969" i="1" s="1"/>
  <c r="AO969" i="1"/>
  <c r="AF757" i="1"/>
  <c r="AG757" i="1" s="1"/>
  <c r="AO757" i="1"/>
</calcChain>
</file>

<file path=xl/sharedStrings.xml><?xml version="1.0" encoding="utf-8"?>
<sst xmlns="http://schemas.openxmlformats.org/spreadsheetml/2006/main" count="25077" uniqueCount="2876">
  <si>
    <t>transaction_id</t>
  </si>
  <si>
    <t>date</t>
  </si>
  <si>
    <t>client_id</t>
  </si>
  <si>
    <t>product_id</t>
  </si>
  <si>
    <t>agency_id</t>
  </si>
  <si>
    <t>salesperson_id</t>
  </si>
  <si>
    <t>quantity</t>
  </si>
  <si>
    <t>unit_price</t>
  </si>
  <si>
    <t>discount_rate</t>
  </si>
  <si>
    <t>payment_method</t>
  </si>
  <si>
    <t>status</t>
  </si>
  <si>
    <t>client_name</t>
  </si>
  <si>
    <t>client_city</t>
  </si>
  <si>
    <t>segment</t>
  </si>
  <si>
    <t>product_name</t>
  </si>
  <si>
    <t>category</t>
  </si>
  <si>
    <t>positioning</t>
  </si>
  <si>
    <t>agency_name</t>
  </si>
  <si>
    <t>agency_city</t>
  </si>
  <si>
    <t>salesperson_name</t>
  </si>
  <si>
    <t>age</t>
  </si>
  <si>
    <t>sexe</t>
  </si>
  <si>
    <t>anciennete_mois</t>
  </si>
  <si>
    <t>satisfaction_score</t>
  </si>
  <si>
    <t>delai_livraison_jours</t>
  </si>
  <si>
    <t>canal_vente</t>
  </si>
  <si>
    <t>cout_unitaire</t>
  </si>
  <si>
    <t>CA_brut</t>
  </si>
  <si>
    <t>Montant_remise</t>
  </si>
  <si>
    <t>CA_net</t>
  </si>
  <si>
    <t>Cout_total</t>
  </si>
  <si>
    <t>Marge</t>
  </si>
  <si>
    <t>Taux_marge</t>
  </si>
  <si>
    <t>Annee</t>
  </si>
  <si>
    <t>Mois</t>
  </si>
  <si>
    <t>Trimestre</t>
  </si>
  <si>
    <t>Classe_age</t>
  </si>
  <si>
    <t>Niveau_satisfaction</t>
  </si>
  <si>
    <t>Classe_delai</t>
  </si>
  <si>
    <t>Valeur_transaction</t>
  </si>
  <si>
    <t>TX0000001</t>
  </si>
  <si>
    <t>CLI01009</t>
  </si>
  <si>
    <t>PRD005</t>
  </si>
  <si>
    <t>AG010</t>
  </si>
  <si>
    <t>COM037</t>
  </si>
  <si>
    <t>Carte</t>
  </si>
  <si>
    <t>Validée</t>
  </si>
  <si>
    <t>Client 01009</t>
  </si>
  <si>
    <t>Kinshasa</t>
  </si>
  <si>
    <t>Institution</t>
  </si>
  <si>
    <t>Tablette T10</t>
  </si>
  <si>
    <t>Électronique</t>
  </si>
  <si>
    <t>Standard</t>
  </si>
  <si>
    <t>Agence Kisangani 2</t>
  </si>
  <si>
    <t>Kisangani</t>
  </si>
  <si>
    <t>Commercial 037</t>
  </si>
  <si>
    <t>Femme</t>
  </si>
  <si>
    <t>Web</t>
  </si>
  <si>
    <t>TX0000002</t>
  </si>
  <si>
    <t>CLI00584</t>
  </si>
  <si>
    <t>PRD012</t>
  </si>
  <si>
    <t>AG018</t>
  </si>
  <si>
    <t>COM011</t>
  </si>
  <si>
    <t>Mobile Money</t>
  </si>
  <si>
    <t>Client 00584</t>
  </si>
  <si>
    <t>Goma</t>
  </si>
  <si>
    <t>Onduleur 1200VA</t>
  </si>
  <si>
    <t>Énergie</t>
  </si>
  <si>
    <t>Agence Kolwezi 3</t>
  </si>
  <si>
    <t>Kolwezi</t>
  </si>
  <si>
    <t>Commercial 011</t>
  </si>
  <si>
    <t>Magasin</t>
  </si>
  <si>
    <t>TX0000003</t>
  </si>
  <si>
    <t>CLI01904</t>
  </si>
  <si>
    <t>PRD010</t>
  </si>
  <si>
    <t>AG006</t>
  </si>
  <si>
    <t>COM001</t>
  </si>
  <si>
    <t>Virement</t>
  </si>
  <si>
    <t>Client 01904</t>
  </si>
  <si>
    <t>Matadi</t>
  </si>
  <si>
    <t>PME</t>
  </si>
  <si>
    <t>Routeur Business</t>
  </si>
  <si>
    <t>Réseau</t>
  </si>
  <si>
    <t>Agence Kolwezi 1</t>
  </si>
  <si>
    <t>Commercial 001</t>
  </si>
  <si>
    <t>Homme</t>
  </si>
  <si>
    <t>TX0000004</t>
  </si>
  <si>
    <t>CLI01558</t>
  </si>
  <si>
    <t>AG007</t>
  </si>
  <si>
    <t>COM038</t>
  </si>
  <si>
    <t>Cash</t>
  </si>
  <si>
    <t>Client 01558</t>
  </si>
  <si>
    <t>Agence Kinshasa 2</t>
  </si>
  <si>
    <t>Commercial 038</t>
  </si>
  <si>
    <t>Téléphone</t>
  </si>
  <si>
    <t>TX0000005</t>
  </si>
  <si>
    <t>CLI01620</t>
  </si>
  <si>
    <t>PRD004</t>
  </si>
  <si>
    <t>AG005</t>
  </si>
  <si>
    <t>COM047</t>
  </si>
  <si>
    <t>Client 01620</t>
  </si>
  <si>
    <t>Grande entreprise</t>
  </si>
  <si>
    <t>Laptop Essential 15</t>
  </si>
  <si>
    <t>Informatique</t>
  </si>
  <si>
    <t>Agence Matadi 1</t>
  </si>
  <si>
    <t>Commercial 047</t>
  </si>
  <si>
    <t>TX0000006</t>
  </si>
  <si>
    <t>CLI01304</t>
  </si>
  <si>
    <t>PRD011</t>
  </si>
  <si>
    <t>AG009</t>
  </si>
  <si>
    <t>COM049</t>
  </si>
  <si>
    <t>Client 01304</t>
  </si>
  <si>
    <t>ONG</t>
  </si>
  <si>
    <t>Switch 24 Ports</t>
  </si>
  <si>
    <t>Premium</t>
  </si>
  <si>
    <t>Agence Goma 2</t>
  </si>
  <si>
    <t>Commercial 049</t>
  </si>
  <si>
    <t>WhatsApp</t>
  </si>
  <si>
    <t>TX0000007</t>
  </si>
  <si>
    <t>CLI01884</t>
  </si>
  <si>
    <t>AG001</t>
  </si>
  <si>
    <t>COM059</t>
  </si>
  <si>
    <t>Client 01884</t>
  </si>
  <si>
    <t>Lubumbashi</t>
  </si>
  <si>
    <t>Agence Kinshasa 1</t>
  </si>
  <si>
    <t>Commercial 059</t>
  </si>
  <si>
    <t>TX0000008</t>
  </si>
  <si>
    <t>CLI00040</t>
  </si>
  <si>
    <t>PRD006</t>
  </si>
  <si>
    <t>AG014</t>
  </si>
  <si>
    <t>COM036</t>
  </si>
  <si>
    <t>Client 00040</t>
  </si>
  <si>
    <t>Imprimante Office</t>
  </si>
  <si>
    <t>Bureautique</t>
  </si>
  <si>
    <t>Agence Lubumbashi 3</t>
  </si>
  <si>
    <t>Commercial 036</t>
  </si>
  <si>
    <t>TX0000009</t>
  </si>
  <si>
    <t>CLI00318</t>
  </si>
  <si>
    <t>PRD001</t>
  </si>
  <si>
    <t>AG015</t>
  </si>
  <si>
    <t>COM044</t>
  </si>
  <si>
    <t>Client 00318</t>
  </si>
  <si>
    <t>Smartphone A1</t>
  </si>
  <si>
    <t>Entrée de gamme</t>
  </si>
  <si>
    <t>Agence Goma 3</t>
  </si>
  <si>
    <t>Commercial 044</t>
  </si>
  <si>
    <t>TX0000010</t>
  </si>
  <si>
    <t>CLI01467</t>
  </si>
  <si>
    <t>PRD013</t>
  </si>
  <si>
    <t>COM054</t>
  </si>
  <si>
    <t>Client 01467</t>
  </si>
  <si>
    <t>Disque SSD 1TB</t>
  </si>
  <si>
    <t>Commercial 054</t>
  </si>
  <si>
    <t>TX0000011</t>
  </si>
  <si>
    <t>CLI00791</t>
  </si>
  <si>
    <t>PRD015</t>
  </si>
  <si>
    <t>COM015</t>
  </si>
  <si>
    <t>Client 00791</t>
  </si>
  <si>
    <t>Webcam HD</t>
  </si>
  <si>
    <t>Commercial 015</t>
  </si>
  <si>
    <t>TX0000012</t>
  </si>
  <si>
    <t>CLI01242</t>
  </si>
  <si>
    <t>PRD008</t>
  </si>
  <si>
    <t>AG008</t>
  </si>
  <si>
    <t>COM032</t>
  </si>
  <si>
    <t>Client 01242</t>
  </si>
  <si>
    <t>Clavier Pro</t>
  </si>
  <si>
    <t>Agence Lubumbashi 2</t>
  </si>
  <si>
    <t>Commercial 032</t>
  </si>
  <si>
    <t>TX0000013</t>
  </si>
  <si>
    <t>CLI01623</t>
  </si>
  <si>
    <t>Client 01623</t>
  </si>
  <si>
    <t>TX0000014</t>
  </si>
  <si>
    <t>CLI00719</t>
  </si>
  <si>
    <t>PRD003</t>
  </si>
  <si>
    <t>COM048</t>
  </si>
  <si>
    <t>Client 00719</t>
  </si>
  <si>
    <t>Laptop Business 14</t>
  </si>
  <si>
    <t>Commercial 048</t>
  </si>
  <si>
    <t>TX0000015</t>
  </si>
  <si>
    <t>CLI01124</t>
  </si>
  <si>
    <t>PRD007</t>
  </si>
  <si>
    <t>COM045</t>
  </si>
  <si>
    <t>Client 01124</t>
  </si>
  <si>
    <t>Écran 24 pouces</t>
  </si>
  <si>
    <t>Commercial 045</t>
  </si>
  <si>
    <t>TX0000016</t>
  </si>
  <si>
    <t>CLI01750</t>
  </si>
  <si>
    <t>PRD002</t>
  </si>
  <si>
    <t>AG011</t>
  </si>
  <si>
    <t>COM028</t>
  </si>
  <si>
    <t>Client 01750</t>
  </si>
  <si>
    <t>Smartphone Pro X</t>
  </si>
  <si>
    <t>Agence Matadi 2</t>
  </si>
  <si>
    <t>Commercial 028</t>
  </si>
  <si>
    <t>TX0000017</t>
  </si>
  <si>
    <t>CLI02119</t>
  </si>
  <si>
    <t>COM004</t>
  </si>
  <si>
    <t>Client 02119</t>
  </si>
  <si>
    <t>Commercial 004</t>
  </si>
  <si>
    <t>TX0000019</t>
  </si>
  <si>
    <t>CLI01736</t>
  </si>
  <si>
    <t>COM013</t>
  </si>
  <si>
    <t>Client 01736</t>
  </si>
  <si>
    <t>Commercial 013</t>
  </si>
  <si>
    <t>TX0000021</t>
  </si>
  <si>
    <t>CLI00223</t>
  </si>
  <si>
    <t>AG017</t>
  </si>
  <si>
    <t>COM051</t>
  </si>
  <si>
    <t>Client 00223</t>
  </si>
  <si>
    <t>Agence Matadi 3</t>
  </si>
  <si>
    <t>Commercial 051</t>
  </si>
  <si>
    <t>TX0000022</t>
  </si>
  <si>
    <t>CLI01829</t>
  </si>
  <si>
    <t>AG003</t>
  </si>
  <si>
    <t>Client 01829</t>
  </si>
  <si>
    <t>Agence Goma 1</t>
  </si>
  <si>
    <t>TX0000023</t>
  </si>
  <si>
    <t>CLI00254</t>
  </si>
  <si>
    <t>AG002</t>
  </si>
  <si>
    <t>COM020</t>
  </si>
  <si>
    <t>Client 00254</t>
  </si>
  <si>
    <t>Agence Lubumbashi 1</t>
  </si>
  <si>
    <t>Commercial 020</t>
  </si>
  <si>
    <t>TX0000024</t>
  </si>
  <si>
    <t>CLI00214</t>
  </si>
  <si>
    <t>AG013</t>
  </si>
  <si>
    <t>COM026</t>
  </si>
  <si>
    <t>Client 00214</t>
  </si>
  <si>
    <t>Agence Kinshasa 3</t>
  </si>
  <si>
    <t>Commercial 026</t>
  </si>
  <si>
    <t>TX0000025</t>
  </si>
  <si>
    <t>CLI00044</t>
  </si>
  <si>
    <t>COM030</t>
  </si>
  <si>
    <t>Client 00044</t>
  </si>
  <si>
    <t>Commercial 030</t>
  </si>
  <si>
    <t>TX0000026</t>
  </si>
  <si>
    <t>CLI00107</t>
  </si>
  <si>
    <t>COM022</t>
  </si>
  <si>
    <t>Client 00107</t>
  </si>
  <si>
    <t>Commercial 022</t>
  </si>
  <si>
    <t>TX0000027</t>
  </si>
  <si>
    <t>CLI00277</t>
  </si>
  <si>
    <t>COM041</t>
  </si>
  <si>
    <t>Client 00277</t>
  </si>
  <si>
    <t>Commercial 041</t>
  </si>
  <si>
    <t>TX0000028</t>
  </si>
  <si>
    <t>CLI01822</t>
  </si>
  <si>
    <t>COM009</t>
  </si>
  <si>
    <t>Client 01822</t>
  </si>
  <si>
    <t>Commercial 009</t>
  </si>
  <si>
    <t>TX0000029</t>
  </si>
  <si>
    <t>CLI01466</t>
  </si>
  <si>
    <t>COM050</t>
  </si>
  <si>
    <t>Client 01466</t>
  </si>
  <si>
    <t>Indépendant</t>
  </si>
  <si>
    <t>Commercial 050</t>
  </si>
  <si>
    <t>TX0000030</t>
  </si>
  <si>
    <t>CLI00034</t>
  </si>
  <si>
    <t>COM016</t>
  </si>
  <si>
    <t>Client 00034</t>
  </si>
  <si>
    <t>Commercial 016</t>
  </si>
  <si>
    <t>TX0000031</t>
  </si>
  <si>
    <t>CLI00801</t>
  </si>
  <si>
    <t>Client 00801</t>
  </si>
  <si>
    <t>TX0000032</t>
  </si>
  <si>
    <t>CLI01915</t>
  </si>
  <si>
    <t>COM040</t>
  </si>
  <si>
    <t>Client 01915</t>
  </si>
  <si>
    <t>Commercial 040</t>
  </si>
  <si>
    <t>TX0000033</t>
  </si>
  <si>
    <t>CLI00173</t>
  </si>
  <si>
    <t>PRD016</t>
  </si>
  <si>
    <t>Client 00173</t>
  </si>
  <si>
    <t>Projecteur HD</t>
  </si>
  <si>
    <t>TX0000034</t>
  </si>
  <si>
    <t>CLI00874</t>
  </si>
  <si>
    <t>AG016</t>
  </si>
  <si>
    <t>Client 00874</t>
  </si>
  <si>
    <t>Agence Kisangani 3</t>
  </si>
  <si>
    <t>TX0000035</t>
  </si>
  <si>
    <t>CLI00028</t>
  </si>
  <si>
    <t>COM005</t>
  </si>
  <si>
    <t>Client 00028</t>
  </si>
  <si>
    <t>Commercial 005</t>
  </si>
  <si>
    <t>TX0000036</t>
  </si>
  <si>
    <t>CLI00797</t>
  </si>
  <si>
    <t>COM002</t>
  </si>
  <si>
    <t>Client 00797</t>
  </si>
  <si>
    <t>Commercial 002</t>
  </si>
  <si>
    <t>TX0000038</t>
  </si>
  <si>
    <t>CLI00086</t>
  </si>
  <si>
    <t>COM042</t>
  </si>
  <si>
    <t>Client 00086</t>
  </si>
  <si>
    <t>Commercial 042</t>
  </si>
  <si>
    <t>TX0000039</t>
  </si>
  <si>
    <t>CLI01515</t>
  </si>
  <si>
    <t>COM034</t>
  </si>
  <si>
    <t>Client 01515</t>
  </si>
  <si>
    <t>Commercial 034</t>
  </si>
  <si>
    <t>TX0000041</t>
  </si>
  <si>
    <t>CLI01002</t>
  </si>
  <si>
    <t>COM055</t>
  </si>
  <si>
    <t>Client 01002</t>
  </si>
  <si>
    <t>Commercial 055</t>
  </si>
  <si>
    <t>TX0000042</t>
  </si>
  <si>
    <t>CLI01148</t>
  </si>
  <si>
    <t>Client 01148</t>
  </si>
  <si>
    <t>TX0000043</t>
  </si>
  <si>
    <t>CLI00266</t>
  </si>
  <si>
    <t>COM025</t>
  </si>
  <si>
    <t>Client 00266</t>
  </si>
  <si>
    <t>Commercial 025</t>
  </si>
  <si>
    <t>TX0000044</t>
  </si>
  <si>
    <t>CLI00734</t>
  </si>
  <si>
    <t>AG012</t>
  </si>
  <si>
    <t>Client 00734</t>
  </si>
  <si>
    <t>Agence Kolwezi 2</t>
  </si>
  <si>
    <t>TX0000045</t>
  </si>
  <si>
    <t>CLI01643</t>
  </si>
  <si>
    <t>Client 01643</t>
  </si>
  <si>
    <t>TX0000046</t>
  </si>
  <si>
    <t>CLI01741</t>
  </si>
  <si>
    <t>COM060</t>
  </si>
  <si>
    <t>Client 01741</t>
  </si>
  <si>
    <t>Commercial 060</t>
  </si>
  <si>
    <t>TX0000047</t>
  </si>
  <si>
    <t>CLI01209</t>
  </si>
  <si>
    <t>COM023</t>
  </si>
  <si>
    <t>Client 01209</t>
  </si>
  <si>
    <t>Commercial 023</t>
  </si>
  <si>
    <t>TX0000048</t>
  </si>
  <si>
    <t>CLI01916</t>
  </si>
  <si>
    <t>PRD014</t>
  </si>
  <si>
    <t>COM024</t>
  </si>
  <si>
    <t>Client 01916</t>
  </si>
  <si>
    <t>Casque Pro</t>
  </si>
  <si>
    <t>Commercial 024</t>
  </si>
  <si>
    <t>TX0000049</t>
  </si>
  <si>
    <t>CLI00958</t>
  </si>
  <si>
    <t>PRD009</t>
  </si>
  <si>
    <t>Client 00958</t>
  </si>
  <si>
    <t>Souris Wireless</t>
  </si>
  <si>
    <t>TX0000050</t>
  </si>
  <si>
    <t>CLI00933</t>
  </si>
  <si>
    <t>AG004</t>
  </si>
  <si>
    <t>Client 00933</t>
  </si>
  <si>
    <t>Agence Kisangani 1</t>
  </si>
  <si>
    <t>TX0000052</t>
  </si>
  <si>
    <t>CLI01070</t>
  </si>
  <si>
    <t>COM019</t>
  </si>
  <si>
    <t>Client 01070</t>
  </si>
  <si>
    <t>Commercial 019</t>
  </si>
  <si>
    <t>TX0000053</t>
  </si>
  <si>
    <t>CLI00049</t>
  </si>
  <si>
    <t>Client 00049</t>
  </si>
  <si>
    <t>TX0000054</t>
  </si>
  <si>
    <t>CLI00860</t>
  </si>
  <si>
    <t>Client 00860</t>
  </si>
  <si>
    <t>TX0000055</t>
  </si>
  <si>
    <t>CLI01890</t>
  </si>
  <si>
    <t>COM021</t>
  </si>
  <si>
    <t>Client 01890</t>
  </si>
  <si>
    <t>Commercial 021</t>
  </si>
  <si>
    <t>TX0000056</t>
  </si>
  <si>
    <t>CLI01844</t>
  </si>
  <si>
    <t>Client 01844</t>
  </si>
  <si>
    <t>TX0000057</t>
  </si>
  <si>
    <t>CLI01453</t>
  </si>
  <si>
    <t>COM027</t>
  </si>
  <si>
    <t>Client 01453</t>
  </si>
  <si>
    <t>Commercial 027</t>
  </si>
  <si>
    <t>TX0000059</t>
  </si>
  <si>
    <t>CLI00837</t>
  </si>
  <si>
    <t>COM035</t>
  </si>
  <si>
    <t>Client 00837</t>
  </si>
  <si>
    <t>Commercial 035</t>
  </si>
  <si>
    <t>TX0000060</t>
  </si>
  <si>
    <t>CLI01850</t>
  </si>
  <si>
    <t>Client 01850</t>
  </si>
  <si>
    <t>TX0000061</t>
  </si>
  <si>
    <t>CLI02002</t>
  </si>
  <si>
    <t>Client 02002</t>
  </si>
  <si>
    <t>TX0000062</t>
  </si>
  <si>
    <t>CLI01193</t>
  </si>
  <si>
    <t>Client 01193</t>
  </si>
  <si>
    <t>TX0000063</t>
  </si>
  <si>
    <t>CLI01683</t>
  </si>
  <si>
    <t>COM008</t>
  </si>
  <si>
    <t>Client 01683</t>
  </si>
  <si>
    <t>Commercial 008</t>
  </si>
  <si>
    <t>TX0000064</t>
  </si>
  <si>
    <t>CLI00846</t>
  </si>
  <si>
    <t>Client 00846</t>
  </si>
  <si>
    <t>TX0000066</t>
  </si>
  <si>
    <t>CLI01826</t>
  </si>
  <si>
    <t>COM039</t>
  </si>
  <si>
    <t>Client 01826</t>
  </si>
  <si>
    <t>Commercial 039</t>
  </si>
  <si>
    <t>TX0000067</t>
  </si>
  <si>
    <t>CLI00161</t>
  </si>
  <si>
    <t>Client 00161</t>
  </si>
  <si>
    <t>TX0000069</t>
  </si>
  <si>
    <t>CLI00752</t>
  </si>
  <si>
    <t>Client 00752</t>
  </si>
  <si>
    <t>TX0000071</t>
  </si>
  <si>
    <t>CLI00314</t>
  </si>
  <si>
    <t>Client 00314</t>
  </si>
  <si>
    <t>TX0000072</t>
  </si>
  <si>
    <t>CLI00183</t>
  </si>
  <si>
    <t>Client 00183</t>
  </si>
  <si>
    <t>TX0000073</t>
  </si>
  <si>
    <t>CLI01636</t>
  </si>
  <si>
    <t>COM003</t>
  </si>
  <si>
    <t>Client 01636</t>
  </si>
  <si>
    <t>Commercial 003</t>
  </si>
  <si>
    <t>TX0000074</t>
  </si>
  <si>
    <t>CLI01902</t>
  </si>
  <si>
    <t>Client 01902</t>
  </si>
  <si>
    <t>TX0000075</t>
  </si>
  <si>
    <t>CLI01144</t>
  </si>
  <si>
    <t>Client 01144</t>
  </si>
  <si>
    <t>TX0000076</t>
  </si>
  <si>
    <t>CLI01601</t>
  </si>
  <si>
    <t>COM043</t>
  </si>
  <si>
    <t>Client 01601</t>
  </si>
  <si>
    <t>Commercial 043</t>
  </si>
  <si>
    <t>TX0000077</t>
  </si>
  <si>
    <t>CLI00888</t>
  </si>
  <si>
    <t>COM014</t>
  </si>
  <si>
    <t>Client 00888</t>
  </si>
  <si>
    <t>Commercial 014</t>
  </si>
  <si>
    <t>TX0000079</t>
  </si>
  <si>
    <t>CLI01535</t>
  </si>
  <si>
    <t>COM006</t>
  </si>
  <si>
    <t>Client 01535</t>
  </si>
  <si>
    <t>Commercial 006</t>
  </si>
  <si>
    <t>TX0000080</t>
  </si>
  <si>
    <t>CLI00259</t>
  </si>
  <si>
    <t>COM052</t>
  </si>
  <si>
    <t>Client 00259</t>
  </si>
  <si>
    <t>Commercial 052</t>
  </si>
  <si>
    <t>TX0000082</t>
  </si>
  <si>
    <t>CLI00495</t>
  </si>
  <si>
    <t>COM007</t>
  </si>
  <si>
    <t>Client 00495</t>
  </si>
  <si>
    <t>Commercial 007</t>
  </si>
  <si>
    <t>TX0000083</t>
  </si>
  <si>
    <t>CLI00050</t>
  </si>
  <si>
    <t>Client 00050</t>
  </si>
  <si>
    <t>TX0000085</t>
  </si>
  <si>
    <t>CLI00418</t>
  </si>
  <si>
    <t>Client 00418</t>
  </si>
  <si>
    <t>TX0000086</t>
  </si>
  <si>
    <t>CLI00545</t>
  </si>
  <si>
    <t>Client 00545</t>
  </si>
  <si>
    <t>TX0000087</t>
  </si>
  <si>
    <t>CLI00073</t>
  </si>
  <si>
    <t>COM033</t>
  </si>
  <si>
    <t>Client 00073</t>
  </si>
  <si>
    <t>Commercial 033</t>
  </si>
  <si>
    <t>TX0000088</t>
  </si>
  <si>
    <t>CLI00509</t>
  </si>
  <si>
    <t>Client 00509</t>
  </si>
  <si>
    <t>TX0000089</t>
  </si>
  <si>
    <t>TX0000090</t>
  </si>
  <si>
    <t>CLI01818</t>
  </si>
  <si>
    <t>COM018</t>
  </si>
  <si>
    <t>Client 01818</t>
  </si>
  <si>
    <t>Commercial 018</t>
  </si>
  <si>
    <t>TX0000091</t>
  </si>
  <si>
    <t>CLI01700</t>
  </si>
  <si>
    <t>Client 01700</t>
  </si>
  <si>
    <t>TX0000092</t>
  </si>
  <si>
    <t>CLI01018</t>
  </si>
  <si>
    <t>Client 01018</t>
  </si>
  <si>
    <t>TX0000093</t>
  </si>
  <si>
    <t>CLI02014</t>
  </si>
  <si>
    <t>Client 02014</t>
  </si>
  <si>
    <t>TX0000094</t>
  </si>
  <si>
    <t>CLI00838</t>
  </si>
  <si>
    <t>Client 00838</t>
  </si>
  <si>
    <t>TX0000096</t>
  </si>
  <si>
    <t>CLI00825</t>
  </si>
  <si>
    <t>Client 00825</t>
  </si>
  <si>
    <t>TX0000097</t>
  </si>
  <si>
    <t>CLI02070</t>
  </si>
  <si>
    <t>COM053</t>
  </si>
  <si>
    <t>Client 02070</t>
  </si>
  <si>
    <t>Commercial 053</t>
  </si>
  <si>
    <t>TX0000098</t>
  </si>
  <si>
    <t>CLI01230</t>
  </si>
  <si>
    <t>Client 01230</t>
  </si>
  <si>
    <t>TX0000101</t>
  </si>
  <si>
    <t>CLI01529</t>
  </si>
  <si>
    <t>Client 01529</t>
  </si>
  <si>
    <t>TX0000102</t>
  </si>
  <si>
    <t>CLI00510</t>
  </si>
  <si>
    <t>Client 00510</t>
  </si>
  <si>
    <t>TX0000103</t>
  </si>
  <si>
    <t>TX0000106</t>
  </si>
  <si>
    <t>CLI00379</t>
  </si>
  <si>
    <t>COM046</t>
  </si>
  <si>
    <t>Client 00379</t>
  </si>
  <si>
    <t>Commercial 046</t>
  </si>
  <si>
    <t>TX0000107</t>
  </si>
  <si>
    <t>CLI00680</t>
  </si>
  <si>
    <t>Client 00680</t>
  </si>
  <si>
    <t>TX0000108</t>
  </si>
  <si>
    <t>CLI01686</t>
  </si>
  <si>
    <t>Client 01686</t>
  </si>
  <si>
    <t>TX0000109</t>
  </si>
  <si>
    <t>CLI00859</t>
  </si>
  <si>
    <t>Client 00859</t>
  </si>
  <si>
    <t>TX0000110</t>
  </si>
  <si>
    <t>CLI01712</t>
  </si>
  <si>
    <t>Client 01712</t>
  </si>
  <si>
    <t>TX0000111</t>
  </si>
  <si>
    <t>CLI00812</t>
  </si>
  <si>
    <t>Client 00812</t>
  </si>
  <si>
    <t>TX0000112</t>
  </si>
  <si>
    <t>CLI00242</t>
  </si>
  <si>
    <t>COM017</t>
  </si>
  <si>
    <t>Client 00242</t>
  </si>
  <si>
    <t>Commercial 017</t>
  </si>
  <si>
    <t>TX0000113</t>
  </si>
  <si>
    <t>CLI00681</t>
  </si>
  <si>
    <t>Client 00681</t>
  </si>
  <si>
    <t>TX0000114</t>
  </si>
  <si>
    <t>CLI00962</t>
  </si>
  <si>
    <t>Client 00962</t>
  </si>
  <si>
    <t>TX0000116</t>
  </si>
  <si>
    <t>CLI01939</t>
  </si>
  <si>
    <t>Client 01939</t>
  </si>
  <si>
    <t>TX0000117</t>
  </si>
  <si>
    <t>CLI01480</t>
  </si>
  <si>
    <t>Client 01480</t>
  </si>
  <si>
    <t>TX0000119</t>
  </si>
  <si>
    <t>CLI01019</t>
  </si>
  <si>
    <t>Client 01019</t>
  </si>
  <si>
    <t>TX0000120</t>
  </si>
  <si>
    <t>CLI00013</t>
  </si>
  <si>
    <t>Client 00013</t>
  </si>
  <si>
    <t>TX0000122</t>
  </si>
  <si>
    <t>CLI01951</t>
  </si>
  <si>
    <t>Client 01951</t>
  </si>
  <si>
    <t>TX0000123</t>
  </si>
  <si>
    <t>CLI00357</t>
  </si>
  <si>
    <t>COM056</t>
  </si>
  <si>
    <t>Client 00357</t>
  </si>
  <si>
    <t>Commercial 056</t>
  </si>
  <si>
    <t>TX0000125</t>
  </si>
  <si>
    <t>CLI00120</t>
  </si>
  <si>
    <t>COM058</t>
  </si>
  <si>
    <t>Client 00120</t>
  </si>
  <si>
    <t>Commercial 058</t>
  </si>
  <si>
    <t>TX0000126</t>
  </si>
  <si>
    <t>CLI00505</t>
  </si>
  <si>
    <t>Client 00505</t>
  </si>
  <si>
    <t>TX0000127</t>
  </si>
  <si>
    <t>CLI00265</t>
  </si>
  <si>
    <t>Client 00265</t>
  </si>
  <si>
    <t>TX0000128</t>
  </si>
  <si>
    <t>CLI00916</t>
  </si>
  <si>
    <t>Client 00916</t>
  </si>
  <si>
    <t>TX0000129</t>
  </si>
  <si>
    <t>CLI00476</t>
  </si>
  <si>
    <t>Client 00476</t>
  </si>
  <si>
    <t>TX0000130</t>
  </si>
  <si>
    <t>CLI02194</t>
  </si>
  <si>
    <t>Client 02194</t>
  </si>
  <si>
    <t>TX0000131</t>
  </si>
  <si>
    <t>CLI00910</t>
  </si>
  <si>
    <t>Client 00910</t>
  </si>
  <si>
    <t>TX0000132</t>
  </si>
  <si>
    <t>CLI01216</t>
  </si>
  <si>
    <t>Client 01216</t>
  </si>
  <si>
    <t>TX0000133</t>
  </si>
  <si>
    <t>CLI00141</t>
  </si>
  <si>
    <t>Client 00141</t>
  </si>
  <si>
    <t>TX0000134</t>
  </si>
  <si>
    <t>CLI00884</t>
  </si>
  <si>
    <t>Client 00884</t>
  </si>
  <si>
    <t>TX0000135</t>
  </si>
  <si>
    <t>CLI00863</t>
  </si>
  <si>
    <t>Client 00863</t>
  </si>
  <si>
    <t>TX0000136</t>
  </si>
  <si>
    <t>CLI00653</t>
  </si>
  <si>
    <t>Client 00653</t>
  </si>
  <si>
    <t>TX0000137</t>
  </si>
  <si>
    <t>CLI01602</t>
  </si>
  <si>
    <t>Client 01602</t>
  </si>
  <si>
    <t>TX0000138</t>
  </si>
  <si>
    <t>CLI01325</t>
  </si>
  <si>
    <t>Client 01325</t>
  </si>
  <si>
    <t>TX0000139</t>
  </si>
  <si>
    <t>TX0000140</t>
  </si>
  <si>
    <t>TX0000142</t>
  </si>
  <si>
    <t>CLI01655</t>
  </si>
  <si>
    <t>Client 01655</t>
  </si>
  <si>
    <t>TX0000143</t>
  </si>
  <si>
    <t>CLI01538</t>
  </si>
  <si>
    <t>Client 01538</t>
  </si>
  <si>
    <t>TX0000144</t>
  </si>
  <si>
    <t>CLI00492</t>
  </si>
  <si>
    <t>Client 00492</t>
  </si>
  <si>
    <t>TX0000145</t>
  </si>
  <si>
    <t>CLI01965</t>
  </si>
  <si>
    <t>Client 01965</t>
  </si>
  <si>
    <t>TX0000146</t>
  </si>
  <si>
    <t>CLI00513</t>
  </si>
  <si>
    <t>Client 00513</t>
  </si>
  <si>
    <t>TX0000147</t>
  </si>
  <si>
    <t>CLI02198</t>
  </si>
  <si>
    <t>Client 02198</t>
  </si>
  <si>
    <t>TX0000148</t>
  </si>
  <si>
    <t>CLI00850</t>
  </si>
  <si>
    <t>Client 00850</t>
  </si>
  <si>
    <t>TX0000149</t>
  </si>
  <si>
    <t>CLI00504</t>
  </si>
  <si>
    <t>Client 00504</t>
  </si>
  <si>
    <t>TX0000150</t>
  </si>
  <si>
    <t>CLI00144</t>
  </si>
  <si>
    <t>Client 00144</t>
  </si>
  <si>
    <t>TX0000151</t>
  </si>
  <si>
    <t>CLI00001</t>
  </si>
  <si>
    <t>Client 00001</t>
  </si>
  <si>
    <t>TX0000152</t>
  </si>
  <si>
    <t>CLI02009</t>
  </si>
  <si>
    <t>Client 02009</t>
  </si>
  <si>
    <t>TX0000154</t>
  </si>
  <si>
    <t>CLI00885</t>
  </si>
  <si>
    <t>Client 00885</t>
  </si>
  <si>
    <t>TX0000155</t>
  </si>
  <si>
    <t>CLI00669</t>
  </si>
  <si>
    <t>Client 00669</t>
  </si>
  <si>
    <t>TX0000156</t>
  </si>
  <si>
    <t>CLI00290</t>
  </si>
  <si>
    <t>Client 00290</t>
  </si>
  <si>
    <t>TX0000157</t>
  </si>
  <si>
    <t>CLI00629</t>
  </si>
  <si>
    <t>Client 00629</t>
  </si>
  <si>
    <t>TX0000158</t>
  </si>
  <si>
    <t>CLI02177</t>
  </si>
  <si>
    <t>Client 02177</t>
  </si>
  <si>
    <t>TX0000160</t>
  </si>
  <si>
    <t>CLI00506</t>
  </si>
  <si>
    <t>Client 00506</t>
  </si>
  <si>
    <t>TX0000161</t>
  </si>
  <si>
    <t>CLI01430</t>
  </si>
  <si>
    <t>Client 01430</t>
  </si>
  <si>
    <t>TX0000162</t>
  </si>
  <si>
    <t>CLI01596</t>
  </si>
  <si>
    <t>Client 01596</t>
  </si>
  <si>
    <t>TX0000163</t>
  </si>
  <si>
    <t>CLI00523</t>
  </si>
  <si>
    <t>Client 00523</t>
  </si>
  <si>
    <t>TX0000164</t>
  </si>
  <si>
    <t>CLI01096</t>
  </si>
  <si>
    <t>Client 01096</t>
  </si>
  <si>
    <t>TX0000165</t>
  </si>
  <si>
    <t>CLI01450</t>
  </si>
  <si>
    <t>Client 01450</t>
  </si>
  <si>
    <t>TX0000166</t>
  </si>
  <si>
    <t>TX0000167</t>
  </si>
  <si>
    <t>CLI00984</t>
  </si>
  <si>
    <t>Client 00984</t>
  </si>
  <si>
    <t>TX0000168</t>
  </si>
  <si>
    <t>TX0000169</t>
  </si>
  <si>
    <t>CLI00779</t>
  </si>
  <si>
    <t>Client 00779</t>
  </si>
  <si>
    <t>TX0000171</t>
  </si>
  <si>
    <t>CLI01732</t>
  </si>
  <si>
    <t>Client 01732</t>
  </si>
  <si>
    <t>TX0000172</t>
  </si>
  <si>
    <t>CLI00483</t>
  </si>
  <si>
    <t>COM031</t>
  </si>
  <si>
    <t>Client 00483</t>
  </si>
  <si>
    <t>Commercial 031</t>
  </si>
  <si>
    <t>TX0000173</t>
  </si>
  <si>
    <t>CLI01249</t>
  </si>
  <si>
    <t>Client 01249</t>
  </si>
  <si>
    <t>TX0000174</t>
  </si>
  <si>
    <t>CLI01886</t>
  </si>
  <si>
    <t>Client 01886</t>
  </si>
  <si>
    <t>TX0000175</t>
  </si>
  <si>
    <t>CLI00037</t>
  </si>
  <si>
    <t>Client 00037</t>
  </si>
  <si>
    <t>TX0000176</t>
  </si>
  <si>
    <t>CLI01997</t>
  </si>
  <si>
    <t>Client 01997</t>
  </si>
  <si>
    <t>TX0000177</t>
  </si>
  <si>
    <t>CLI01493</t>
  </si>
  <si>
    <t>Client 01493</t>
  </si>
  <si>
    <t>TX0000178</t>
  </si>
  <si>
    <t>CLI01449</t>
  </si>
  <si>
    <t>Client 01449</t>
  </si>
  <si>
    <t>TX0000180</t>
  </si>
  <si>
    <t>CLI01089</t>
  </si>
  <si>
    <t>Client 01089</t>
  </si>
  <si>
    <t>TX0000181</t>
  </si>
  <si>
    <t>CLI01638</t>
  </si>
  <si>
    <t>Client 01638</t>
  </si>
  <si>
    <t>TX0000182</t>
  </si>
  <si>
    <t>CLI00056</t>
  </si>
  <si>
    <t>Client 00056</t>
  </si>
  <si>
    <t>TX0000183</t>
  </si>
  <si>
    <t>CLI01186</t>
  </si>
  <si>
    <t>Client 01186</t>
  </si>
  <si>
    <t>TX0000184</t>
  </si>
  <si>
    <t>CLI00472</t>
  </si>
  <si>
    <t>Client 00472</t>
  </si>
  <si>
    <t>TX0000185</t>
  </si>
  <si>
    <t>CLI02058</t>
  </si>
  <si>
    <t>Client 02058</t>
  </si>
  <si>
    <t>TX0000186</t>
  </si>
  <si>
    <t>CLI01644</t>
  </si>
  <si>
    <t>Client 01644</t>
  </si>
  <si>
    <t>TX0000187</t>
  </si>
  <si>
    <t>CLI00209</t>
  </si>
  <si>
    <t>Client 00209</t>
  </si>
  <si>
    <t>TX0000188</t>
  </si>
  <si>
    <t>CLI01963</t>
  </si>
  <si>
    <t>Client 01963</t>
  </si>
  <si>
    <t>TX0000189</t>
  </si>
  <si>
    <t>CLI01438</t>
  </si>
  <si>
    <t>Client 01438</t>
  </si>
  <si>
    <t>TX0000190</t>
  </si>
  <si>
    <t>CLI01318</t>
  </si>
  <si>
    <t>Client 01318</t>
  </si>
  <si>
    <t>TX0000191</t>
  </si>
  <si>
    <t>CLI02013</t>
  </si>
  <si>
    <t>Client 02013</t>
  </si>
  <si>
    <t>TX0000192</t>
  </si>
  <si>
    <t>CLI01481</t>
  </si>
  <si>
    <t>Client 01481</t>
  </si>
  <si>
    <t>TX0000194</t>
  </si>
  <si>
    <t>CLI00307</t>
  </si>
  <si>
    <t>Client 00307</t>
  </si>
  <si>
    <t>TX0000195</t>
  </si>
  <si>
    <t>CLI00786</t>
  </si>
  <si>
    <t>Client 00786</t>
  </si>
  <si>
    <t>TX0000196</t>
  </si>
  <si>
    <t>CLI01837</t>
  </si>
  <si>
    <t>Client 01837</t>
  </si>
  <si>
    <t>TX0000197</t>
  </si>
  <si>
    <t>CLI01123</t>
  </si>
  <si>
    <t>Client 01123</t>
  </si>
  <si>
    <t>TX0000198</t>
  </si>
  <si>
    <t>CLI01629</t>
  </si>
  <si>
    <t>Client 01629</t>
  </si>
  <si>
    <t>TX0000199</t>
  </si>
  <si>
    <t>CLI01574</t>
  </si>
  <si>
    <t>Client 01574</t>
  </si>
  <si>
    <t>TX0000200</t>
  </si>
  <si>
    <t>TX0000201</t>
  </si>
  <si>
    <t>CLI01100</t>
  </si>
  <si>
    <t>Client 01100</t>
  </si>
  <si>
    <t>TX0000202</t>
  </si>
  <si>
    <t>CLI01138</t>
  </si>
  <si>
    <t>Client 01138</t>
  </si>
  <si>
    <t>TX0000203</t>
  </si>
  <si>
    <t>CLI00006</t>
  </si>
  <si>
    <t>Client 00006</t>
  </si>
  <si>
    <t>TX0000204</t>
  </si>
  <si>
    <t>CLI01673</t>
  </si>
  <si>
    <t>Client 01673</t>
  </si>
  <si>
    <t>TX0000205</t>
  </si>
  <si>
    <t>CLI01146</t>
  </si>
  <si>
    <t>Client 01146</t>
  </si>
  <si>
    <t>TX0000206</t>
  </si>
  <si>
    <t>CLI01565</t>
  </si>
  <si>
    <t>Client 01565</t>
  </si>
  <si>
    <t>TX0000207</t>
  </si>
  <si>
    <t>TX0000208</t>
  </si>
  <si>
    <t>CLI01882</t>
  </si>
  <si>
    <t>Client 01882</t>
  </si>
  <si>
    <t>TX0000209</t>
  </si>
  <si>
    <t>CLI00087</t>
  </si>
  <si>
    <t>COM057</t>
  </si>
  <si>
    <t>Client 00087</t>
  </si>
  <si>
    <t>Commercial 057</t>
  </si>
  <si>
    <t>TX0000210</t>
  </si>
  <si>
    <t>CLI00296</t>
  </si>
  <si>
    <t>Client 00296</t>
  </si>
  <si>
    <t>TX0000211</t>
  </si>
  <si>
    <t>TX0000212</t>
  </si>
  <si>
    <t>CLI00343</t>
  </si>
  <si>
    <t>Client 00343</t>
  </si>
  <si>
    <t>TX0000213</t>
  </si>
  <si>
    <t>CLI01387</t>
  </si>
  <si>
    <t>Client 01387</t>
  </si>
  <si>
    <t>TX0000214</t>
  </si>
  <si>
    <t>CLI01962</t>
  </si>
  <si>
    <t>Client 01962</t>
  </si>
  <si>
    <t>TX0000215</t>
  </si>
  <si>
    <t>TX0000216</t>
  </si>
  <si>
    <t>CLI00919</t>
  </si>
  <si>
    <t>Client 00919</t>
  </si>
  <si>
    <t>TX0000217</t>
  </si>
  <si>
    <t>CLI01576</t>
  </si>
  <si>
    <t>Client 01576</t>
  </si>
  <si>
    <t>TX0000218</t>
  </si>
  <si>
    <t>CLI01367</t>
  </si>
  <si>
    <t>Client 01367</t>
  </si>
  <si>
    <t>TX0000219</t>
  </si>
  <si>
    <t>CLI02173</t>
  </si>
  <si>
    <t>Client 02173</t>
  </si>
  <si>
    <t>TX0000220</t>
  </si>
  <si>
    <t>CLI01176</t>
  </si>
  <si>
    <t>Client 01176</t>
  </si>
  <si>
    <t>TX0000221</t>
  </si>
  <si>
    <t>CLI00609</t>
  </si>
  <si>
    <t>COM010</t>
  </si>
  <si>
    <t>Client 00609</t>
  </si>
  <si>
    <t>Commercial 010</t>
  </si>
  <si>
    <t>TX0000222</t>
  </si>
  <si>
    <t>CLI00464</t>
  </si>
  <si>
    <t>Client 00464</t>
  </si>
  <si>
    <t>TX0000223</t>
  </si>
  <si>
    <t>CLI01445</t>
  </si>
  <si>
    <t>Client 01445</t>
  </si>
  <si>
    <t>TX0000224</t>
  </si>
  <si>
    <t>CLI01008</t>
  </si>
  <si>
    <t>Client 01008</t>
  </si>
  <si>
    <t>TX0000225</t>
  </si>
  <si>
    <t>CLI01728</t>
  </si>
  <si>
    <t>Client 01728</t>
  </si>
  <si>
    <t>TX0000226</t>
  </si>
  <si>
    <t>CLI01942</t>
  </si>
  <si>
    <t>Client 01942</t>
  </si>
  <si>
    <t>TX0000228</t>
  </si>
  <si>
    <t>CLI00587</t>
  </si>
  <si>
    <t>Client 00587</t>
  </si>
  <si>
    <t>TX0000229</t>
  </si>
  <si>
    <t>CLI00303</t>
  </si>
  <si>
    <t>Client 00303</t>
  </si>
  <si>
    <t>TX0000230</t>
  </si>
  <si>
    <t>CLI01706</t>
  </si>
  <si>
    <t>Client 01706</t>
  </si>
  <si>
    <t>TX0000231</t>
  </si>
  <si>
    <t>CLI01382</t>
  </si>
  <si>
    <t>Client 01382</t>
  </si>
  <si>
    <t>TX0000234</t>
  </si>
  <si>
    <t>TX0000235</t>
  </si>
  <si>
    <t>CLI01919</t>
  </si>
  <si>
    <t>Client 01919</t>
  </si>
  <si>
    <t>TX0000236</t>
  </si>
  <si>
    <t>CLI01522</t>
  </si>
  <si>
    <t>Client 01522</t>
  </si>
  <si>
    <t>TX0000237</t>
  </si>
  <si>
    <t>CLI01156</t>
  </si>
  <si>
    <t>Client 01156</t>
  </si>
  <si>
    <t>TX0000238</t>
  </si>
  <si>
    <t>CLI00827</t>
  </si>
  <si>
    <t>Client 00827</t>
  </si>
  <si>
    <t>TX0000239</t>
  </si>
  <si>
    <t>CLI01982</t>
  </si>
  <si>
    <t>Client 01982</t>
  </si>
  <si>
    <t>TX0000240</t>
  </si>
  <si>
    <t>CLI01631</t>
  </si>
  <si>
    <t>Client 01631</t>
  </si>
  <si>
    <t>TX0000241</t>
  </si>
  <si>
    <t>CLI02063</t>
  </si>
  <si>
    <t>Client 02063</t>
  </si>
  <si>
    <t>TX0000243</t>
  </si>
  <si>
    <t>CLI00949</t>
  </si>
  <si>
    <t>Client 00949</t>
  </si>
  <si>
    <t>TX0000244</t>
  </si>
  <si>
    <t>CLI00538</t>
  </si>
  <si>
    <t>Client 00538</t>
  </si>
  <si>
    <t>TX0000245</t>
  </si>
  <si>
    <t>CLI01588</t>
  </si>
  <si>
    <t>Client 01588</t>
  </si>
  <si>
    <t>TX0000246</t>
  </si>
  <si>
    <t>CLI00062</t>
  </si>
  <si>
    <t>Client 00062</t>
  </si>
  <si>
    <t>TX0000247</t>
  </si>
  <si>
    <t>CLI01211</t>
  </si>
  <si>
    <t>Client 01211</t>
  </si>
  <si>
    <t>TX0000249</t>
  </si>
  <si>
    <t>CLI02000</t>
  </si>
  <si>
    <t>Client 02000</t>
  </si>
  <si>
    <t>TX0000250</t>
  </si>
  <si>
    <t>CLI02100</t>
  </si>
  <si>
    <t>Client 02100</t>
  </si>
  <si>
    <t>TX0000251</t>
  </si>
  <si>
    <t>CLI00175</t>
  </si>
  <si>
    <t>Client 00175</t>
  </si>
  <si>
    <t>TX0000252</t>
  </si>
  <si>
    <t>CLI00649</t>
  </si>
  <si>
    <t>Client 00649</t>
  </si>
  <si>
    <t>TX0000253</t>
  </si>
  <si>
    <t>TX0000254</t>
  </si>
  <si>
    <t>CLI01347</t>
  </si>
  <si>
    <t>Client 01347</t>
  </si>
  <si>
    <t>TX0000255</t>
  </si>
  <si>
    <t>CLI01862</t>
  </si>
  <si>
    <t>Client 01862</t>
  </si>
  <si>
    <t>TX0000256</t>
  </si>
  <si>
    <t>TX0000257</t>
  </si>
  <si>
    <t>CLI00094</t>
  </si>
  <si>
    <t>Client 00094</t>
  </si>
  <si>
    <t>TX0000258</t>
  </si>
  <si>
    <t>CLI00335</t>
  </si>
  <si>
    <t>Client 00335</t>
  </si>
  <si>
    <t>TX0000259</t>
  </si>
  <si>
    <t>CLI00221</t>
  </si>
  <si>
    <t>Client 00221</t>
  </si>
  <si>
    <t>TX0000260</t>
  </si>
  <si>
    <t>TX0000261</t>
  </si>
  <si>
    <t>CLI00814</t>
  </si>
  <si>
    <t>Client 00814</t>
  </si>
  <si>
    <t>TX0000262</t>
  </si>
  <si>
    <t>CLI01879</t>
  </si>
  <si>
    <t>Client 01879</t>
  </si>
  <si>
    <t>TX0000263</t>
  </si>
  <si>
    <t>CLI00016</t>
  </si>
  <si>
    <t>Client 00016</t>
  </si>
  <si>
    <t>TX0000264</t>
  </si>
  <si>
    <t>CLI00769</t>
  </si>
  <si>
    <t>Client 00769</t>
  </si>
  <si>
    <t>TX0000265</t>
  </si>
  <si>
    <t>CLI00783</t>
  </si>
  <si>
    <t>Client 00783</t>
  </si>
  <si>
    <t>TX0000266</t>
  </si>
  <si>
    <t>CLI01868</t>
  </si>
  <si>
    <t>Client 01868</t>
  </si>
  <si>
    <t>TX0000267</t>
  </si>
  <si>
    <t>CLI00721</t>
  </si>
  <si>
    <t>Client 00721</t>
  </si>
  <si>
    <t>TX0000268</t>
  </si>
  <si>
    <t>CLI01792</t>
  </si>
  <si>
    <t>Client 01792</t>
  </si>
  <si>
    <t>TX0000269</t>
  </si>
  <si>
    <t>CLI00409</t>
  </si>
  <si>
    <t>Client 00409</t>
  </si>
  <si>
    <t>TX0000270</t>
  </si>
  <si>
    <t>CLI01863</t>
  </si>
  <si>
    <t>Client 01863</t>
  </si>
  <si>
    <t>TX0000271</t>
  </si>
  <si>
    <t>CLI01622</t>
  </si>
  <si>
    <t>Client 01622</t>
  </si>
  <si>
    <t>TX0000272</t>
  </si>
  <si>
    <t>CLI01699</t>
  </si>
  <si>
    <t>Client 01699</t>
  </si>
  <si>
    <t>TX0000273</t>
  </si>
  <si>
    <t>CLI02126</t>
  </si>
  <si>
    <t>Client 02126</t>
  </si>
  <si>
    <t>TX0000274</t>
  </si>
  <si>
    <t>CLI01612</t>
  </si>
  <si>
    <t>Client 01612</t>
  </si>
  <si>
    <t>TX0000275</t>
  </si>
  <si>
    <t>TX0000276</t>
  </si>
  <si>
    <t>CLI01606</t>
  </si>
  <si>
    <t>Client 01606</t>
  </si>
  <si>
    <t>TX0000278</t>
  </si>
  <si>
    <t>TX0000279</t>
  </si>
  <si>
    <t>CLI01549</t>
  </si>
  <si>
    <t>Client 01549</t>
  </si>
  <si>
    <t>TX0000280</t>
  </si>
  <si>
    <t>CLI00424</t>
  </si>
  <si>
    <t>Client 00424</t>
  </si>
  <si>
    <t>TX0000282</t>
  </si>
  <si>
    <t>CLI00090</t>
  </si>
  <si>
    <t>Client 00090</t>
  </si>
  <si>
    <t>TX0000283</t>
  </si>
  <si>
    <t>CLI01285</t>
  </si>
  <si>
    <t>COM012</t>
  </si>
  <si>
    <t>Client 01285</t>
  </si>
  <si>
    <t>Commercial 012</t>
  </si>
  <si>
    <t>TX0000285</t>
  </si>
  <si>
    <t>CLI00790</t>
  </si>
  <si>
    <t>Client 00790</t>
  </si>
  <si>
    <t>TX0000286</t>
  </si>
  <si>
    <t>CLI00471</t>
  </si>
  <si>
    <t>Client 00471</t>
  </si>
  <si>
    <t>TX0000287</t>
  </si>
  <si>
    <t>CLI01973</t>
  </si>
  <si>
    <t>Client 01973</t>
  </si>
  <si>
    <t>TX0000289</t>
  </si>
  <si>
    <t>CLI00422</t>
  </si>
  <si>
    <t>Client 00422</t>
  </si>
  <si>
    <t>TX0000290</t>
  </si>
  <si>
    <t>TX0000291</t>
  </si>
  <si>
    <t>CLI01532</t>
  </si>
  <si>
    <t>Client 01532</t>
  </si>
  <si>
    <t>TX0000292</t>
  </si>
  <si>
    <t>TX0000293</t>
  </si>
  <si>
    <t>TX0000294</t>
  </si>
  <si>
    <t>CLI01305</t>
  </si>
  <si>
    <t>Client 01305</t>
  </si>
  <si>
    <t>TX0000295</t>
  </si>
  <si>
    <t>CLI01580</t>
  </si>
  <si>
    <t>Client 01580</t>
  </si>
  <si>
    <t>TX0000296</t>
  </si>
  <si>
    <t>TX0000297</t>
  </si>
  <si>
    <t>CLI01125</t>
  </si>
  <si>
    <t>Client 01125</t>
  </si>
  <si>
    <t>TX0000298</t>
  </si>
  <si>
    <t>CLI00088</t>
  </si>
  <si>
    <t>Client 00088</t>
  </si>
  <si>
    <t>TX0000299</t>
  </si>
  <si>
    <t>CLI01650</t>
  </si>
  <si>
    <t>Client 01650</t>
  </si>
  <si>
    <t>TX0000300</t>
  </si>
  <si>
    <t>CLI00390</t>
  </si>
  <si>
    <t>Client 00390</t>
  </si>
  <si>
    <t>TX0000301</t>
  </si>
  <si>
    <t>CLI01283</t>
  </si>
  <si>
    <t>Client 01283</t>
  </si>
  <si>
    <t>TX0000302</t>
  </si>
  <si>
    <t>CLI00498</t>
  </si>
  <si>
    <t>Client 00498</t>
  </si>
  <si>
    <t>TX0000303</t>
  </si>
  <si>
    <t>CLI01323</t>
  </si>
  <si>
    <t>Client 01323</t>
  </si>
  <si>
    <t>TX0000304</t>
  </si>
  <si>
    <t>CLI00021</t>
  </si>
  <si>
    <t>Client 00021</t>
  </si>
  <si>
    <t>TX0000305</t>
  </si>
  <si>
    <t>CLI01555</t>
  </si>
  <si>
    <t>Client 01555</t>
  </si>
  <si>
    <t>TX0000306</t>
  </si>
  <si>
    <t>CLI00607</t>
  </si>
  <si>
    <t>Client 00607</t>
  </si>
  <si>
    <t>TX0000307</t>
  </si>
  <si>
    <t>CLI01150</t>
  </si>
  <si>
    <t>Client 01150</t>
  </si>
  <si>
    <t>TX0000308</t>
  </si>
  <si>
    <t>CLI00993</t>
  </si>
  <si>
    <t>Client 00993</t>
  </si>
  <si>
    <t>TX0000309</t>
  </si>
  <si>
    <t>CLI01578</t>
  </si>
  <si>
    <t>Client 01578</t>
  </si>
  <si>
    <t>TX0000311</t>
  </si>
  <si>
    <t>TX0000312</t>
  </si>
  <si>
    <t>CLI01259</t>
  </si>
  <si>
    <t>Client 01259</t>
  </si>
  <si>
    <t>TX0000313</t>
  </si>
  <si>
    <t>CLI00767</t>
  </si>
  <si>
    <t>Client 00767</t>
  </si>
  <si>
    <t>TX0000314</t>
  </si>
  <si>
    <t>CLI00345</t>
  </si>
  <si>
    <t>Client 00345</t>
  </si>
  <si>
    <t>TX0000315</t>
  </si>
  <si>
    <t>CLI01117</t>
  </si>
  <si>
    <t>Client 01117</t>
  </si>
  <si>
    <t>TX0000316</t>
  </si>
  <si>
    <t>TX0000317</t>
  </si>
  <si>
    <t>CLI01020</t>
  </si>
  <si>
    <t>Client 01020</t>
  </si>
  <si>
    <t>TX0000318</t>
  </si>
  <si>
    <t>CLI02180</t>
  </si>
  <si>
    <t>Client 02180</t>
  </si>
  <si>
    <t>TX0000319</t>
  </si>
  <si>
    <t>CLI00901</t>
  </si>
  <si>
    <t>Client 00901</t>
  </si>
  <si>
    <t>TX0000320</t>
  </si>
  <si>
    <t>CLI01180</t>
  </si>
  <si>
    <t>Client 01180</t>
  </si>
  <si>
    <t>TX0000321</t>
  </si>
  <si>
    <t>CLI00978</t>
  </si>
  <si>
    <t>Client 00978</t>
  </si>
  <si>
    <t>TX0000322</t>
  </si>
  <si>
    <t>CLI00053</t>
  </si>
  <si>
    <t>Client 00053</t>
  </si>
  <si>
    <t>TX0000323</t>
  </si>
  <si>
    <t>TX0000324</t>
  </si>
  <si>
    <t>CLI00072</t>
  </si>
  <si>
    <t>Client 00072</t>
  </si>
  <si>
    <t>TX0000325</t>
  </si>
  <si>
    <t>CLI01375</t>
  </si>
  <si>
    <t>Client 01375</t>
  </si>
  <si>
    <t>TX0000326</t>
  </si>
  <si>
    <t>CLI01880</t>
  </si>
  <si>
    <t>Client 01880</t>
  </si>
  <si>
    <t>TX0000327</t>
  </si>
  <si>
    <t>CLI02128</t>
  </si>
  <si>
    <t>Client 02128</t>
  </si>
  <si>
    <t>TX0000329</t>
  </si>
  <si>
    <t>CLI01841</t>
  </si>
  <si>
    <t>Client 01841</t>
  </si>
  <si>
    <t>TX0000330</t>
  </si>
  <si>
    <t>CLI01132</t>
  </si>
  <si>
    <t>Client 01132</t>
  </si>
  <si>
    <t>TX0000331</t>
  </si>
  <si>
    <t>CLI01864</t>
  </si>
  <si>
    <t>Client 01864</t>
  </si>
  <si>
    <t>TX0000332</t>
  </si>
  <si>
    <t>CLI00616</t>
  </si>
  <si>
    <t>Client 00616</t>
  </si>
  <si>
    <t>TX0000333</t>
  </si>
  <si>
    <t>CLI00064</t>
  </si>
  <si>
    <t>Client 00064</t>
  </si>
  <si>
    <t>TX0000334</t>
  </si>
  <si>
    <t>TX0000335</t>
  </si>
  <si>
    <t>CLI02057</t>
  </si>
  <si>
    <t>Client 02057</t>
  </si>
  <si>
    <t>TX0000336</t>
  </si>
  <si>
    <t>CLI00331</t>
  </si>
  <si>
    <t>Client 00331</t>
  </si>
  <si>
    <t>TX0000337</t>
  </si>
  <si>
    <t>CLI00402</t>
  </si>
  <si>
    <t>Client 00402</t>
  </si>
  <si>
    <t>TX0000338</t>
  </si>
  <si>
    <t>CLI00571</t>
  </si>
  <si>
    <t>Client 00571</t>
  </si>
  <si>
    <t>TX0000339</t>
  </si>
  <si>
    <t>CLI01889</t>
  </si>
  <si>
    <t>Client 01889</t>
  </si>
  <si>
    <t>TX0000340</t>
  </si>
  <si>
    <t>CLI02064</t>
  </si>
  <si>
    <t>Client 02064</t>
  </si>
  <si>
    <t>TX0000341</t>
  </si>
  <si>
    <t>CLI00109</t>
  </si>
  <si>
    <t>Client 00109</t>
  </si>
  <si>
    <t>TX0000342</t>
  </si>
  <si>
    <t>TX0000343</t>
  </si>
  <si>
    <t>CLI00025</t>
  </si>
  <si>
    <t>Client 00025</t>
  </si>
  <si>
    <t>TX0000344</t>
  </si>
  <si>
    <t>CLI00399</t>
  </si>
  <si>
    <t>Client 00399</t>
  </si>
  <si>
    <t>TX0000345</t>
  </si>
  <si>
    <t>CLI02115</t>
  </si>
  <si>
    <t>Client 02115</t>
  </si>
  <si>
    <t>TX0000346</t>
  </si>
  <si>
    <t>CLI01274</t>
  </si>
  <si>
    <t>Client 01274</t>
  </si>
  <si>
    <t>TX0000347</t>
  </si>
  <si>
    <t>CLI00496</t>
  </si>
  <si>
    <t>Client 00496</t>
  </si>
  <si>
    <t>TX0000348</t>
  </si>
  <si>
    <t>CLI00499</t>
  </si>
  <si>
    <t>Client 00499</t>
  </si>
  <si>
    <t>TX0000349</t>
  </si>
  <si>
    <t>CLI01799</t>
  </si>
  <si>
    <t>Client 01799</t>
  </si>
  <si>
    <t>TX0000350</t>
  </si>
  <si>
    <t>CLI00821</t>
  </si>
  <si>
    <t>Client 00821</t>
  </si>
  <si>
    <t>TX0000351</t>
  </si>
  <si>
    <t>CLI01128</t>
  </si>
  <si>
    <t>Client 01128</t>
  </si>
  <si>
    <t>TX0000352</t>
  </si>
  <si>
    <t>CLI01161</t>
  </si>
  <si>
    <t>Client 01161</t>
  </si>
  <si>
    <t>TX0000353</t>
  </si>
  <si>
    <t>CLI01821</t>
  </si>
  <si>
    <t>Client 01821</t>
  </si>
  <si>
    <t>TX0000354</t>
  </si>
  <si>
    <t>TX0000355</t>
  </si>
  <si>
    <t>CLI00715</t>
  </si>
  <si>
    <t>Client 00715</t>
  </si>
  <si>
    <t>TX0000356</t>
  </si>
  <si>
    <t>CLI01241</t>
  </si>
  <si>
    <t>Client 01241</t>
  </si>
  <si>
    <t>TX0000357</t>
  </si>
  <si>
    <t>CLI02077</t>
  </si>
  <si>
    <t>Client 02077</t>
  </si>
  <si>
    <t>TX0000358</t>
  </si>
  <si>
    <t>CLI01654</t>
  </si>
  <si>
    <t>Client 01654</t>
  </si>
  <si>
    <t>TX0000359</t>
  </si>
  <si>
    <t>CLI01952</t>
  </si>
  <si>
    <t>Client 01952</t>
  </si>
  <si>
    <t>TX0000360</t>
  </si>
  <si>
    <t>CLI01721</t>
  </si>
  <si>
    <t>Client 01721</t>
  </si>
  <si>
    <t>TX0000362</t>
  </si>
  <si>
    <t>CLI00819</t>
  </si>
  <si>
    <t>Client 00819</t>
  </si>
  <si>
    <t>TX0000363</t>
  </si>
  <si>
    <t>CLI01778</t>
  </si>
  <si>
    <t>Client 01778</t>
  </si>
  <si>
    <t>TX0000364</t>
  </si>
  <si>
    <t>CLI00576</t>
  </si>
  <si>
    <t>Client 00576</t>
  </si>
  <si>
    <t>TX0000365</t>
  </si>
  <si>
    <t>CLI02164</t>
  </si>
  <si>
    <t>Client 02164</t>
  </si>
  <si>
    <t>TX0000366</t>
  </si>
  <si>
    <t>CLI00565</t>
  </si>
  <si>
    <t>Client 00565</t>
  </si>
  <si>
    <t>TX0000367</t>
  </si>
  <si>
    <t>TX0000369</t>
  </si>
  <si>
    <t>TX0000370</t>
  </si>
  <si>
    <t>CLI00455</t>
  </si>
  <si>
    <t>Client 00455</t>
  </si>
  <si>
    <t>TX0000371</t>
  </si>
  <si>
    <t>CLI00244</t>
  </si>
  <si>
    <t>Client 00244</t>
  </si>
  <si>
    <t>TX0000372</t>
  </si>
  <si>
    <t>CLI00299</t>
  </si>
  <si>
    <t>Client 00299</t>
  </si>
  <si>
    <t>TX0000373</t>
  </si>
  <si>
    <t>TX0000374</t>
  </si>
  <si>
    <t>CLI01768</t>
  </si>
  <si>
    <t>Client 01768</t>
  </si>
  <si>
    <t>TX0000375</t>
  </si>
  <si>
    <t>CLI00804</t>
  </si>
  <si>
    <t>Client 00804</t>
  </si>
  <si>
    <t>TX0000376</t>
  </si>
  <si>
    <t>CLI01761</t>
  </si>
  <si>
    <t>Client 01761</t>
  </si>
  <si>
    <t>TX0000377</t>
  </si>
  <si>
    <t>CLI01406</t>
  </si>
  <si>
    <t>Client 01406</t>
  </si>
  <si>
    <t>TX0000378</t>
  </si>
  <si>
    <t>CLI02197</t>
  </si>
  <si>
    <t>Client 02197</t>
  </si>
  <si>
    <t>TX0000379</t>
  </si>
  <si>
    <t>CLI00740</t>
  </si>
  <si>
    <t>Client 00740</t>
  </si>
  <si>
    <t>TX0000380</t>
  </si>
  <si>
    <t>CLI01630</t>
  </si>
  <si>
    <t>Client 01630</t>
  </si>
  <si>
    <t>TX0000381</t>
  </si>
  <si>
    <t>CLI01463</t>
  </si>
  <si>
    <t>Client 01463</t>
  </si>
  <si>
    <t>TX0000382</t>
  </si>
  <si>
    <t>CLI01001</t>
  </si>
  <si>
    <t>Client 01001</t>
  </si>
  <si>
    <t>TX0000383</t>
  </si>
  <si>
    <t>CLI01992</t>
  </si>
  <si>
    <t>Client 01992</t>
  </si>
  <si>
    <t>TX0000384</t>
  </si>
  <si>
    <t>CLI00864</t>
  </si>
  <si>
    <t>Client 00864</t>
  </si>
  <si>
    <t>TX0000385</t>
  </si>
  <si>
    <t>CLI01859</t>
  </si>
  <si>
    <t>Client 01859</t>
  </si>
  <si>
    <t>TX0000386</t>
  </si>
  <si>
    <t>CLI00347</t>
  </si>
  <si>
    <t>Client 00347</t>
  </si>
  <si>
    <t>TX0000387</t>
  </si>
  <si>
    <t>CLI00182</t>
  </si>
  <si>
    <t>Client 00182</t>
  </si>
  <si>
    <t>TX0000388</t>
  </si>
  <si>
    <t>CLI00129</t>
  </si>
  <si>
    <t>Client 00129</t>
  </si>
  <si>
    <t>TX0000389</t>
  </si>
  <si>
    <t>CLI00887</t>
  </si>
  <si>
    <t>Client 00887</t>
  </si>
  <si>
    <t>TX0000390</t>
  </si>
  <si>
    <t>CLI01590</t>
  </si>
  <si>
    <t>Client 01590</t>
  </si>
  <si>
    <t>TX0000391</t>
  </si>
  <si>
    <t>CLI01562</t>
  </si>
  <si>
    <t>Client 01562</t>
  </si>
  <si>
    <t>TX0000392</t>
  </si>
  <si>
    <t>CLI01024</t>
  </si>
  <si>
    <t>Client 01024</t>
  </si>
  <si>
    <t>TX0000393</t>
  </si>
  <si>
    <t>CLI01027</t>
  </si>
  <si>
    <t>Client 01027</t>
  </si>
  <si>
    <t>TX0000396</t>
  </si>
  <si>
    <t>CLI01805</t>
  </si>
  <si>
    <t>Client 01805</t>
  </si>
  <si>
    <t>TX0000397</t>
  </si>
  <si>
    <t>TX0000398</t>
  </si>
  <si>
    <t>CLI00172</t>
  </si>
  <si>
    <t>Client 00172</t>
  </si>
  <si>
    <t>TX0000399</t>
  </si>
  <si>
    <t>CLI00184</t>
  </si>
  <si>
    <t>Client 00184</t>
  </si>
  <si>
    <t>TX0000400</t>
  </si>
  <si>
    <t>CLI01335</t>
  </si>
  <si>
    <t>Client 01335</t>
  </si>
  <si>
    <t>TX0000401</t>
  </si>
  <si>
    <t>CLI01476</t>
  </si>
  <si>
    <t>Client 01476</t>
  </si>
  <si>
    <t>TX0000402</t>
  </si>
  <si>
    <t>TX0000403</t>
  </si>
  <si>
    <t>CLI02093</t>
  </si>
  <si>
    <t>Client 02093</t>
  </si>
  <si>
    <t>TX0000404</t>
  </si>
  <si>
    <t>CLI00322</t>
  </si>
  <si>
    <t>Client 00322</t>
  </si>
  <si>
    <t>TX0000405</t>
  </si>
  <si>
    <t>CLI00497</t>
  </si>
  <si>
    <t>Client 00497</t>
  </si>
  <si>
    <t>TX0000406</t>
  </si>
  <si>
    <t>CLI01201</t>
  </si>
  <si>
    <t>Client 01201</t>
  </si>
  <si>
    <t>TX0000407</t>
  </si>
  <si>
    <t>CLI01823</t>
  </si>
  <si>
    <t>Client 01823</t>
  </si>
  <si>
    <t>TX0000409</t>
  </si>
  <si>
    <t>CLI01670</t>
  </si>
  <si>
    <t>Client 01670</t>
  </si>
  <si>
    <t>TX0000410</t>
  </si>
  <si>
    <t>CLI02069</t>
  </si>
  <si>
    <t>Client 02069</t>
  </si>
  <si>
    <t>TX0000411</t>
  </si>
  <si>
    <t>CLI01715</t>
  </si>
  <si>
    <t>Client 01715</t>
  </si>
  <si>
    <t>TX0000412</t>
  </si>
  <si>
    <t>CLI00099</t>
  </si>
  <si>
    <t>Client 00099</t>
  </si>
  <si>
    <t>TX0000414</t>
  </si>
  <si>
    <t>CLI00186</t>
  </si>
  <si>
    <t>COM029</t>
  </si>
  <si>
    <t>Client 00186</t>
  </si>
  <si>
    <t>Commercial 029</t>
  </si>
  <si>
    <t>TX0000415</t>
  </si>
  <si>
    <t>CLI01955</t>
  </si>
  <si>
    <t>Client 01955</t>
  </si>
  <si>
    <t>TX0000417</t>
  </si>
  <si>
    <t>CLI00397</t>
  </si>
  <si>
    <t>Client 00397</t>
  </si>
  <si>
    <t>TX0000418</t>
  </si>
  <si>
    <t>TX0000419</t>
  </si>
  <si>
    <t>CLI01140</t>
  </si>
  <si>
    <t>Client 01140</t>
  </si>
  <si>
    <t>TX0000421</t>
  </si>
  <si>
    <t>CLI01142</t>
  </si>
  <si>
    <t>Client 01142</t>
  </si>
  <si>
    <t>TX0000422</t>
  </si>
  <si>
    <t>CLI00163</t>
  </si>
  <si>
    <t>Client 00163</t>
  </si>
  <si>
    <t>TX0000423</t>
  </si>
  <si>
    <t>CLI02134</t>
  </si>
  <si>
    <t>Client 02134</t>
  </si>
  <si>
    <t>TX0000425</t>
  </si>
  <si>
    <t>CLI00324</t>
  </si>
  <si>
    <t>Client 00324</t>
  </si>
  <si>
    <t>TX0000426</t>
  </si>
  <si>
    <t>CLI02101</t>
  </si>
  <si>
    <t>Client 02101</t>
  </si>
  <si>
    <t>TX0000427</t>
  </si>
  <si>
    <t>CLI00146</t>
  </si>
  <si>
    <t>Client 00146</t>
  </si>
  <si>
    <t>TX0000429</t>
  </si>
  <si>
    <t>CLI00878</t>
  </si>
  <si>
    <t>Client 00878</t>
  </si>
  <si>
    <t>TX0000430</t>
  </si>
  <si>
    <t>CLI01078</t>
  </si>
  <si>
    <t>Client 01078</t>
  </si>
  <si>
    <t>TX0000431</t>
  </si>
  <si>
    <t>CLI00950</t>
  </si>
  <si>
    <t>Client 00950</t>
  </si>
  <si>
    <t>TX0000433</t>
  </si>
  <si>
    <t>TX0000434</t>
  </si>
  <si>
    <t>CLI02004</t>
  </si>
  <si>
    <t>Client 02004</t>
  </si>
  <si>
    <t>TX0000435</t>
  </si>
  <si>
    <t>CLI01324</t>
  </si>
  <si>
    <t>Client 01324</t>
  </si>
  <si>
    <t>TX0000436</t>
  </si>
  <si>
    <t>CLI00224</t>
  </si>
  <si>
    <t>Client 00224</t>
  </si>
  <si>
    <t>TX0000437</t>
  </si>
  <si>
    <t>CLI01679</t>
  </si>
  <si>
    <t>Client 01679</t>
  </si>
  <si>
    <t>TX0000438</t>
  </si>
  <si>
    <t>CLI00082</t>
  </si>
  <si>
    <t>Client 00082</t>
  </si>
  <si>
    <t>TX0000439</t>
  </si>
  <si>
    <t>CLI02125</t>
  </si>
  <si>
    <t>Client 02125</t>
  </si>
  <si>
    <t>TX0000441</t>
  </si>
  <si>
    <t>CLI00148</t>
  </si>
  <si>
    <t>Client 00148</t>
  </si>
  <si>
    <t>TX0000442</t>
  </si>
  <si>
    <t>CLI01235</t>
  </si>
  <si>
    <t>Client 01235</t>
  </si>
  <si>
    <t>TX0000443</t>
  </si>
  <si>
    <t>CLI01548</t>
  </si>
  <si>
    <t>Client 01548</t>
  </si>
  <si>
    <t>TX0000444</t>
  </si>
  <si>
    <t>CLI01702</t>
  </si>
  <si>
    <t>Client 01702</t>
  </si>
  <si>
    <t>TX0000445</t>
  </si>
  <si>
    <t>CLI01603</t>
  </si>
  <si>
    <t>Client 01603</t>
  </si>
  <si>
    <t>TX0000446</t>
  </si>
  <si>
    <t>TX0000447</t>
  </si>
  <si>
    <t>CLI00911</t>
  </si>
  <si>
    <t>Client 00911</t>
  </si>
  <si>
    <t>TX0000448</t>
  </si>
  <si>
    <t>CLI02036</t>
  </si>
  <si>
    <t>Client 02036</t>
  </si>
  <si>
    <t>TX0000449</t>
  </si>
  <si>
    <t>CLI00102</t>
  </si>
  <si>
    <t>Client 00102</t>
  </si>
  <si>
    <t>TX0000450</t>
  </si>
  <si>
    <t>TX0000451</t>
  </si>
  <si>
    <t>CLI01652</t>
  </si>
  <si>
    <t>Client 01652</t>
  </si>
  <si>
    <t>TX0000452</t>
  </si>
  <si>
    <t>CLI01276</t>
  </si>
  <si>
    <t>Client 01276</t>
  </si>
  <si>
    <t>TX0000453</t>
  </si>
  <si>
    <t>CLI01099</t>
  </si>
  <si>
    <t>Client 01099</t>
  </si>
  <si>
    <t>TX0000454</t>
  </si>
  <si>
    <t>CLI01979</t>
  </si>
  <si>
    <t>Client 01979</t>
  </si>
  <si>
    <t>TX0000455</t>
  </si>
  <si>
    <t>TX0000456</t>
  </si>
  <si>
    <t>CLI02149</t>
  </si>
  <si>
    <t>Client 02149</t>
  </si>
  <si>
    <t>TX0000457</t>
  </si>
  <si>
    <t>CLI01206</t>
  </si>
  <si>
    <t>Client 01206</t>
  </si>
  <si>
    <t>TX0000459</t>
  </si>
  <si>
    <t>CLI00555</t>
  </si>
  <si>
    <t>Client 00555</t>
  </si>
  <si>
    <t>TX0000460</t>
  </si>
  <si>
    <t>CLI00275</t>
  </si>
  <si>
    <t>Client 00275</t>
  </si>
  <si>
    <t>TX0000461</t>
  </si>
  <si>
    <t>CLI00251</t>
  </si>
  <si>
    <t>Client 00251</t>
  </si>
  <si>
    <t>TX0000462</t>
  </si>
  <si>
    <t>TX0000463</t>
  </si>
  <si>
    <t>TX0000464</t>
  </si>
  <si>
    <t>TX0000466</t>
  </si>
  <si>
    <t>CLI00601</t>
  </si>
  <si>
    <t>Client 00601</t>
  </si>
  <si>
    <t>TX0000467</t>
  </si>
  <si>
    <t>CLI01801</t>
  </si>
  <si>
    <t>Client 01801</t>
  </si>
  <si>
    <t>TX0000468</t>
  </si>
  <si>
    <t>CLI01546</t>
  </si>
  <si>
    <t>Client 01546</t>
  </si>
  <si>
    <t>TX0000469</t>
  </si>
  <si>
    <t>CLI00877</t>
  </si>
  <si>
    <t>Client 00877</t>
  </si>
  <si>
    <t>TX0000470</t>
  </si>
  <si>
    <t>TX0000471</t>
  </si>
  <si>
    <t>CLI01910</t>
  </si>
  <si>
    <t>Client 01910</t>
  </si>
  <si>
    <t>TX0000472</t>
  </si>
  <si>
    <t>TX0000473</t>
  </si>
  <si>
    <t>CLI01511</t>
  </si>
  <si>
    <t>Client 01511</t>
  </si>
  <si>
    <t>TX0000474</t>
  </si>
  <si>
    <t>CLI01632</t>
  </si>
  <si>
    <t>Client 01632</t>
  </si>
  <si>
    <t>TX0000475</t>
  </si>
  <si>
    <t>CLI01929</t>
  </si>
  <si>
    <t>Client 01929</t>
  </si>
  <si>
    <t>TX0000476</t>
  </si>
  <si>
    <t>CLI00119</t>
  </si>
  <si>
    <t>Client 00119</t>
  </si>
  <si>
    <t>TX0000477</t>
  </si>
  <si>
    <t>CLI00256</t>
  </si>
  <si>
    <t>Client 00256</t>
  </si>
  <si>
    <t>TX0000478</t>
  </si>
  <si>
    <t>CLI00069</t>
  </si>
  <si>
    <t>Client 00069</t>
  </si>
  <si>
    <t>TX0000479</t>
  </si>
  <si>
    <t>TX0000480</t>
  </si>
  <si>
    <t>CLI00344</t>
  </si>
  <si>
    <t>Client 00344</t>
  </si>
  <si>
    <t>TX0000481</t>
  </si>
  <si>
    <t>CLI00014</t>
  </si>
  <si>
    <t>Client 00014</t>
  </si>
  <si>
    <t>TX0000482</t>
  </si>
  <si>
    <t>CLI01897</t>
  </si>
  <si>
    <t>Client 01897</t>
  </si>
  <si>
    <t>TX0000483</t>
  </si>
  <si>
    <t>CLI00083</t>
  </si>
  <si>
    <t>Client 00083</t>
  </si>
  <si>
    <t>TX0000484</t>
  </si>
  <si>
    <t>TX0000486</t>
  </si>
  <si>
    <t>CLI01063</t>
  </si>
  <si>
    <t>Client 01063</t>
  </si>
  <si>
    <t>TX0000488</t>
  </si>
  <si>
    <t>TX0000489</t>
  </si>
  <si>
    <t>TX0000490</t>
  </si>
  <si>
    <t>CLI01914</t>
  </si>
  <si>
    <t>Client 01914</t>
  </si>
  <si>
    <t>TX0000491</t>
  </si>
  <si>
    <t>CLI01470</t>
  </si>
  <si>
    <t>Client 01470</t>
  </si>
  <si>
    <t>TX0000492</t>
  </si>
  <si>
    <t>TX0000493</t>
  </si>
  <si>
    <t>CLI01870</t>
  </si>
  <si>
    <t>Client 01870</t>
  </si>
  <si>
    <t>TX0000494</t>
  </si>
  <si>
    <t>TX0000496</t>
  </si>
  <si>
    <t>CLI00572</t>
  </si>
  <si>
    <t>Client 00572</t>
  </si>
  <si>
    <t>TX0000497</t>
  </si>
  <si>
    <t>TX0000498</t>
  </si>
  <si>
    <t>CLI00330</t>
  </si>
  <si>
    <t>Client 00330</t>
  </si>
  <si>
    <t>TX0000499</t>
  </si>
  <si>
    <t>CLI01533</t>
  </si>
  <si>
    <t>Client 01533</t>
  </si>
  <si>
    <t>TX0000500</t>
  </si>
  <si>
    <t>CLI01935</t>
  </si>
  <si>
    <t>Client 01935</t>
  </si>
  <si>
    <t>TX0000501</t>
  </si>
  <si>
    <t>CLI00547</t>
  </si>
  <si>
    <t>Client 00547</t>
  </si>
  <si>
    <t>TX0000502</t>
  </si>
  <si>
    <t>CLI02188</t>
  </si>
  <si>
    <t>Client 02188</t>
  </si>
  <si>
    <t>TX0000504</t>
  </si>
  <si>
    <t>CLI00943</t>
  </si>
  <si>
    <t>Client 00943</t>
  </si>
  <si>
    <t>TX0000505</t>
  </si>
  <si>
    <t>CLI00737</t>
  </si>
  <si>
    <t>Client 00737</t>
  </si>
  <si>
    <t>TX0000506</t>
  </si>
  <si>
    <t>TX0000507</t>
  </si>
  <si>
    <t>CLI01419</t>
  </si>
  <si>
    <t>Client 01419</t>
  </si>
  <si>
    <t>TX0000508</t>
  </si>
  <si>
    <t>CLI00048</t>
  </si>
  <si>
    <t>Client 00048</t>
  </si>
  <si>
    <t>TX0000509</t>
  </si>
  <si>
    <t>CLI01845</t>
  </si>
  <si>
    <t>Client 01845</t>
  </si>
  <si>
    <t>TX0000510</t>
  </si>
  <si>
    <t>CLI01737</t>
  </si>
  <si>
    <t>Client 01737</t>
  </si>
  <si>
    <t>TX0000511</t>
  </si>
  <si>
    <t>TX0000512</t>
  </si>
  <si>
    <t>CLI00206</t>
  </si>
  <si>
    <t>Client 00206</t>
  </si>
  <si>
    <t>TX0000513</t>
  </si>
  <si>
    <t>CLI00733</t>
  </si>
  <si>
    <t>Client 00733</t>
  </si>
  <si>
    <t>TX0000514</t>
  </si>
  <si>
    <t>CLI01464</t>
  </si>
  <si>
    <t>Client 01464</t>
  </si>
  <si>
    <t>TX0000516</t>
  </si>
  <si>
    <t>CLI02145</t>
  </si>
  <si>
    <t>Client 02145</t>
  </si>
  <si>
    <t>TX0000517</t>
  </si>
  <si>
    <t>CLI00323</t>
  </si>
  <si>
    <t>Client 00323</t>
  </si>
  <si>
    <t>TX0000518</t>
  </si>
  <si>
    <t>CLI00325</t>
  </si>
  <si>
    <t>Client 00325</t>
  </si>
  <si>
    <t>TX0000519</t>
  </si>
  <si>
    <t>CLI00201</t>
  </si>
  <si>
    <t>Client 00201</t>
  </si>
  <si>
    <t>TX0000520</t>
  </si>
  <si>
    <t>CLI00188</t>
  </si>
  <si>
    <t>Client 00188</t>
  </si>
  <si>
    <t>TX0000521</t>
  </si>
  <si>
    <t>CLI01698</t>
  </si>
  <si>
    <t>Client 01698</t>
  </si>
  <si>
    <t>TX0000522</t>
  </si>
  <si>
    <t>CLI00921</t>
  </si>
  <si>
    <t>Client 00921</t>
  </si>
  <si>
    <t>TX0000523</t>
  </si>
  <si>
    <t>TX0000524</t>
  </si>
  <si>
    <t>TX0000525</t>
  </si>
  <si>
    <t>CLI01048</t>
  </si>
  <si>
    <t>Client 01048</t>
  </si>
  <si>
    <t>TX0000526</t>
  </si>
  <si>
    <t>CLI01415</t>
  </si>
  <si>
    <t>Client 01415</t>
  </si>
  <si>
    <t>TX0000527</t>
  </si>
  <si>
    <t>TX0000528</t>
  </si>
  <si>
    <t>CLI00096</t>
  </si>
  <si>
    <t>Client 00096</t>
  </si>
  <si>
    <t>TX0000529</t>
  </si>
  <si>
    <t>TX0000530</t>
  </si>
  <si>
    <t>CLI00652</t>
  </si>
  <si>
    <t>Client 00652</t>
  </si>
  <si>
    <t>TX0000531</t>
  </si>
  <si>
    <t>CLI01488</t>
  </si>
  <si>
    <t>Client 01488</t>
  </si>
  <si>
    <t>TX0000532</t>
  </si>
  <si>
    <t>CLI01901</t>
  </si>
  <si>
    <t>Client 01901</t>
  </si>
  <si>
    <t>TX0000533</t>
  </si>
  <si>
    <t>CLI00706</t>
  </si>
  <si>
    <t>Client 00706</t>
  </si>
  <si>
    <t>TX0000535</t>
  </si>
  <si>
    <t>CLI01332</t>
  </si>
  <si>
    <t>Client 01332</t>
  </si>
  <si>
    <t>TX0000536</t>
  </si>
  <si>
    <t>CLI01595</t>
  </si>
  <si>
    <t>Client 01595</t>
  </si>
  <si>
    <t>TX0000537</t>
  </si>
  <si>
    <t>TX0000538</t>
  </si>
  <si>
    <t>TX0000539</t>
  </si>
  <si>
    <t>TX0000540</t>
  </si>
  <si>
    <t>CLI01926</t>
  </si>
  <si>
    <t>Client 01926</t>
  </si>
  <si>
    <t>TX0000541</t>
  </si>
  <si>
    <t>TX0000542</t>
  </si>
  <si>
    <t>CLI02096</t>
  </si>
  <si>
    <t>Client 02096</t>
  </si>
  <si>
    <t>TX0000543</t>
  </si>
  <si>
    <t>CLI00458</t>
  </si>
  <si>
    <t>Client 00458</t>
  </si>
  <si>
    <t>TX0000544</t>
  </si>
  <si>
    <t>CLI00398</t>
  </si>
  <si>
    <t>Client 00398</t>
  </si>
  <si>
    <t>TX0000545</t>
  </si>
  <si>
    <t>TX0000546</t>
  </si>
  <si>
    <t>TX0000547</t>
  </si>
  <si>
    <t>TX0000548</t>
  </si>
  <si>
    <t>CLI01198</t>
  </si>
  <si>
    <t>Client 01198</t>
  </si>
  <si>
    <t>TX0000549</t>
  </si>
  <si>
    <t>TX0000550</t>
  </si>
  <si>
    <t>CLI00698</t>
  </si>
  <si>
    <t>Client 00698</t>
  </si>
  <si>
    <t>TX0000551</t>
  </si>
  <si>
    <t>CLI01988</t>
  </si>
  <si>
    <t>Client 01988</t>
  </si>
  <si>
    <t>TX0000552</t>
  </si>
  <si>
    <t>TX0000553</t>
  </si>
  <si>
    <t>CLI01461</t>
  </si>
  <si>
    <t>Client 01461</t>
  </si>
  <si>
    <t>TX0000554</t>
  </si>
  <si>
    <t>CLI01490</t>
  </si>
  <si>
    <t>Client 01490</t>
  </si>
  <si>
    <t>TX0000555</t>
  </si>
  <si>
    <t>CLI02191</t>
  </si>
  <si>
    <t>Client 02191</t>
  </si>
  <si>
    <t>TX0000556</t>
  </si>
  <si>
    <t>CLI00749</t>
  </si>
  <si>
    <t>Client 00749</t>
  </si>
  <si>
    <t>TX0000557</t>
  </si>
  <si>
    <t>CLI00375</t>
  </si>
  <si>
    <t>Client 00375</t>
  </si>
  <si>
    <t>TX0000558</t>
  </si>
  <si>
    <t>TX0000559</t>
  </si>
  <si>
    <t>CLI00477</t>
  </si>
  <si>
    <t>Client 00477</t>
  </si>
  <si>
    <t>TX0000560</t>
  </si>
  <si>
    <t>CLI01229</t>
  </si>
  <si>
    <t>Client 01229</t>
  </si>
  <si>
    <t>TX0000561</t>
  </si>
  <si>
    <t>CLI01869</t>
  </si>
  <si>
    <t>Client 01869</t>
  </si>
  <si>
    <t>TX0000562</t>
  </si>
  <si>
    <t>CLI01980</t>
  </si>
  <si>
    <t>Client 01980</t>
  </si>
  <si>
    <t>TX0000563</t>
  </si>
  <si>
    <t>CLI00457</t>
  </si>
  <si>
    <t>Client 00457</t>
  </si>
  <si>
    <t>TX0000564</t>
  </si>
  <si>
    <t>TX0000565</t>
  </si>
  <si>
    <t>TX0000566</t>
  </si>
  <si>
    <t>TX0000568</t>
  </si>
  <si>
    <t>CLI01941</t>
  </si>
  <si>
    <t>Client 01941</t>
  </si>
  <si>
    <t>TX0000569</t>
  </si>
  <si>
    <t>CLI01255</t>
  </si>
  <si>
    <t>Client 01255</t>
  </si>
  <si>
    <t>TX0000570</t>
  </si>
  <si>
    <t>CLI00024</t>
  </si>
  <si>
    <t>Client 00024</t>
  </si>
  <si>
    <t>TX0000571</t>
  </si>
  <si>
    <t>CLI00080</t>
  </si>
  <si>
    <t>Client 00080</t>
  </si>
  <si>
    <t>TX0000572</t>
  </si>
  <si>
    <t>CLI01567</t>
  </si>
  <si>
    <t>Client 01567</t>
  </si>
  <si>
    <t>TX0000574</t>
  </si>
  <si>
    <t>CLI00189</t>
  </si>
  <si>
    <t>Client 00189</t>
  </si>
  <si>
    <t>TX0000575</t>
  </si>
  <si>
    <t>CLI00230</t>
  </si>
  <si>
    <t>Client 00230</t>
  </si>
  <si>
    <t>TX0000576</t>
  </si>
  <si>
    <t>CLI00304</t>
  </si>
  <si>
    <t>Client 00304</t>
  </si>
  <si>
    <t>TX0000577</t>
  </si>
  <si>
    <t>CLI00361</t>
  </si>
  <si>
    <t>Client 00361</t>
  </si>
  <si>
    <t>TX0000579</t>
  </si>
  <si>
    <t>TX0000580</t>
  </si>
  <si>
    <t>CLI01061</t>
  </si>
  <si>
    <t>Client 01061</t>
  </si>
  <si>
    <t>TX0000581</t>
  </si>
  <si>
    <t>CLI00197</t>
  </si>
  <si>
    <t>Client 00197</t>
  </si>
  <si>
    <t>TX0000583</t>
  </si>
  <si>
    <t>CLI00461</t>
  </si>
  <si>
    <t>Client 00461</t>
  </si>
  <si>
    <t>TX0000584</t>
  </si>
  <si>
    <t>CLI01766</t>
  </si>
  <si>
    <t>Client 01766</t>
  </si>
  <si>
    <t>TX0000585</t>
  </si>
  <si>
    <t>CLI01392</t>
  </si>
  <si>
    <t>Client 01392</t>
  </si>
  <si>
    <t>TX0000586</t>
  </si>
  <si>
    <t>CLI01204</t>
  </si>
  <si>
    <t>Client 01204</t>
  </si>
  <si>
    <t>TX0000587</t>
  </si>
  <si>
    <t>CLI00913</t>
  </si>
  <si>
    <t>Client 00913</t>
  </si>
  <si>
    <t>TX0000588</t>
  </si>
  <si>
    <t>CLI00626</t>
  </si>
  <si>
    <t>Client 00626</t>
  </si>
  <si>
    <t>TX0000589</t>
  </si>
  <si>
    <t>CLI01428</t>
  </si>
  <si>
    <t>Client 01428</t>
  </si>
  <si>
    <t>TX0000590</t>
  </si>
  <si>
    <t>TX0000591</t>
  </si>
  <si>
    <t>TX0000592</t>
  </si>
  <si>
    <t>CLI01831</t>
  </si>
  <si>
    <t>Client 01831</t>
  </si>
  <si>
    <t>TX0000593</t>
  </si>
  <si>
    <t>CLI00718</t>
  </si>
  <si>
    <t>Client 00718</t>
  </si>
  <si>
    <t>TX0000594</t>
  </si>
  <si>
    <t>CLI01298</t>
  </si>
  <si>
    <t>Client 01298</t>
  </si>
  <si>
    <t>TX0000595</t>
  </si>
  <si>
    <t>CLI00459</t>
  </si>
  <si>
    <t>Client 00459</t>
  </si>
  <si>
    <t>TX0000596</t>
  </si>
  <si>
    <t>CLI01270</t>
  </si>
  <si>
    <t>Client 01270</t>
  </si>
  <si>
    <t>TX0000597</t>
  </si>
  <si>
    <t>CLI01597</t>
  </si>
  <si>
    <t>Client 01597</t>
  </si>
  <si>
    <t>TX0000598</t>
  </si>
  <si>
    <t>CLI00727</t>
  </si>
  <si>
    <t>Client 00727</t>
  </si>
  <si>
    <t>TX0000599</t>
  </si>
  <si>
    <t>TX0000600</t>
  </si>
  <si>
    <t>TX0000601</t>
  </si>
  <si>
    <t>TX0000602</t>
  </si>
  <si>
    <t>CLI01928</t>
  </si>
  <si>
    <t>Client 01928</t>
  </si>
  <si>
    <t>TX0000603</t>
  </si>
  <si>
    <t>TX0000604</t>
  </si>
  <si>
    <t>CLI01701</t>
  </si>
  <si>
    <t>Client 01701</t>
  </si>
  <si>
    <t>TX0000605</t>
  </si>
  <si>
    <t>CLI01053</t>
  </si>
  <si>
    <t>Client 01053</t>
  </si>
  <si>
    <t>TX0000606</t>
  </si>
  <si>
    <t>TX0000607</t>
  </si>
  <si>
    <t>CLI00389</t>
  </si>
  <si>
    <t>Client 00389</t>
  </si>
  <si>
    <t>TX0000608</t>
  </si>
  <si>
    <t>CLI01234</t>
  </si>
  <si>
    <t>Client 01234</t>
  </si>
  <si>
    <t>TX0000609</t>
  </si>
  <si>
    <t>CLI00540</t>
  </si>
  <si>
    <t>Client 00540</t>
  </si>
  <si>
    <t>TX0000610</t>
  </si>
  <si>
    <t>TX0000611</t>
  </si>
  <si>
    <t>CLI01322</t>
  </si>
  <si>
    <t>Client 01322</t>
  </si>
  <si>
    <t>TX0000612</t>
  </si>
  <si>
    <t>CLI00880</t>
  </si>
  <si>
    <t>Client 00880</t>
  </si>
  <si>
    <t>TX0000613</t>
  </si>
  <si>
    <t>CLI00764</t>
  </si>
  <si>
    <t>Client 00764</t>
  </si>
  <si>
    <t>TX0000614</t>
  </si>
  <si>
    <t>CLI01403</t>
  </si>
  <si>
    <t>Client 01403</t>
  </si>
  <si>
    <t>TX0000615</t>
  </si>
  <si>
    <t>CLI01874</t>
  </si>
  <si>
    <t>Client 01874</t>
  </si>
  <si>
    <t>TX0000616</t>
  </si>
  <si>
    <t>CLI01787</t>
  </si>
  <si>
    <t>Client 01787</t>
  </si>
  <si>
    <t>TX0000617</t>
  </si>
  <si>
    <t>CLI00909</t>
  </si>
  <si>
    <t>Client 00909</t>
  </si>
  <si>
    <t>TX0000618</t>
  </si>
  <si>
    <t>CLI02174</t>
  </si>
  <si>
    <t>Client 02174</t>
  </si>
  <si>
    <t>TX0000619</t>
  </si>
  <si>
    <t>CLI00411</t>
  </si>
  <si>
    <t>Client 00411</t>
  </si>
  <si>
    <t>TX0000620</t>
  </si>
  <si>
    <t>CLI01141</t>
  </si>
  <si>
    <t>Client 01141</t>
  </si>
  <si>
    <t>TX0000621</t>
  </si>
  <si>
    <t>CLI00558</t>
  </si>
  <si>
    <t>Client 00558</t>
  </si>
  <si>
    <t>TX0000622</t>
  </si>
  <si>
    <t>CLI00274</t>
  </si>
  <si>
    <t>Client 00274</t>
  </si>
  <si>
    <t>TX0000623</t>
  </si>
  <si>
    <t>CLI00654</t>
  </si>
  <si>
    <t>Client 00654</t>
  </si>
  <si>
    <t>TX0000624</t>
  </si>
  <si>
    <t>TX0000625</t>
  </si>
  <si>
    <t>CLI01129</t>
  </si>
  <si>
    <t>Client 01129</t>
  </si>
  <si>
    <t>TX0000626</t>
  </si>
  <si>
    <t>CLI01930</t>
  </si>
  <si>
    <t>Client 01930</t>
  </si>
  <si>
    <t>TX0000627</t>
  </si>
  <si>
    <t>CLI01399</t>
  </si>
  <si>
    <t>Client 01399</t>
  </si>
  <si>
    <t>TX0000628</t>
  </si>
  <si>
    <t>CLI01996</t>
  </si>
  <si>
    <t>Client 01996</t>
  </si>
  <si>
    <t>TX0000629</t>
  </si>
  <si>
    <t>CLI02026</t>
  </si>
  <si>
    <t>Client 02026</t>
  </si>
  <si>
    <t>TX0000630</t>
  </si>
  <si>
    <t>CLI01130</t>
  </si>
  <si>
    <t>Client 01130</t>
  </si>
  <si>
    <t>TX0000631</t>
  </si>
  <si>
    <t>CLI00415</t>
  </si>
  <si>
    <t>Client 00415</t>
  </si>
  <si>
    <t>TX0000632</t>
  </si>
  <si>
    <t>CLI01999</t>
  </si>
  <si>
    <t>Client 01999</t>
  </si>
  <si>
    <t>TX0000633</t>
  </si>
  <si>
    <t>CLI00404</t>
  </si>
  <si>
    <t>Client 00404</t>
  </si>
  <si>
    <t>TX0000635</t>
  </si>
  <si>
    <t>CLI01769</t>
  </si>
  <si>
    <t>Client 01769</t>
  </si>
  <si>
    <t>TX0000636</t>
  </si>
  <si>
    <t>CLI01689</t>
  </si>
  <si>
    <t>Client 01689</t>
  </si>
  <si>
    <t>TX0000637</t>
  </si>
  <si>
    <t>TX0000638</t>
  </si>
  <si>
    <t>CLI00658</t>
  </si>
  <si>
    <t>Client 00658</t>
  </si>
  <si>
    <t>TX0000639</t>
  </si>
  <si>
    <t>CLI00705</t>
  </si>
  <si>
    <t>Client 00705</t>
  </si>
  <si>
    <t>TX0000640</t>
  </si>
  <si>
    <t>CLI01253</t>
  </si>
  <si>
    <t>Client 01253</t>
  </si>
  <si>
    <t>TX0000642</t>
  </si>
  <si>
    <t>TX0000643</t>
  </si>
  <si>
    <t>CLI00729</t>
  </si>
  <si>
    <t>Client 00729</t>
  </si>
  <si>
    <t>TX0000644</t>
  </si>
  <si>
    <t>CLI00598</t>
  </si>
  <si>
    <t>Client 00598</t>
  </si>
  <si>
    <t>TX0000645</t>
  </si>
  <si>
    <t>TX0000646</t>
  </si>
  <si>
    <t>CLI01122</t>
  </si>
  <si>
    <t>Client 01122</t>
  </si>
  <si>
    <t>TX0000647</t>
  </si>
  <si>
    <t>TX0000648</t>
  </si>
  <si>
    <t>TX0000649</t>
  </si>
  <si>
    <t>CLI01491</t>
  </si>
  <si>
    <t>Client 01491</t>
  </si>
  <si>
    <t>TX0000650</t>
  </si>
  <si>
    <t>CLI00316</t>
  </si>
  <si>
    <t>Client 00316</t>
  </si>
  <si>
    <t>TX0000651</t>
  </si>
  <si>
    <t>CLI02079</t>
  </si>
  <si>
    <t>Client 02079</t>
  </si>
  <si>
    <t>TX0000652</t>
  </si>
  <si>
    <t>CLI00918</t>
  </si>
  <si>
    <t>Client 00918</t>
  </si>
  <si>
    <t>TX0000653</t>
  </si>
  <si>
    <t>TX0000654</t>
  </si>
  <si>
    <t>CLI00606</t>
  </si>
  <si>
    <t>Client 00606</t>
  </si>
  <si>
    <t>TX0000655</t>
  </si>
  <si>
    <t>CLI02011</t>
  </si>
  <si>
    <t>Client 02011</t>
  </si>
  <si>
    <t>TX0000656</t>
  </si>
  <si>
    <t>CLI02081</t>
  </si>
  <si>
    <t>Client 02081</t>
  </si>
  <si>
    <t>TX0000657</t>
  </si>
  <si>
    <t>CLI00217</t>
  </si>
  <si>
    <t>Client 00217</t>
  </si>
  <si>
    <t>TX0000658</t>
  </si>
  <si>
    <t>CLI00798</t>
  </si>
  <si>
    <t>Client 00798</t>
  </si>
  <si>
    <t>TX0000659</t>
  </si>
  <si>
    <t>CLI00386</t>
  </si>
  <si>
    <t>Client 00386</t>
  </si>
  <si>
    <t>TX0000660</t>
  </si>
  <si>
    <t>CLI00750</t>
  </si>
  <si>
    <t>Client 00750</t>
  </si>
  <si>
    <t>TX0000661</t>
  </si>
  <si>
    <t>CLI01068</t>
  </si>
  <si>
    <t>Client 01068</t>
  </si>
  <si>
    <t>TX0000662</t>
  </si>
  <si>
    <t>TX0000663</t>
  </si>
  <si>
    <t>CLI00392</t>
  </si>
  <si>
    <t>Client 00392</t>
  </si>
  <si>
    <t>TX0000665</t>
  </si>
  <si>
    <t>TX0000666</t>
  </si>
  <si>
    <t>CLI01824</t>
  </si>
  <si>
    <t>Client 01824</t>
  </si>
  <si>
    <t>TX0000667</t>
  </si>
  <si>
    <t>CLI01277</t>
  </si>
  <si>
    <t>Client 01277</t>
  </si>
  <si>
    <t>TX0000668</t>
  </si>
  <si>
    <t>CLI02039</t>
  </si>
  <si>
    <t>Client 02039</t>
  </si>
  <si>
    <t>TX0000669</t>
  </si>
  <si>
    <t>TX0000670</t>
  </si>
  <si>
    <t>CLI01656</t>
  </si>
  <si>
    <t>Client 01656</t>
  </si>
  <si>
    <t>TX0000671</t>
  </si>
  <si>
    <t>CLI00373</t>
  </si>
  <si>
    <t>Client 00373</t>
  </si>
  <si>
    <t>TX0000672</t>
  </si>
  <si>
    <t>CLI00824</t>
  </si>
  <si>
    <t>Client 00824</t>
  </si>
  <si>
    <t>TX0000673</t>
  </si>
  <si>
    <t>CLI01545</t>
  </si>
  <si>
    <t>Client 01545</t>
  </si>
  <si>
    <t>TX0000674</t>
  </si>
  <si>
    <t>TX0000675</t>
  </si>
  <si>
    <t>CLI00366</t>
  </si>
  <si>
    <t>Client 00366</t>
  </si>
  <si>
    <t>TX0000676</t>
  </si>
  <si>
    <t>TX0000677</t>
  </si>
  <si>
    <t>CLI02147</t>
  </si>
  <si>
    <t>Client 02147</t>
  </si>
  <si>
    <t>TX0000678</t>
  </si>
  <si>
    <t>CLI00761</t>
  </si>
  <si>
    <t>Client 00761</t>
  </si>
  <si>
    <t>TX0000680</t>
  </si>
  <si>
    <t>CLI01598</t>
  </si>
  <si>
    <t>Client 01598</t>
  </si>
  <si>
    <t>TX0000681</t>
  </si>
  <si>
    <t>CLI01058</t>
  </si>
  <si>
    <t>Client 01058</t>
  </si>
  <si>
    <t>TX0000682</t>
  </si>
  <si>
    <t>CLI01704</t>
  </si>
  <si>
    <t>Client 01704</t>
  </si>
  <si>
    <t>TX0000683</t>
  </si>
  <si>
    <t>TX0000685</t>
  </si>
  <si>
    <t>TX0000686</t>
  </si>
  <si>
    <t>CLI01618</t>
  </si>
  <si>
    <t>Client 01618</t>
  </si>
  <si>
    <t>TX0000687</t>
  </si>
  <si>
    <t>CLI00448</t>
  </si>
  <si>
    <t>Client 00448</t>
  </si>
  <si>
    <t>TX0000688</t>
  </si>
  <si>
    <t>CLI01520</t>
  </si>
  <si>
    <t>Client 01520</t>
  </si>
  <si>
    <t>TX0000689</t>
  </si>
  <si>
    <t>CLI01303</t>
  </si>
  <si>
    <t>Client 01303</t>
  </si>
  <si>
    <t>TX0000690</t>
  </si>
  <si>
    <t>CLI00822</t>
  </si>
  <si>
    <t>Client 00822</t>
  </si>
  <si>
    <t>TX0000691</t>
  </si>
  <si>
    <t>TX0000692</t>
  </si>
  <si>
    <t>CLI00588</t>
  </si>
  <si>
    <t>Client 00588</t>
  </si>
  <si>
    <t>TX0000693</t>
  </si>
  <si>
    <t>CLI00696</t>
  </si>
  <si>
    <t>Client 00696</t>
  </si>
  <si>
    <t>TX0000694</t>
  </si>
  <si>
    <t>CLI00015</t>
  </si>
  <si>
    <t>Client 00015</t>
  </si>
  <si>
    <t>TX0000695</t>
  </si>
  <si>
    <t>TX0000696</t>
  </si>
  <si>
    <t>CLI00974</t>
  </si>
  <si>
    <t>Client 00974</t>
  </si>
  <si>
    <t>TX0000698</t>
  </si>
  <si>
    <t>CLI01508</t>
  </si>
  <si>
    <t>Client 01508</t>
  </si>
  <si>
    <t>TX0000699</t>
  </si>
  <si>
    <t>CLI00930</t>
  </si>
  <si>
    <t>Client 00930</t>
  </si>
  <si>
    <t>TX0000700</t>
  </si>
  <si>
    <t>CLI01887</t>
  </si>
  <si>
    <t>Client 01887</t>
  </si>
  <si>
    <t>TX0000701</t>
  </si>
  <si>
    <t>CLI02171</t>
  </si>
  <si>
    <t>Client 02171</t>
  </si>
  <si>
    <t>TX0000702</t>
  </si>
  <si>
    <t>TX0000704</t>
  </si>
  <si>
    <t>TX0000705</t>
  </si>
  <si>
    <t>CLI00639</t>
  </si>
  <si>
    <t>Client 00639</t>
  </si>
  <si>
    <t>TX0000706</t>
  </si>
  <si>
    <t>CLI01994</t>
  </si>
  <si>
    <t>Client 01994</t>
  </si>
  <si>
    <t>TX0000708</t>
  </si>
  <si>
    <t>CLI01462</t>
  </si>
  <si>
    <t>Client 01462</t>
  </si>
  <si>
    <t>TX0000709</t>
  </si>
  <si>
    <t>CLI01830</t>
  </si>
  <si>
    <t>Client 01830</t>
  </si>
  <si>
    <t>TX0000710</t>
  </si>
  <si>
    <t>CLI00623</t>
  </si>
  <si>
    <t>Client 00623</t>
  </si>
  <si>
    <t>TX0000711</t>
  </si>
  <si>
    <t>CLI01924</t>
  </si>
  <si>
    <t>Client 01924</t>
  </si>
  <si>
    <t>TX0000713</t>
  </si>
  <si>
    <t>CLI00745</t>
  </si>
  <si>
    <t>Client 00745</t>
  </si>
  <si>
    <t>TX0000715</t>
  </si>
  <si>
    <t>CLI00808</t>
  </si>
  <si>
    <t>Client 00808</t>
  </si>
  <si>
    <t>TX0000716</t>
  </si>
  <si>
    <t>TX0000717</t>
  </si>
  <si>
    <t>CLI00684</t>
  </si>
  <si>
    <t>Client 00684</t>
  </si>
  <si>
    <t>TX0000718</t>
  </si>
  <si>
    <t>CLI01877</t>
  </si>
  <si>
    <t>Client 01877</t>
  </si>
  <si>
    <t>TX0000719</t>
  </si>
  <si>
    <t>CLI00079</t>
  </si>
  <si>
    <t>Client 00079</t>
  </si>
  <si>
    <t>TX0000721</t>
  </si>
  <si>
    <t>CLI01072</t>
  </si>
  <si>
    <t>Client 01072</t>
  </si>
  <si>
    <t>TX0000722</t>
  </si>
  <si>
    <t>CLI01306</t>
  </si>
  <si>
    <t>Client 01306</t>
  </si>
  <si>
    <t>TX0000723</t>
  </si>
  <si>
    <t>CLI01530</t>
  </si>
  <si>
    <t>Client 01530</t>
  </si>
  <si>
    <t>TX0000724</t>
  </si>
  <si>
    <t>TX0000725</t>
  </si>
  <si>
    <t>CLI01356</t>
  </si>
  <si>
    <t>Client 01356</t>
  </si>
  <si>
    <t>TX0000726</t>
  </si>
  <si>
    <t>CLI00376</t>
  </si>
  <si>
    <t>Client 00376</t>
  </si>
  <si>
    <t>TX0000727</t>
  </si>
  <si>
    <t>CLI02169</t>
  </si>
  <si>
    <t>Client 02169</t>
  </si>
  <si>
    <t>TX0000728</t>
  </si>
  <si>
    <t>TX0000729</t>
  </si>
  <si>
    <t>CLI00776</t>
  </si>
  <si>
    <t>Client 00776</t>
  </si>
  <si>
    <t>TX0000730</t>
  </si>
  <si>
    <t>TX0000731</t>
  </si>
  <si>
    <t>TX0000732</t>
  </si>
  <si>
    <t>CLI00248</t>
  </si>
  <si>
    <t>Client 00248</t>
  </si>
  <si>
    <t>TX0000733</t>
  </si>
  <si>
    <t>TX0000734</t>
  </si>
  <si>
    <t>TX0000735</t>
  </si>
  <si>
    <t>TX0000736</t>
  </si>
  <si>
    <t>TX0000737</t>
  </si>
  <si>
    <t>CLI00058</t>
  </si>
  <si>
    <t>Client 00058</t>
  </si>
  <si>
    <t>TX0000738</t>
  </si>
  <si>
    <t>TX0000740</t>
  </si>
  <si>
    <t>CLI00655</t>
  </si>
  <si>
    <t>Client 00655</t>
  </si>
  <si>
    <t>TX0000741</t>
  </si>
  <si>
    <t>CLI00580</t>
  </si>
  <si>
    <t>Client 00580</t>
  </si>
  <si>
    <t>TX0000742</t>
  </si>
  <si>
    <t>TX0000743</t>
  </si>
  <si>
    <t>TX0000744</t>
  </si>
  <si>
    <t>CLI00858</t>
  </si>
  <si>
    <t>Client 00858</t>
  </si>
  <si>
    <t>TX0000745</t>
  </si>
  <si>
    <t>CLI01357</t>
  </si>
  <si>
    <t>Client 01357</t>
  </si>
  <si>
    <t>TX0000746</t>
  </si>
  <si>
    <t>CLI01021</t>
  </si>
  <si>
    <t>Client 01021</t>
  </si>
  <si>
    <t>TX0000747</t>
  </si>
  <si>
    <t>TX0000748</t>
  </si>
  <si>
    <t>TX0000750</t>
  </si>
  <si>
    <t>CLI01986</t>
  </si>
  <si>
    <t>Client 01986</t>
  </si>
  <si>
    <t>TX0000751</t>
  </si>
  <si>
    <t>CLI00249</t>
  </si>
  <si>
    <t>Client 00249</t>
  </si>
  <si>
    <t>TX0000752</t>
  </si>
  <si>
    <t>CLI00045</t>
  </si>
  <si>
    <t>Client 00045</t>
  </si>
  <si>
    <t>TX0000753</t>
  </si>
  <si>
    <t>CLI01905</t>
  </si>
  <si>
    <t>Client 01905</t>
  </si>
  <si>
    <t>TX0000754</t>
  </si>
  <si>
    <t>CLI00442</t>
  </si>
  <si>
    <t>Client 00442</t>
  </si>
  <si>
    <t>TX0000755</t>
  </si>
  <si>
    <t>CLI00527</t>
  </si>
  <si>
    <t>Client 00527</t>
  </si>
  <si>
    <t>TX0000756</t>
  </si>
  <si>
    <t>CLI01292</t>
  </si>
  <si>
    <t>Client 01292</t>
  </si>
  <si>
    <t>TX0000757</t>
  </si>
  <si>
    <t>CLI00142</t>
  </si>
  <si>
    <t>Client 00142</t>
  </si>
  <si>
    <t>TX0000759</t>
  </si>
  <si>
    <t>CLI00963</t>
  </si>
  <si>
    <t>Client 00963</t>
  </si>
  <si>
    <t>TX0000760</t>
  </si>
  <si>
    <t>CLI00255</t>
  </si>
  <si>
    <t>Client 00255</t>
  </si>
  <si>
    <t>TX0000761</t>
  </si>
  <si>
    <t>CLI00473</t>
  </si>
  <si>
    <t>Client 00473</t>
  </si>
  <si>
    <t>TX0000762</t>
  </si>
  <si>
    <t>CLI00924</t>
  </si>
  <si>
    <t>Client 00924</t>
  </si>
  <si>
    <t>TX0000763</t>
  </si>
  <si>
    <t>TX0000764</t>
  </si>
  <si>
    <t>TX0000766</t>
  </si>
  <si>
    <t>CLI01153</t>
  </si>
  <si>
    <t>Client 01153</t>
  </si>
  <si>
    <t>TX0000767</t>
  </si>
  <si>
    <t>CLI01050</t>
  </si>
  <si>
    <t>Client 01050</t>
  </si>
  <si>
    <t>TX0000768</t>
  </si>
  <si>
    <t>CLI01825</t>
  </si>
  <si>
    <t>Client 01825</t>
  </si>
  <si>
    <t>TX0000769</t>
  </si>
  <si>
    <t>CLI00843</t>
  </si>
  <si>
    <t>Client 00843</t>
  </si>
  <si>
    <t>TX0000770</t>
  </si>
  <si>
    <t>TX0000771</t>
  </si>
  <si>
    <t>CLI01368</t>
  </si>
  <si>
    <t>Client 01368</t>
  </si>
  <si>
    <t>TX0000772</t>
  </si>
  <si>
    <t>CLI00677</t>
  </si>
  <si>
    <t>Client 00677</t>
  </si>
  <si>
    <t>TX0000773</t>
  </si>
  <si>
    <t>CLI00440</t>
  </si>
  <si>
    <t>Client 00440</t>
  </si>
  <si>
    <t>TX0000774</t>
  </si>
  <si>
    <t>CLI01563</t>
  </si>
  <si>
    <t>Client 01563</t>
  </si>
  <si>
    <t>TX0000775</t>
  </si>
  <si>
    <t>CLI01528</t>
  </si>
  <si>
    <t>Client 01528</t>
  </si>
  <si>
    <t>TX0000776</t>
  </si>
  <si>
    <t>CLI01238</t>
  </si>
  <si>
    <t>Client 01238</t>
  </si>
  <si>
    <t>TX0000777</t>
  </si>
  <si>
    <t>TX0000778</t>
  </si>
  <si>
    <t>TX0000780</t>
  </si>
  <si>
    <t>CLI01151</t>
  </si>
  <si>
    <t>Client 01151</t>
  </si>
  <si>
    <t>TX0000781</t>
  </si>
  <si>
    <t>CLI01835</t>
  </si>
  <si>
    <t>Client 01835</t>
  </si>
  <si>
    <t>TX0000782</t>
  </si>
  <si>
    <t>CLI00194</t>
  </si>
  <si>
    <t>Client 00194</t>
  </si>
  <si>
    <t>TX0000783</t>
  </si>
  <si>
    <t>TX0000784</t>
  </si>
  <si>
    <t>CLI01646</t>
  </si>
  <si>
    <t>Client 01646</t>
  </si>
  <si>
    <t>TX0000786</t>
  </si>
  <si>
    <t>CLI01912</t>
  </si>
  <si>
    <t>Client 01912</t>
  </si>
  <si>
    <t>TX0000788</t>
  </si>
  <si>
    <t>CLI00844</t>
  </si>
  <si>
    <t>Client 00844</t>
  </si>
  <si>
    <t>TX0000789</t>
  </si>
  <si>
    <t>CLI00017</t>
  </si>
  <si>
    <t>Client 00017</t>
  </si>
  <si>
    <t>TX0000790</t>
  </si>
  <si>
    <t>CLI01334</t>
  </si>
  <si>
    <t>Client 01334</t>
  </si>
  <si>
    <t>TX0000791</t>
  </si>
  <si>
    <t>CLI01439</t>
  </si>
  <si>
    <t>Client 01439</t>
  </si>
  <si>
    <t>TX0000792</t>
  </si>
  <si>
    <t>CLI02067</t>
  </si>
  <si>
    <t>Client 02067</t>
  </si>
  <si>
    <t>TX0000793</t>
  </si>
  <si>
    <t>TX0000795</t>
  </si>
  <si>
    <t>CLI01729</t>
  </si>
  <si>
    <t>Client 01729</t>
  </si>
  <si>
    <t>TX0000797</t>
  </si>
  <si>
    <t>CLI02048</t>
  </si>
  <si>
    <t>Client 02048</t>
  </si>
  <si>
    <t>TX0000799</t>
  </si>
  <si>
    <t>CLI00356</t>
  </si>
  <si>
    <t>Client 00356</t>
  </si>
  <si>
    <t>TX0000800</t>
  </si>
  <si>
    <t>TX0000802</t>
  </si>
  <si>
    <t>TX0000803</t>
  </si>
  <si>
    <t>CLI02195</t>
  </si>
  <si>
    <t>Client 02195</t>
  </si>
  <si>
    <t>TX0000805</t>
  </si>
  <si>
    <t>CLI00315</t>
  </si>
  <si>
    <t>Client 00315</t>
  </si>
  <si>
    <t>TX0000806</t>
  </si>
  <si>
    <t>CLI00180</t>
  </si>
  <si>
    <t>Client 00180</t>
  </si>
  <si>
    <t>TX0000807</t>
  </si>
  <si>
    <t>TX0000808</t>
  </si>
  <si>
    <t>CLI01502</t>
  </si>
  <si>
    <t>Client 01502</t>
  </si>
  <si>
    <t>TX0000809</t>
  </si>
  <si>
    <t>CLI00138</t>
  </si>
  <si>
    <t>Client 00138</t>
  </si>
  <si>
    <t>TX0000810</t>
  </si>
  <si>
    <t>CLI01465</t>
  </si>
  <si>
    <t>Client 01465</t>
  </si>
  <si>
    <t>TX0000811</t>
  </si>
  <si>
    <t>CLI00354</t>
  </si>
  <si>
    <t>Client 00354</t>
  </si>
  <si>
    <t>TX0000812</t>
  </si>
  <si>
    <t>CLI00760</t>
  </si>
  <si>
    <t>Client 00760</t>
  </si>
  <si>
    <t>TX0000813</t>
  </si>
  <si>
    <t>TX0000814</t>
  </si>
  <si>
    <t>TX0000815</t>
  </si>
  <si>
    <t>CLI01945</t>
  </si>
  <si>
    <t>Client 01945</t>
  </si>
  <si>
    <t>TX0000816</t>
  </si>
  <si>
    <t>CLI00521</t>
  </si>
  <si>
    <t>Client 00521</t>
  </si>
  <si>
    <t>TX0000817</t>
  </si>
  <si>
    <t>CLI01694</t>
  </si>
  <si>
    <t>Client 01694</t>
  </si>
  <si>
    <t>TX0000818</t>
  </si>
  <si>
    <t>CLI01313</t>
  </si>
  <si>
    <t>Client 01313</t>
  </si>
  <si>
    <t>TX0000819</t>
  </si>
  <si>
    <t>TX0000820</t>
  </si>
  <si>
    <t>CLI02136</t>
  </si>
  <si>
    <t>Client 02136</t>
  </si>
  <si>
    <t>TX0000821</t>
  </si>
  <si>
    <t>CLI00348</t>
  </si>
  <si>
    <t>Client 00348</t>
  </si>
  <si>
    <t>TX0000822</t>
  </si>
  <si>
    <t>CLI02193</t>
  </si>
  <si>
    <t>Client 02193</t>
  </si>
  <si>
    <t>TX0000823</t>
  </si>
  <si>
    <t>TX0000824</t>
  </si>
  <si>
    <t>CLI01112</t>
  </si>
  <si>
    <t>Client 01112</t>
  </si>
  <si>
    <t>TX0000825</t>
  </si>
  <si>
    <t>TX0000826</t>
  </si>
  <si>
    <t>TX0000827</t>
  </si>
  <si>
    <t>CLI01316</t>
  </si>
  <si>
    <t>Client 01316</t>
  </si>
  <si>
    <t>TX0000828</t>
  </si>
  <si>
    <t>TX0000829</t>
  </si>
  <si>
    <t>CLI01109</t>
  </si>
  <si>
    <t>Client 01109</t>
  </si>
  <si>
    <t>TX0000830</t>
  </si>
  <si>
    <t>CLI01543</t>
  </si>
  <si>
    <t>Client 01543</t>
  </si>
  <si>
    <t>TX0000831</t>
  </si>
  <si>
    <t>CLI01135</t>
  </si>
  <si>
    <t>Client 01135</t>
  </si>
  <si>
    <t>TX0000832</t>
  </si>
  <si>
    <t>TX0000833</t>
  </si>
  <si>
    <t>TX0000834</t>
  </si>
  <si>
    <t>CLI01734</t>
  </si>
  <si>
    <t>Client 01734</t>
  </si>
  <si>
    <t>TX0000836</t>
  </si>
  <si>
    <t>TX0000837</t>
  </si>
  <si>
    <t>CLI01570</t>
  </si>
  <si>
    <t>Client 01570</t>
  </si>
  <si>
    <t>TX0000838</t>
  </si>
  <si>
    <t>CLI00511</t>
  </si>
  <si>
    <t>Client 00511</t>
  </si>
  <si>
    <t>TX0000839</t>
  </si>
  <si>
    <t>CLI00903</t>
  </si>
  <si>
    <t>Client 00903</t>
  </si>
  <si>
    <t>TX0000840</t>
  </si>
  <si>
    <t>CLI00952</t>
  </si>
  <si>
    <t>Client 00952</t>
  </si>
  <si>
    <t>TX0000841</t>
  </si>
  <si>
    <t>TX0000842</t>
  </si>
  <si>
    <t>TX0000843</t>
  </si>
  <si>
    <t>TX0000844</t>
  </si>
  <si>
    <t>CLI01288</t>
  </si>
  <si>
    <t>Client 01288</t>
  </si>
  <si>
    <t>TX0000845</t>
  </si>
  <si>
    <t>TX0000846</t>
  </si>
  <si>
    <t>CLI01414</t>
  </si>
  <si>
    <t>Client 01414</t>
  </si>
  <si>
    <t>TX0000847</t>
  </si>
  <si>
    <t>CLI01045</t>
  </si>
  <si>
    <t>Client 01045</t>
  </si>
  <si>
    <t>TX0000848</t>
  </si>
  <si>
    <t>CLI00898</t>
  </si>
  <si>
    <t>Client 00898</t>
  </si>
  <si>
    <t>TX0000849</t>
  </si>
  <si>
    <t>CLI00651</t>
  </si>
  <si>
    <t>Client 00651</t>
  </si>
  <si>
    <t>TX0000850</t>
  </si>
  <si>
    <t>CLI00581</t>
  </si>
  <si>
    <t>Client 00581</t>
  </si>
  <si>
    <t>TX0000851</t>
  </si>
  <si>
    <t>TX0000852</t>
  </si>
  <si>
    <t>CLI01927</t>
  </si>
  <si>
    <t>Client 01927</t>
  </si>
  <si>
    <t>TX0000853</t>
  </si>
  <si>
    <t>CLI00416</t>
  </si>
  <si>
    <t>Client 00416</t>
  </si>
  <si>
    <t>TX0000855</t>
  </si>
  <si>
    <t>CLI00085</t>
  </si>
  <si>
    <t>Client 00085</t>
  </si>
  <si>
    <t>TX0000856</t>
  </si>
  <si>
    <t>CLI01505</t>
  </si>
  <si>
    <t>Client 01505</t>
  </si>
  <si>
    <t>TX0000857</t>
  </si>
  <si>
    <t>CLI00174</t>
  </si>
  <si>
    <t>Client 00174</t>
  </si>
  <si>
    <t>TX0000858</t>
  </si>
  <si>
    <t>TX0000859</t>
  </si>
  <si>
    <t>TX0000860</t>
  </si>
  <si>
    <t>CLI01506</t>
  </si>
  <si>
    <t>Client 01506</t>
  </si>
  <si>
    <t>TX0000861</t>
  </si>
  <si>
    <t>TX0000862</t>
  </si>
  <si>
    <t>CLI00573</t>
  </si>
  <si>
    <t>Client 00573</t>
  </si>
  <si>
    <t>TX0000863</t>
  </si>
  <si>
    <t>TX0000864</t>
  </si>
  <si>
    <t>CLI00597</t>
  </si>
  <si>
    <t>Client 00597</t>
  </si>
  <si>
    <t>TX0000865</t>
  </si>
  <si>
    <t>CLI01205</t>
  </si>
  <si>
    <t>Client 01205</t>
  </si>
  <si>
    <t>TX0000866</t>
  </si>
  <si>
    <t>CLI01358</t>
  </si>
  <si>
    <t>Client 01358</t>
  </si>
  <si>
    <t>TX0000867</t>
  </si>
  <si>
    <t>CLI01105</t>
  </si>
  <si>
    <t>Client 01105</t>
  </si>
  <si>
    <t>TX0000868</t>
  </si>
  <si>
    <t>CLI01369</t>
  </si>
  <si>
    <t>Client 01369</t>
  </si>
  <si>
    <t>TX0000870</t>
  </si>
  <si>
    <t>TX0000871</t>
  </si>
  <si>
    <t>CLI00805</t>
  </si>
  <si>
    <t>Client 00805</t>
  </si>
  <si>
    <t>TX0000872</t>
  </si>
  <si>
    <t>TX0000873</t>
  </si>
  <si>
    <t>CLI01046</t>
  </si>
  <si>
    <t>Client 01046</t>
  </si>
  <si>
    <t>TX0000874</t>
  </si>
  <si>
    <t>TX0000875</t>
  </si>
  <si>
    <t>CLI01404</t>
  </si>
  <si>
    <t>Client 01404</t>
  </si>
  <si>
    <t>TX0000876</t>
  </si>
  <si>
    <t>CLI01338</t>
  </si>
  <si>
    <t>Client 01338</t>
  </si>
  <si>
    <t>TX0000878</t>
  </si>
  <si>
    <t>CLI01658</t>
  </si>
  <si>
    <t>Client 01658</t>
  </si>
  <si>
    <t>TX0000879</t>
  </si>
  <si>
    <t>CLI00897</t>
  </si>
  <si>
    <t>Client 00897</t>
  </si>
  <si>
    <t>TX0000881</t>
  </si>
  <si>
    <t>CLI00272</t>
  </si>
  <si>
    <t>Client 00272</t>
  </si>
  <si>
    <t>TX0000882</t>
  </si>
  <si>
    <t>CLI00126</t>
  </si>
  <si>
    <t>Client 00126</t>
  </si>
  <si>
    <t>TX0000883</t>
  </si>
  <si>
    <t>CLI01661</t>
  </si>
  <si>
    <t>Client 01661</t>
  </si>
  <si>
    <t>TX0000884</t>
  </si>
  <si>
    <t>CLI01340</t>
  </si>
  <si>
    <t>Client 01340</t>
  </si>
  <si>
    <t>TX0000885</t>
  </si>
  <si>
    <t>CLI01756</t>
  </si>
  <si>
    <t>Client 01756</t>
  </si>
  <si>
    <t>TX0000886</t>
  </si>
  <si>
    <t>CLI00134</t>
  </si>
  <si>
    <t>Client 00134</t>
  </si>
  <si>
    <t>TX0000888</t>
  </si>
  <si>
    <t>TX0000889</t>
  </si>
  <si>
    <t>CLI01194</t>
  </si>
  <si>
    <t>Client 01194</t>
  </si>
  <si>
    <t>TX0000890</t>
  </si>
  <si>
    <t>CLI02109</t>
  </si>
  <si>
    <t>Client 02109</t>
  </si>
  <si>
    <t>TX0000891</t>
  </si>
  <si>
    <t>CLI00667</t>
  </si>
  <si>
    <t>Client 00667</t>
  </si>
  <si>
    <t>TX0000892</t>
  </si>
  <si>
    <t>CLI00964</t>
  </si>
  <si>
    <t>Client 00964</t>
  </si>
  <si>
    <t>TX0000893</t>
  </si>
  <si>
    <t>CLI00241</t>
  </si>
  <si>
    <t>Client 00241</t>
  </si>
  <si>
    <t>TX0000895</t>
  </si>
  <si>
    <t>TX0000896</t>
  </si>
  <si>
    <t>CLI01033</t>
  </si>
  <si>
    <t>Client 01033</t>
  </si>
  <si>
    <t>TX0000897</t>
  </si>
  <si>
    <t>TX0000898</t>
  </si>
  <si>
    <t>CLI00673</t>
  </si>
  <si>
    <t>Client 00673</t>
  </si>
  <si>
    <t>TX0000899</t>
  </si>
  <si>
    <t>CLI00575</t>
  </si>
  <si>
    <t>Client 00575</t>
  </si>
  <si>
    <t>TX0000900</t>
  </si>
  <si>
    <t>CLI00038</t>
  </si>
  <si>
    <t>Client 00038</t>
  </si>
  <si>
    <t>TX0000901</t>
  </si>
  <si>
    <t>CLI02053</t>
  </si>
  <si>
    <t>Client 02053</t>
  </si>
  <si>
    <t>TX0000902</t>
  </si>
  <si>
    <t>CLI02166</t>
  </si>
  <si>
    <t>Client 02166</t>
  </si>
  <si>
    <t>TX0000903</t>
  </si>
  <si>
    <t>TX0000904</t>
  </si>
  <si>
    <t>CLI01710</t>
  </si>
  <si>
    <t>Client 01710</t>
  </si>
  <si>
    <t>TX0000905</t>
  </si>
  <si>
    <t>CLI00159</t>
  </si>
  <si>
    <t>Client 00159</t>
  </si>
  <si>
    <t>TX0000906</t>
  </si>
  <si>
    <t>TX0000907</t>
  </si>
  <si>
    <t>CLI01708</t>
  </si>
  <si>
    <t>Client 01708</t>
  </si>
  <si>
    <t>TX0000908</t>
  </si>
  <si>
    <t>CLI00875</t>
  </si>
  <si>
    <t>Client 00875</t>
  </si>
  <si>
    <t>TX0000909</t>
  </si>
  <si>
    <t>TX0000910</t>
  </si>
  <si>
    <t>TX0000911</t>
  </si>
  <si>
    <t>TX0000913</t>
  </si>
  <si>
    <t>CLI00465</t>
  </si>
  <si>
    <t>Client 00465</t>
  </si>
  <si>
    <t>TX0000914</t>
  </si>
  <si>
    <t>CLI01972</t>
  </si>
  <si>
    <t>Client 01972</t>
  </si>
  <si>
    <t>TX0000915</t>
  </si>
  <si>
    <t>CLI01026</t>
  </si>
  <si>
    <t>Client 01026</t>
  </si>
  <si>
    <t>TX0000916</t>
  </si>
  <si>
    <t>CLI01440</t>
  </si>
  <si>
    <t>Client 01440</t>
  </si>
  <si>
    <t>TX0000918</t>
  </si>
  <si>
    <t>CLI00929</t>
  </si>
  <si>
    <t>Client 00929</t>
  </si>
  <si>
    <t>TX0000919</t>
  </si>
  <si>
    <t>TX0000920</t>
  </si>
  <si>
    <t>CLI01703</t>
  </si>
  <si>
    <t>Client 01703</t>
  </si>
  <si>
    <t>TX0000921</t>
  </si>
  <si>
    <t>CLI00478</t>
  </si>
  <si>
    <t>Client 00478</t>
  </si>
  <si>
    <t>TX0000922</t>
  </si>
  <si>
    <t>TX0000923</t>
  </si>
  <si>
    <t>CLI00225</t>
  </si>
  <si>
    <t>Client 00225</t>
  </si>
  <si>
    <t>TX0000924</t>
  </si>
  <si>
    <t>CLI01688</t>
  </si>
  <si>
    <t>Client 01688</t>
  </si>
  <si>
    <t>TX0000925</t>
  </si>
  <si>
    <t>CLI00108</t>
  </si>
  <si>
    <t>Client 00108</t>
  </si>
  <si>
    <t>TX0000926</t>
  </si>
  <si>
    <t>TX0000927</t>
  </si>
  <si>
    <t>CLI01133</t>
  </si>
  <si>
    <t>Client 01133</t>
  </si>
  <si>
    <t>TX0000928</t>
  </si>
  <si>
    <t>CLI01219</t>
  </si>
  <si>
    <t>Client 01219</t>
  </si>
  <si>
    <t>TX0000929</t>
  </si>
  <si>
    <t>CLI01103</t>
  </si>
  <si>
    <t>Client 01103</t>
  </si>
  <si>
    <t>TX0000930</t>
  </si>
  <si>
    <t>CLI01954</t>
  </si>
  <si>
    <t>Client 01954</t>
  </si>
  <si>
    <t>TX0000931</t>
  </si>
  <si>
    <t>CLI01015</t>
  </si>
  <si>
    <t>Client 01015</t>
  </si>
  <si>
    <t>TX0000933</t>
  </si>
  <si>
    <t>CLI00022</t>
  </si>
  <si>
    <t>Client 00022</t>
  </si>
  <si>
    <t>TX0000935</t>
  </si>
  <si>
    <t>CLI01179</t>
  </si>
  <si>
    <t>Client 01179</t>
  </si>
  <si>
    <t>TX0000936</t>
  </si>
  <si>
    <t>CLI00470</t>
  </si>
  <si>
    <t>Client 00470</t>
  </si>
  <si>
    <t>TX0000937</t>
  </si>
  <si>
    <t>TX0000938</t>
  </si>
  <si>
    <t>CLI01617</t>
  </si>
  <si>
    <t>Client 01617</t>
  </si>
  <si>
    <t>TX0000939</t>
  </si>
  <si>
    <t>CLI00057</t>
  </si>
  <si>
    <t>Client 00057</t>
  </si>
  <si>
    <t>TX0000940</t>
  </si>
  <si>
    <t>TX0000941</t>
  </si>
  <si>
    <t>TX0000942</t>
  </si>
  <si>
    <t>TX0000943</t>
  </si>
  <si>
    <t>CLI00245</t>
  </si>
  <si>
    <t>Client 00245</t>
  </si>
  <si>
    <t>TX0000944</t>
  </si>
  <si>
    <t>CLI00726</t>
  </si>
  <si>
    <t>Client 00726</t>
  </si>
  <si>
    <t>TX0000945</t>
  </si>
  <si>
    <t>TX0000947</t>
  </si>
  <si>
    <t>CLI02088</t>
  </si>
  <si>
    <t>Client 02088</t>
  </si>
  <si>
    <t>TX0000948</t>
  </si>
  <si>
    <t>CLI02116</t>
  </si>
  <si>
    <t>Client 02116</t>
  </si>
  <si>
    <t>TX0000949</t>
  </si>
  <si>
    <t>TX0000950</t>
  </si>
  <si>
    <t>CLI02165</t>
  </si>
  <si>
    <t>Client 02165</t>
  </si>
  <si>
    <t>TX0000951</t>
  </si>
  <si>
    <t>TX0000952</t>
  </si>
  <si>
    <t>CLI01114</t>
  </si>
  <si>
    <t>Client 01114</t>
  </si>
  <si>
    <t>TX0000953</t>
  </si>
  <si>
    <t>TX0000954</t>
  </si>
  <si>
    <t>CLI02020</t>
  </si>
  <si>
    <t>Client 02020</t>
  </si>
  <si>
    <t>TX0000955</t>
  </si>
  <si>
    <t>TX0000956</t>
  </si>
  <si>
    <t>CLI01808</t>
  </si>
  <si>
    <t>Client 01808</t>
  </si>
  <si>
    <t>TX0000957</t>
  </si>
  <si>
    <t>CLI01676</t>
  </si>
  <si>
    <t>Client 01676</t>
  </si>
  <si>
    <t>TX0000958</t>
  </si>
  <si>
    <t>CLI00970</t>
  </si>
  <si>
    <t>Client 00970</t>
  </si>
  <si>
    <t>TX0000959</t>
  </si>
  <si>
    <t>TX0000960</t>
  </si>
  <si>
    <t>CLI00410</t>
  </si>
  <si>
    <t>Client 00410</t>
  </si>
  <si>
    <t>TX0000962</t>
  </si>
  <si>
    <t>TX0000963</t>
  </si>
  <si>
    <t>CLI00857</t>
  </si>
  <si>
    <t>Client 00857</t>
  </si>
  <si>
    <t>TX0000964</t>
  </si>
  <si>
    <t>TX0000965</t>
  </si>
  <si>
    <t>TX0000966</t>
  </si>
  <si>
    <t>CLI02184</t>
  </si>
  <si>
    <t>Client 02184</t>
  </si>
  <si>
    <t>TX0000967</t>
  </si>
  <si>
    <t>CLI00445</t>
  </si>
  <si>
    <t>Client 00445</t>
  </si>
  <si>
    <t>TX0000968</t>
  </si>
  <si>
    <t>CLI00645</t>
  </si>
  <si>
    <t>Client 00645</t>
  </si>
  <si>
    <t>TX0000970</t>
  </si>
  <si>
    <t>TX0000971</t>
  </si>
  <si>
    <t>TX0000972</t>
  </si>
  <si>
    <t>CLI00208</t>
  </si>
  <si>
    <t>Client 00208</t>
  </si>
  <si>
    <t>TX0000973</t>
  </si>
  <si>
    <t>CLI01361</t>
  </si>
  <si>
    <t>Client 01361</t>
  </si>
  <si>
    <t>TX0000974</t>
  </si>
  <si>
    <t>CLI00904</t>
  </si>
  <si>
    <t>Client 00904</t>
  </si>
  <si>
    <t>TX0000975</t>
  </si>
  <si>
    <t>CLI01319</t>
  </si>
  <si>
    <t>Client 01319</t>
  </si>
  <si>
    <t>TX0000976</t>
  </si>
  <si>
    <t>TX0000977</t>
  </si>
  <si>
    <t>CLI00780</t>
  </si>
  <si>
    <t>Client 00780</t>
  </si>
  <si>
    <t>TX0000978</t>
  </si>
  <si>
    <t>CLI01448</t>
  </si>
  <si>
    <t>Client 01448</t>
  </si>
  <si>
    <t>TX0000979</t>
  </si>
  <si>
    <t>CLI01069</t>
  </si>
  <si>
    <t>Client 01069</t>
  </si>
  <si>
    <t>TX0000980</t>
  </si>
  <si>
    <t>CLI02140</t>
  </si>
  <si>
    <t>Client 02140</t>
  </si>
  <si>
    <t>TX0000981</t>
  </si>
  <si>
    <t>CLI01921</t>
  </si>
  <si>
    <t>Client 01921</t>
  </si>
  <si>
    <t>TX0000982</t>
  </si>
  <si>
    <t>CLI01071</t>
  </si>
  <si>
    <t>Client 01071</t>
  </si>
  <si>
    <t>TX0000984</t>
  </si>
  <si>
    <t>CLI01514</t>
  </si>
  <si>
    <t>Client 01514</t>
  </si>
  <si>
    <t>TX0000985</t>
  </si>
  <si>
    <t>CLI00162</t>
  </si>
  <si>
    <t>Client 00162</t>
  </si>
  <si>
    <t>TX0000986</t>
  </si>
  <si>
    <t>CLI00070</t>
  </si>
  <si>
    <t>Client 00070</t>
  </si>
  <si>
    <t>TX0000988</t>
  </si>
  <si>
    <t>TX0000989</t>
  </si>
  <si>
    <t>CLI00263</t>
  </si>
  <si>
    <t>Client 00263</t>
  </si>
  <si>
    <t>TX0000990</t>
  </si>
  <si>
    <t>TX0000991</t>
  </si>
  <si>
    <t>CLI00650</t>
  </si>
  <si>
    <t>Client 00650</t>
  </si>
  <si>
    <t>TX0000992</t>
  </si>
  <si>
    <t>TX0000993</t>
  </si>
  <si>
    <t>CLI00168</t>
  </si>
  <si>
    <t>Client 00168</t>
  </si>
  <si>
    <t>TX0000994</t>
  </si>
  <si>
    <t>TX0000995</t>
  </si>
  <si>
    <t>CLI00766</t>
  </si>
  <si>
    <t>Client 00766</t>
  </si>
  <si>
    <t>TX0000996</t>
  </si>
  <si>
    <t>CLI01147</t>
  </si>
  <si>
    <t>Client 01147</t>
  </si>
  <si>
    <t>TX0000997</t>
  </si>
  <si>
    <t>CLI01509</t>
  </si>
  <si>
    <t>Client 01509</t>
  </si>
  <si>
    <t>TX0000999</t>
  </si>
  <si>
    <t>TX0001000</t>
  </si>
  <si>
    <t>CLI02156</t>
  </si>
  <si>
    <t>Client 02156</t>
  </si>
  <si>
    <t>TX0001001</t>
  </si>
  <si>
    <t>CLI00419</t>
  </si>
  <si>
    <t>Client 00419</t>
  </si>
  <si>
    <t>TX0001002</t>
  </si>
  <si>
    <t>TX0001004</t>
  </si>
  <si>
    <t>TX0001005</t>
  </si>
  <si>
    <t>TX0001006</t>
  </si>
  <si>
    <t>CLI01371</t>
  </si>
  <si>
    <t>Client 01371</t>
  </si>
  <si>
    <t>TX0001007</t>
  </si>
  <si>
    <t>TX0001008</t>
  </si>
  <si>
    <t>CLI00491</t>
  </si>
  <si>
    <t>Client 00491</t>
  </si>
  <si>
    <t>TX0001009</t>
  </si>
  <si>
    <t>CLI01417</t>
  </si>
  <si>
    <t>Client 01417</t>
  </si>
  <si>
    <t>TX0001010</t>
  </si>
  <si>
    <t>CLI01175</t>
  </si>
  <si>
    <t>Client 01175</t>
  </si>
  <si>
    <t>TX0001011</t>
  </si>
  <si>
    <t>TX0001012</t>
  </si>
  <si>
    <t>CLI02072</t>
  </si>
  <si>
    <t>Client 02072</t>
  </si>
  <si>
    <t>TX0001013</t>
  </si>
  <si>
    <t>TX0001014</t>
  </si>
  <si>
    <t>TX0001015</t>
  </si>
  <si>
    <t>CLI00394</t>
  </si>
  <si>
    <t>Client 00394</t>
  </si>
  <si>
    <t>TX0001016</t>
  </si>
  <si>
    <t>CLI00833</t>
  </si>
  <si>
    <t>Client 00833</t>
  </si>
  <si>
    <t>TX0001017</t>
  </si>
  <si>
    <t>CLI01867</t>
  </si>
  <si>
    <t>Client 01867</t>
  </si>
  <si>
    <t>TX0001018</t>
  </si>
  <si>
    <t>CLI01395</t>
  </si>
  <si>
    <t>Client 01395</t>
  </si>
  <si>
    <t>TX0001020</t>
  </si>
  <si>
    <t>CLI01081</t>
  </si>
  <si>
    <t>Client 01081</t>
  </si>
  <si>
    <t>TX0001021</t>
  </si>
  <si>
    <t>CLI01833</t>
  </si>
  <si>
    <t>Client 01833</t>
  </si>
  <si>
    <t>TX0001022</t>
  </si>
  <si>
    <t>CLI00869</t>
  </si>
  <si>
    <t>Client 00869</t>
  </si>
  <si>
    <t>TX0001023</t>
  </si>
  <si>
    <t>CLI00074</t>
  </si>
  <si>
    <t>Client 00074</t>
  </si>
  <si>
    <t>TX0001024</t>
  </si>
  <si>
    <t>TX0001025</t>
  </si>
  <si>
    <t>CLI01540</t>
  </si>
  <si>
    <t>Client 01540</t>
  </si>
  <si>
    <t>TX0001026</t>
  </si>
  <si>
    <t>CLI02139</t>
  </si>
  <si>
    <t>Client 02139</t>
  </si>
  <si>
    <t>TX0001028</t>
  </si>
  <si>
    <t>TX0001029</t>
  </si>
  <si>
    <t>TX0001030</t>
  </si>
  <si>
    <t>CLI01711</t>
  </si>
  <si>
    <t>Client 01711</t>
  </si>
  <si>
    <t>TX0001031</t>
  </si>
  <si>
    <t>TX0001033</t>
  </si>
  <si>
    <t>CLI01779</t>
  </si>
  <si>
    <t>Client 01779</t>
  </si>
  <si>
    <t>TX0001034</t>
  </si>
  <si>
    <t>TX0001035</t>
  </si>
  <si>
    <t>TX0001036</t>
  </si>
  <si>
    <t>TX0001037</t>
  </si>
  <si>
    <t>CLI00611</t>
  </si>
  <si>
    <t>Client 00611</t>
  </si>
  <si>
    <t>TX0001038</t>
  </si>
  <si>
    <t>TX0001039</t>
  </si>
  <si>
    <t>TX0001040</t>
  </si>
  <si>
    <t>CLI01372</t>
  </si>
  <si>
    <t>Client 01372</t>
  </si>
  <si>
    <t>TX0001041</t>
  </si>
  <si>
    <t>CLI00300</t>
  </si>
  <si>
    <t>Client 00300</t>
  </si>
  <si>
    <t>TX0001042</t>
  </si>
  <si>
    <t>CLI01816</t>
  </si>
  <si>
    <t>Client 01816</t>
  </si>
  <si>
    <t>TX0001043</t>
  </si>
  <si>
    <t>CLI02029</t>
  </si>
  <si>
    <t>Client 02029</t>
  </si>
  <si>
    <t>TX0001044</t>
  </si>
  <si>
    <t>TX0001045</t>
  </si>
  <si>
    <t>CLI02016</t>
  </si>
  <si>
    <t>Client 02016</t>
  </si>
  <si>
    <t>TX0001047</t>
  </si>
  <si>
    <t>CLI00813</t>
  </si>
  <si>
    <t>Client 00813</t>
  </si>
  <si>
    <t>TX0001048</t>
  </si>
  <si>
    <t>CLI00702</t>
  </si>
  <si>
    <t>Client 00702</t>
  </si>
  <si>
    <t>TX0001049</t>
  </si>
  <si>
    <t>CLI00840</t>
  </si>
  <si>
    <t>Client 00840</t>
  </si>
  <si>
    <t>TX0001050</t>
  </si>
  <si>
    <t>TX0001051</t>
  </si>
  <si>
    <t>TX0001052</t>
  </si>
  <si>
    <t>CLI00691</t>
  </si>
  <si>
    <t>Client 00691</t>
  </si>
  <si>
    <t>TX0001053</t>
  </si>
  <si>
    <t>CLI01167</t>
  </si>
  <si>
    <t>Client 01167</t>
  </si>
  <si>
    <t>TX0001055</t>
  </si>
  <si>
    <t>CLI00308</t>
  </si>
  <si>
    <t>Client 00308</t>
  </si>
  <si>
    <t>TX0001056</t>
  </si>
  <si>
    <t>CLI00793</t>
  </si>
  <si>
    <t>Client 00793</t>
  </si>
  <si>
    <t>TX0001057</t>
  </si>
  <si>
    <t>TX0001058</t>
  </si>
  <si>
    <t>CLI02111</t>
  </si>
  <si>
    <t>Client 02111</t>
  </si>
  <si>
    <t>TX0001059</t>
  </si>
  <si>
    <t>CLI01842</t>
  </si>
  <si>
    <t>Client 01842</t>
  </si>
  <si>
    <t>TX0001060</t>
  </si>
  <si>
    <t>CLI00488</t>
  </si>
  <si>
    <t>Client 00488</t>
  </si>
  <si>
    <t>TX0001061</t>
  </si>
  <si>
    <t>CLI02123</t>
  </si>
  <si>
    <t>Client 02123</t>
  </si>
  <si>
    <t>TX0001063</t>
  </si>
  <si>
    <t>CLI01500</t>
  </si>
  <si>
    <t>Client 01500</t>
  </si>
  <si>
    <t>TX0001064</t>
  </si>
  <si>
    <t>TX0001065</t>
  </si>
  <si>
    <t>TX0001067</t>
  </si>
  <si>
    <t>CLI00942</t>
  </si>
  <si>
    <t>Client 00942</t>
  </si>
  <si>
    <t>TX0001069</t>
  </si>
  <si>
    <t>CLI00147</t>
  </si>
  <si>
    <t>Client 00147</t>
  </si>
  <si>
    <t>TX0001070</t>
  </si>
  <si>
    <t>CLI01957</t>
  </si>
  <si>
    <t>Client 01957</t>
  </si>
  <si>
    <t>TX0001071</t>
  </si>
  <si>
    <t>CLI00320</t>
  </si>
  <si>
    <t>Client 00320</t>
  </si>
  <si>
    <t>TX0001072</t>
  </si>
  <si>
    <t>CLI01788</t>
  </si>
  <si>
    <t>Client 01788</t>
  </si>
  <si>
    <t>TX0001073</t>
  </si>
  <si>
    <t>CLI00157</t>
  </si>
  <si>
    <t>Client 00157</t>
  </si>
  <si>
    <t>TX0001074</t>
  </si>
  <si>
    <t>CLI01104</t>
  </si>
  <si>
    <t>Client 01104</t>
  </si>
  <si>
    <t>TX0001075</t>
  </si>
  <si>
    <t>TX0001076</t>
  </si>
  <si>
    <t>TX0001077</t>
  </si>
  <si>
    <t>CLI01446</t>
  </si>
  <si>
    <t>Client 01446</t>
  </si>
  <si>
    <t>TX0001078</t>
  </si>
  <si>
    <t>TX0001080</t>
  </si>
  <si>
    <t>CLI01407</t>
  </si>
  <si>
    <t>Client 01407</t>
  </si>
  <si>
    <t>TX0001081</t>
  </si>
  <si>
    <t>TX0001083</t>
  </si>
  <si>
    <t>CLI01329</t>
  </si>
  <si>
    <t>Client 01329</t>
  </si>
  <si>
    <t>TX0001085</t>
  </si>
  <si>
    <t>TX0001086</t>
  </si>
  <si>
    <t>TX0001087</t>
  </si>
  <si>
    <t>TX0001088</t>
  </si>
  <si>
    <t>CLI00879</t>
  </si>
  <si>
    <t>Client 00879</t>
  </si>
  <si>
    <t>TX0001089</t>
  </si>
  <si>
    <t>CLI01300</t>
  </si>
  <si>
    <t>Client 01300</t>
  </si>
  <si>
    <t>TX0001090</t>
  </si>
  <si>
    <t>TX0001091</t>
  </si>
  <si>
    <t>CLI02146</t>
  </si>
  <si>
    <t>Client 02146</t>
  </si>
  <si>
    <t>TX0001092</t>
  </si>
  <si>
    <t>CLI01479</t>
  </si>
  <si>
    <t>Client 01479</t>
  </si>
  <si>
    <t>TX0001093</t>
  </si>
  <si>
    <t>CLI00561</t>
  </si>
  <si>
    <t>Client 00561</t>
  </si>
  <si>
    <t>TX0001094</t>
  </si>
  <si>
    <t>CLI01843</t>
  </si>
  <si>
    <t>Client 01843</t>
  </si>
  <si>
    <t>TX0001095</t>
  </si>
  <si>
    <t>TX0001096</t>
  </si>
  <si>
    <t>CLI00528</t>
  </si>
  <si>
    <t>Client 00528</t>
  </si>
  <si>
    <t>TX0001097</t>
  </si>
  <si>
    <t>CLI00026</t>
  </si>
  <si>
    <t>Client 00026</t>
  </si>
  <si>
    <t>TX0001098</t>
  </si>
  <si>
    <t>CLI00969</t>
  </si>
  <si>
    <t>Client 00969</t>
  </si>
  <si>
    <t>TX0001099</t>
  </si>
  <si>
    <t>CLI01393</t>
  </si>
  <si>
    <t>Client 01393</t>
  </si>
  <si>
    <t>TX0001100</t>
  </si>
  <si>
    <t>CLI01163</t>
  </si>
  <si>
    <t>Client 01163</t>
  </si>
  <si>
    <t>TX0001101</t>
  </si>
  <si>
    <t>CLI02010</t>
  </si>
  <si>
    <t>Client 02010</t>
  </si>
  <si>
    <t>TX0001103</t>
  </si>
  <si>
    <t>TX0001104</t>
  </si>
  <si>
    <t>TX0001105</t>
  </si>
  <si>
    <t>CLI00380</t>
  </si>
  <si>
    <t>Client 00380</t>
  </si>
  <si>
    <t>TX0001106</t>
  </si>
  <si>
    <t>CLI02006</t>
  </si>
  <si>
    <t>Client 02006</t>
  </si>
  <si>
    <t>TX0001107</t>
  </si>
  <si>
    <t>TX0001108</t>
  </si>
  <si>
    <t>TX0001109</t>
  </si>
  <si>
    <t>CLI00370</t>
  </si>
  <si>
    <t>Client 00370</t>
  </si>
  <si>
    <t>TX0001110</t>
  </si>
  <si>
    <t>TX0001111</t>
  </si>
  <si>
    <t>CLI00890</t>
  </si>
  <si>
    <t>Client 00890</t>
  </si>
  <si>
    <t>TX0001112</t>
  </si>
  <si>
    <t>TX0001113</t>
  </si>
  <si>
    <t>CLI00968</t>
  </si>
  <si>
    <t>Client 00968</t>
  </si>
  <si>
    <t>TX0001114</t>
  </si>
  <si>
    <t>TX0001115</t>
  </si>
  <si>
    <t>Année &amp; Mois</t>
  </si>
  <si>
    <t>Long</t>
  </si>
  <si>
    <t>Rapide</t>
  </si>
  <si>
    <t>Moyen</t>
  </si>
  <si>
    <t>2025-07</t>
  </si>
  <si>
    <t>T3</t>
  </si>
  <si>
    <t>50+</t>
  </si>
  <si>
    <t>faible</t>
  </si>
  <si>
    <t>Faible</t>
  </si>
  <si>
    <t>2025-05</t>
  </si>
  <si>
    <t>T2</t>
  </si>
  <si>
    <t>22-29</t>
  </si>
  <si>
    <t>bon</t>
  </si>
  <si>
    <t>Moyenne</t>
  </si>
  <si>
    <t>2025-01</t>
  </si>
  <si>
    <t>T1</t>
  </si>
  <si>
    <t>40-49</t>
  </si>
  <si>
    <t>2025-09</t>
  </si>
  <si>
    <t>2025-10</t>
  </si>
  <si>
    <t>T4</t>
  </si>
  <si>
    <t>moyen</t>
  </si>
  <si>
    <t>Elevée</t>
  </si>
  <si>
    <t>2025-12</t>
  </si>
  <si>
    <t>2025-03</t>
  </si>
  <si>
    <t>30-39</t>
  </si>
  <si>
    <t>2025-02</t>
  </si>
  <si>
    <t>2025-11</t>
  </si>
  <si>
    <t>2025-08</t>
  </si>
  <si>
    <t>2025-06</t>
  </si>
  <si>
    <t>2025-04</t>
  </si>
  <si>
    <t>excellent</t>
  </si>
  <si>
    <t>PROFIL DE LA CLIENTELE</t>
  </si>
  <si>
    <t>Ville clients</t>
  </si>
  <si>
    <t xml:space="preserve">Transactions </t>
  </si>
  <si>
    <t>Part</t>
  </si>
  <si>
    <t>Segments</t>
  </si>
  <si>
    <t>Transtactions</t>
  </si>
  <si>
    <t>Étiquettes de lignes</t>
  </si>
  <si>
    <t>Total général</t>
  </si>
  <si>
    <t>Nombre de sexe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</si>
</sst>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7">
    <font>
      <sz val="11"/>
      <name val="Carlito"/>
    </font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b/>
      <sz val="11"/>
      <color rgb="FF7F6000"/>
      <name val="Carlito"/>
    </font>
    <font>
      <sz val="11"/>
      <name val="Carlito"/>
    </font>
    <font>
      <b/>
      <sz val="11"/>
      <color theme="1"/>
      <name val="Calibri"/>
      <family val="2"/>
      <scheme val="minor"/>
    </font>
    <font>
      <b/>
      <sz val="20"/>
      <color theme="1"/>
      <name val="Algerian"/>
      <family val="5"/>
    </font>
  </fonts>
  <fills count="9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0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" fillId="7" borderId="0" applyNumberFormat="0" applyBorder="0" applyAlignment="0" applyProtection="0"/>
  </cellStyleXfs>
  <cellXfs count="19">
    <xf numFmtId="0" fontId="0" fillId="0" borderId="0" xfId="0"/>
    <xf numFmtId="0" fontId="2" fillId="2" borderId="0" xfId="0" applyFont="1" applyFill="1" applyAlignment="1">
      <alignment horizontal="center" wrapText="1"/>
    </xf>
    <xf numFmtId="164" fontId="0" fillId="0" borderId="0" xfId="0" applyNumberFormat="1"/>
    <xf numFmtId="10" fontId="0" fillId="0" borderId="0" xfId="0" applyNumberFormat="1"/>
    <xf numFmtId="4" fontId="0" fillId="0" borderId="0" xfId="0" applyNumberFormat="1"/>
    <xf numFmtId="0" fontId="0" fillId="3" borderId="0" xfId="0" applyFill="1"/>
    <xf numFmtId="4" fontId="0" fillId="3" borderId="0" xfId="0" applyNumberFormat="1" applyFill="1"/>
    <xf numFmtId="0" fontId="3" fillId="4" borderId="0" xfId="0" applyFont="1" applyFill="1" applyAlignment="1">
      <alignment horizontal="center" vertical="center" wrapText="1"/>
    </xf>
    <xf numFmtId="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6" borderId="0" xfId="0" applyFill="1"/>
    <xf numFmtId="9" fontId="0" fillId="0" borderId="0" xfId="1" applyFont="1"/>
    <xf numFmtId="165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6" fillId="8" borderId="0" xfId="0" applyFont="1" applyFill="1" applyAlignment="1">
      <alignment horizontal="center"/>
    </xf>
    <xf numFmtId="0" fontId="5" fillId="7" borderId="0" xfId="2" applyFont="1" applyAlignment="1">
      <alignment horizontal="center"/>
    </xf>
  </cellXfs>
  <cellStyles count="3">
    <cellStyle name="40 % - Accent3" xfId="2" builtinId="39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CLIENTS!$A$8:$A$13</c:f>
              <c:strCache>
                <c:ptCount val="6"/>
                <c:pt idx="0">
                  <c:v>Lubumbashi</c:v>
                </c:pt>
                <c:pt idx="1">
                  <c:v>Goma</c:v>
                </c:pt>
                <c:pt idx="2">
                  <c:v>Kinshasa</c:v>
                </c:pt>
                <c:pt idx="3">
                  <c:v>Kolwezi</c:v>
                </c:pt>
                <c:pt idx="4">
                  <c:v>Matadi</c:v>
                </c:pt>
                <c:pt idx="5">
                  <c:v>Kisangani</c:v>
                </c:pt>
              </c:strCache>
            </c:strRef>
          </c:cat>
          <c:val>
            <c:numRef>
              <c:f>CLIENTS!$B$8:$B$13</c:f>
              <c:numCache>
                <c:formatCode>General</c:formatCode>
                <c:ptCount val="6"/>
                <c:pt idx="0">
                  <c:v>180</c:v>
                </c:pt>
                <c:pt idx="1">
                  <c:v>175</c:v>
                </c:pt>
                <c:pt idx="2">
                  <c:v>167</c:v>
                </c:pt>
                <c:pt idx="3">
                  <c:v>165</c:v>
                </c:pt>
                <c:pt idx="4">
                  <c:v>158</c:v>
                </c:pt>
                <c:pt idx="5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B-4237-9457-80D9BC2A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>
      <a:outerShdw blurRad="50800" sx="1000" sy="1000" algn="ctr" rotWithShape="0">
        <a:schemeClr val="tx1"/>
      </a:outerShdw>
    </a:effectLst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615192</xdr:colOff>
      <xdr:row>6</xdr:row>
      <xdr:rowOff>30934</xdr:rowOff>
    </xdr:from>
    <xdr:to>
      <xdr:col>9</xdr:col>
      <xdr:colOff>153798</xdr:colOff>
      <xdr:row>21</xdr:row>
      <xdr:rowOff>4019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881CCBD-1D75-2879-52E0-BBC50AFFD4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 BASISA GRAND BOOSTER" refreshedDate="46302.651766782408" createdVersion="8" refreshedVersion="8" minRefreshableVersion="3" recordCount="1000" xr:uid="{86DF05A9-7B45-4923-95EE-C50B4F025038}">
  <cacheSource type="worksheet">
    <worksheetSource ref="A1:AO1001" sheet="BASE_DONNEES"/>
  </cacheSource>
  <cacheFields count="41">
    <cacheField name="transaction_id" numFmtId="0">
      <sharedItems/>
    </cacheField>
    <cacheField name="date" numFmtId="164">
      <sharedItems containsSemiMixedTypes="0" containsNonDate="0" containsDate="1" containsString="0" minDate="2025-01-01T00:00:00" maxDate="2026-01-01T00:00:00"/>
    </cacheField>
    <cacheField name="client_id" numFmtId="0">
      <sharedItems/>
    </cacheField>
    <cacheField name="product_id" numFmtId="0">
      <sharedItems/>
    </cacheField>
    <cacheField name="agency_id" numFmtId="0">
      <sharedItems/>
    </cacheField>
    <cacheField name="salesperson_id" numFmtId="0">
      <sharedItems/>
    </cacheField>
    <cacheField name="quantity" numFmtId="0">
      <sharedItems containsSemiMixedTypes="0" containsString="0" containsNumber="1" containsInteger="1" minValue="1" maxValue="20"/>
    </cacheField>
    <cacheField name="unit_price" numFmtId="4">
      <sharedItems containsSemiMixedTypes="0" containsString="0" containsNumber="1" containsInteger="1" minValue="22" maxValue="780"/>
    </cacheField>
    <cacheField name="discount_rate" numFmtId="10">
      <sharedItems containsSemiMixedTypes="0" containsString="0" containsNumber="1" minValue="0" maxValue="0.1"/>
    </cacheField>
    <cacheField name="payment_method" numFmtId="0">
      <sharedItems containsBlank="1"/>
    </cacheField>
    <cacheField name="status" numFmtId="0">
      <sharedItems/>
    </cacheField>
    <cacheField name="client_name" numFmtId="0">
      <sharedItems/>
    </cacheField>
    <cacheField name="client_city" numFmtId="0">
      <sharedItems/>
    </cacheField>
    <cacheField name="segment" numFmtId="0">
      <sharedItems/>
    </cacheField>
    <cacheField name="product_name" numFmtId="0">
      <sharedItems/>
    </cacheField>
    <cacheField name="category" numFmtId="0">
      <sharedItems/>
    </cacheField>
    <cacheField name="positioning" numFmtId="0">
      <sharedItems/>
    </cacheField>
    <cacheField name="agency_name" numFmtId="0">
      <sharedItems/>
    </cacheField>
    <cacheField name="agency_city" numFmtId="0">
      <sharedItems/>
    </cacheField>
    <cacheField name="salesperson_name" numFmtId="0">
      <sharedItems/>
    </cacheField>
    <cacheField name="age" numFmtId="0">
      <sharedItems containsSemiMixedTypes="0" containsString="0" containsNumber="1" containsInteger="1" minValue="22" maxValue="60"/>
    </cacheField>
    <cacheField name="sexe" numFmtId="0">
      <sharedItems count="2">
        <s v="Femme"/>
        <s v="Homme"/>
      </sharedItems>
    </cacheField>
    <cacheField name="anciennete_mois" numFmtId="0">
      <sharedItems containsSemiMixedTypes="0" containsString="0" containsNumber="1" containsInteger="1" minValue="3" maxValue="72"/>
    </cacheField>
    <cacheField name="satisfaction_score" numFmtId="0">
      <sharedItems containsSemiMixedTypes="0" containsString="0" containsNumber="1" minValue="2.9" maxValue="9.3000000000000007"/>
    </cacheField>
    <cacheField name="delai_livraison_jours" numFmtId="0">
      <sharedItems containsSemiMixedTypes="0" containsString="0" containsNumber="1" containsInteger="1" minValue="1" maxValue="9"/>
    </cacheField>
    <cacheField name="canal_vente" numFmtId="0">
      <sharedItems/>
    </cacheField>
    <cacheField name="cout_unitaire" numFmtId="4">
      <sharedItems containsSemiMixedTypes="0" containsString="0" containsNumber="1" minValue="14.96" maxValue="468"/>
    </cacheField>
    <cacheField name="CA_brut" numFmtId="4">
      <sharedItems containsSemiMixedTypes="0" containsString="0" containsNumber="1" containsInteger="1" minValue="22" maxValue="15600"/>
    </cacheField>
    <cacheField name="Montant_remise" numFmtId="4">
      <sharedItems containsSemiMixedTypes="0" containsString="0" containsNumber="1" minValue="0" maxValue="1248"/>
    </cacheField>
    <cacheField name="CA_net" numFmtId="4">
      <sharedItems containsSemiMixedTypes="0" containsString="0" containsNumber="1" minValue="19.8" maxValue="15600"/>
    </cacheField>
    <cacheField name="Cout_total" numFmtId="4">
      <sharedItems containsSemiMixedTypes="0" containsString="0" containsNumber="1" minValue="14.96" maxValue="9360"/>
    </cacheField>
    <cacheField name="Marge" numFmtId="4">
      <sharedItems containsSemiMixedTypes="0" containsString="0" containsNumber="1" minValue="4.84" maxValue="6240"/>
    </cacheField>
    <cacheField name="Taux_marge" numFmtId="10">
      <sharedItems containsSemiMixedTypes="0" containsString="0" containsNumber="1" minValue="0.13333333333333336" maxValue="0.4"/>
    </cacheField>
    <cacheField name="Annee" numFmtId="0">
      <sharedItems containsSemiMixedTypes="0" containsString="0" containsNumber="1" containsInteger="1" minValue="2025" maxValue="2025"/>
    </cacheField>
    <cacheField name="Mois" numFmtId="0">
      <sharedItems containsSemiMixedTypes="0" containsString="0" containsNumber="1" containsInteger="1" minValue="1" maxValue="12"/>
    </cacheField>
    <cacheField name="Année &amp; Mois" numFmtId="0">
      <sharedItems/>
    </cacheField>
    <cacheField name="Trimestre" numFmtId="0">
      <sharedItems/>
    </cacheField>
    <cacheField name="Classe_age" numFmtId="0">
      <sharedItems/>
    </cacheField>
    <cacheField name="Niveau_satisfaction" numFmtId="0">
      <sharedItems/>
    </cacheField>
    <cacheField name="Classe_delai" numFmtId="0">
      <sharedItems/>
    </cacheField>
    <cacheField name="Valeur_transac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TX0000001"/>
    <d v="2025-07-28T00:00:00"/>
    <s v="CLI01009"/>
    <s v="PRD005"/>
    <s v="AG010"/>
    <s v="COM037"/>
    <n v="2"/>
    <n v="260"/>
    <n v="0.1"/>
    <s v="Carte"/>
    <s v="Validée"/>
    <s v="Client 01009"/>
    <s v="Kinshasa"/>
    <s v="Institution"/>
    <s v="Tablette T10"/>
    <s v="Électronique"/>
    <s v="Standard"/>
    <s v="Agence Kisangani 2"/>
    <s v="Kisangani"/>
    <s v="Commercial 037"/>
    <n v="60"/>
    <x v="0"/>
    <n v="40"/>
    <n v="4.5"/>
    <n v="7"/>
    <s v="Web"/>
    <n v="189.8"/>
    <n v="520"/>
    <n v="52"/>
    <n v="468"/>
    <n v="379.6"/>
    <n v="88.399999999999977"/>
    <n v="0.18888888888888883"/>
    <n v="2025"/>
    <n v="7"/>
    <s v="2025-07"/>
    <s v="T3"/>
    <s v="50+"/>
    <s v="faible"/>
    <s v="Long"/>
    <s v="Faible"/>
  </r>
  <r>
    <s v="TX0000002"/>
    <d v="2025-05-06T00:00:00"/>
    <s v="CLI00584"/>
    <s v="PRD012"/>
    <s v="AG018"/>
    <s v="COM011"/>
    <n v="3"/>
    <n v="180"/>
    <n v="0.02"/>
    <s v="Mobile Money"/>
    <s v="Validée"/>
    <s v="Client 00584"/>
    <s v="Goma"/>
    <s v="Institution"/>
    <s v="Onduleur 1200VA"/>
    <s v="Énergie"/>
    <s v="Standard"/>
    <s v="Agence Kolwezi 3"/>
    <s v="Kolwezi"/>
    <s v="Commercial 011"/>
    <n v="24"/>
    <x v="0"/>
    <n v="21"/>
    <n v="8.4"/>
    <n v="1"/>
    <s v="Magasin"/>
    <n v="129.6"/>
    <n v="540"/>
    <n v="10.8"/>
    <n v="529.20000000000005"/>
    <n v="388.79999999999995"/>
    <n v="140.40000000000009"/>
    <n v="0.26530612244897972"/>
    <n v="2025"/>
    <n v="5"/>
    <s v="2025-05"/>
    <s v="T2"/>
    <s v="22-29"/>
    <s v="bon"/>
    <s v="Rapide"/>
    <s v="Moyenne"/>
  </r>
  <r>
    <s v="TX0000003"/>
    <d v="2025-01-31T00:00:00"/>
    <s v="CLI01904"/>
    <s v="PRD010"/>
    <s v="AG006"/>
    <s v="COM001"/>
    <n v="6"/>
    <n v="95"/>
    <n v="0.02"/>
    <s v="Virement"/>
    <s v="Validée"/>
    <s v="Client 01904"/>
    <s v="Matadi"/>
    <s v="PME"/>
    <s v="Routeur Business"/>
    <s v="Réseau"/>
    <s v="Standard"/>
    <s v="Agence Kolwezi 1"/>
    <s v="Kolwezi"/>
    <s v="Commercial 001"/>
    <n v="42"/>
    <x v="1"/>
    <n v="42"/>
    <n v="7.1"/>
    <n v="4"/>
    <s v="Magasin"/>
    <n v="70.3"/>
    <n v="570"/>
    <n v="11.4"/>
    <n v="558.6"/>
    <n v="421.79999999999995"/>
    <n v="136.80000000000007"/>
    <n v="0.24489795918367357"/>
    <n v="2025"/>
    <n v="1"/>
    <s v="2025-01"/>
    <s v="T1"/>
    <s v="40-49"/>
    <s v="bon"/>
    <s v="Moyen"/>
    <s v="Moyenne"/>
  </r>
  <r>
    <s v="TX0000004"/>
    <d v="2025-09-19T00:00:00"/>
    <s v="CLI01558"/>
    <s v="PRD012"/>
    <s v="AG007"/>
    <s v="COM038"/>
    <n v="2"/>
    <n v="180"/>
    <n v="0"/>
    <s v="Cash"/>
    <s v="Validée"/>
    <s v="Client 01558"/>
    <s v="Kolwezi"/>
    <s v="PME"/>
    <s v="Onduleur 1200VA"/>
    <s v="Énergie"/>
    <s v="Standard"/>
    <s v="Agence Kinshasa 2"/>
    <s v="Kinshasa"/>
    <s v="Commercial 038"/>
    <n v="40"/>
    <x v="1"/>
    <n v="70"/>
    <n v="4"/>
    <n v="9"/>
    <s v="Téléphone"/>
    <n v="129.6"/>
    <n v="360"/>
    <n v="0"/>
    <n v="360"/>
    <n v="259.2"/>
    <n v="100.80000000000001"/>
    <n v="0.28000000000000003"/>
    <n v="2025"/>
    <n v="9"/>
    <s v="2025-09"/>
    <s v="T3"/>
    <s v="40-49"/>
    <s v="faible"/>
    <s v="Long"/>
    <s v="Faible"/>
  </r>
  <r>
    <s v="TX0000005"/>
    <d v="2025-10-12T00:00:00"/>
    <s v="CLI01620"/>
    <s v="PRD004"/>
    <s v="AG005"/>
    <s v="COM047"/>
    <n v="20"/>
    <n v="520"/>
    <n v="0.02"/>
    <s v="Carte"/>
    <s v="Validée"/>
    <s v="Client 01620"/>
    <s v="Kisangani"/>
    <s v="Grande entreprise"/>
    <s v="Laptop Essential 15"/>
    <s v="Informatique"/>
    <s v="Standard"/>
    <s v="Agence Matadi 1"/>
    <s v="Matadi"/>
    <s v="Commercial 047"/>
    <n v="25"/>
    <x v="0"/>
    <n v="49"/>
    <n v="5.0999999999999996"/>
    <n v="6"/>
    <s v="Téléphone"/>
    <n v="348.4"/>
    <n v="10400"/>
    <n v="208"/>
    <n v="10192"/>
    <n v="6968"/>
    <n v="3224"/>
    <n v="0.31632653061224492"/>
    <n v="2025"/>
    <n v="10"/>
    <s v="2025-10"/>
    <s v="T4"/>
    <s v="22-29"/>
    <s v="moyen"/>
    <s v="Moyen"/>
    <s v="Elevée"/>
  </r>
  <r>
    <s v="TX0000006"/>
    <d v="2025-12-29T00:00:00"/>
    <s v="CLI01304"/>
    <s v="PRD011"/>
    <s v="AG009"/>
    <s v="COM049"/>
    <n v="2"/>
    <n v="240"/>
    <n v="0"/>
    <s v="Virement"/>
    <s v="Validée"/>
    <s v="Client 01304"/>
    <s v="Goma"/>
    <s v="ONG"/>
    <s v="Switch 24 Ports"/>
    <s v="Réseau"/>
    <s v="Premium"/>
    <s v="Agence Goma 2"/>
    <s v="Goma"/>
    <s v="Commercial 049"/>
    <n v="24"/>
    <x v="0"/>
    <n v="49"/>
    <n v="5.7"/>
    <n v="6"/>
    <s v="WhatsApp"/>
    <n v="177.6"/>
    <n v="480"/>
    <n v="0"/>
    <n v="480"/>
    <n v="355.2"/>
    <n v="124.80000000000001"/>
    <n v="0.26"/>
    <n v="2025"/>
    <n v="12"/>
    <s v="2025-12"/>
    <s v="T4"/>
    <s v="22-29"/>
    <s v="moyen"/>
    <s v="Moyen"/>
    <s v="Faible"/>
  </r>
  <r>
    <s v="TX0000007"/>
    <d v="2025-12-21T00:00:00"/>
    <s v="CLI01884"/>
    <s v="PRD011"/>
    <s v="AG001"/>
    <s v="COM059"/>
    <n v="1"/>
    <n v="240"/>
    <n v="0"/>
    <s v="Mobile Money"/>
    <s v="Validée"/>
    <s v="Client 01884"/>
    <s v="Lubumbashi"/>
    <s v="Institution"/>
    <s v="Switch 24 Ports"/>
    <s v="Réseau"/>
    <s v="Premium"/>
    <s v="Agence Kinshasa 1"/>
    <s v="Kinshasa"/>
    <s v="Commercial 059"/>
    <n v="44"/>
    <x v="1"/>
    <n v="56"/>
    <n v="5.7"/>
    <n v="6"/>
    <s v="Web"/>
    <n v="177.6"/>
    <n v="240"/>
    <n v="0"/>
    <n v="240"/>
    <n v="177.6"/>
    <n v="62.400000000000006"/>
    <n v="0.26"/>
    <n v="2025"/>
    <n v="12"/>
    <s v="2025-12"/>
    <s v="T4"/>
    <s v="40-49"/>
    <s v="moyen"/>
    <s v="Moyen"/>
    <s v="Faible"/>
  </r>
  <r>
    <s v="TX0000008"/>
    <d v="2025-12-23T00:00:00"/>
    <s v="CLI00040"/>
    <s v="PRD006"/>
    <s v="AG014"/>
    <s v="COM036"/>
    <n v="4"/>
    <n v="190"/>
    <n v="0.1"/>
    <s v="Mobile Money"/>
    <s v="Validée"/>
    <s v="Client 00040"/>
    <s v="Goma"/>
    <s v="Grande entreprise"/>
    <s v="Imprimante Office"/>
    <s v="Bureautique"/>
    <s v="Standard"/>
    <s v="Agence Lubumbashi 3"/>
    <s v="Lubumbashi"/>
    <s v="Commercial 036"/>
    <n v="56"/>
    <x v="1"/>
    <n v="28"/>
    <n v="4.0999999999999996"/>
    <n v="7"/>
    <s v="WhatsApp"/>
    <n v="148.19999999999999"/>
    <n v="760"/>
    <n v="76"/>
    <n v="684"/>
    <n v="592.79999999999995"/>
    <n v="91.200000000000045"/>
    <n v="0.13333333333333339"/>
    <n v="2025"/>
    <n v="12"/>
    <s v="2025-12"/>
    <s v="T4"/>
    <s v="50+"/>
    <s v="faible"/>
    <s v="Long"/>
    <s v="Moyenne"/>
  </r>
  <r>
    <s v="TX0000009"/>
    <d v="2025-03-05T00:00:00"/>
    <s v="CLI00318"/>
    <s v="PRD001"/>
    <s v="AG015"/>
    <s v="COM044"/>
    <n v="2"/>
    <n v="120"/>
    <n v="0.1"/>
    <s v="Mobile Money"/>
    <s v="Validée"/>
    <s v="Client 00318"/>
    <s v="Kisangani"/>
    <s v="ONG"/>
    <s v="Smartphone A1"/>
    <s v="Électronique"/>
    <s v="Entrée de gamme"/>
    <s v="Agence Goma 3"/>
    <s v="Goma"/>
    <s v="Commercial 044"/>
    <n v="29"/>
    <x v="1"/>
    <n v="39"/>
    <n v="4.7"/>
    <n v="7"/>
    <s v="WhatsApp"/>
    <n v="73.2"/>
    <n v="240"/>
    <n v="24"/>
    <n v="216"/>
    <n v="146.4"/>
    <n v="69.599999999999994"/>
    <n v="0.32222222222222219"/>
    <n v="2025"/>
    <n v="3"/>
    <s v="2025-03"/>
    <s v="T1"/>
    <s v="22-29"/>
    <s v="faible"/>
    <s v="Long"/>
    <s v="Faible"/>
  </r>
  <r>
    <s v="TX0000010"/>
    <d v="2025-12-23T00:00:00"/>
    <s v="CLI01467"/>
    <s v="PRD013"/>
    <s v="AG006"/>
    <s v="COM054"/>
    <n v="20"/>
    <n v="110"/>
    <n v="0"/>
    <s v="Mobile Money"/>
    <s v="Validée"/>
    <s v="Client 01467"/>
    <s v="Kolwezi"/>
    <s v="Grande entreprise"/>
    <s v="Disque SSD 1TB"/>
    <s v="Informatique"/>
    <s v="Premium"/>
    <s v="Agence Kolwezi 1"/>
    <s v="Kolwezi"/>
    <s v="Commercial 054"/>
    <n v="33"/>
    <x v="0"/>
    <n v="43"/>
    <n v="6.6"/>
    <n v="3"/>
    <s v="Web"/>
    <n v="72.599999999999994"/>
    <n v="2200"/>
    <n v="0"/>
    <n v="2200"/>
    <n v="1452"/>
    <n v="748"/>
    <n v="0.34"/>
    <n v="2025"/>
    <n v="12"/>
    <s v="2025-12"/>
    <s v="T4"/>
    <s v="30-39"/>
    <s v="moyen"/>
    <s v="Rapide"/>
    <s v="Elevée"/>
  </r>
  <r>
    <s v="TX0000011"/>
    <d v="2025-01-11T00:00:00"/>
    <s v="CLI00791"/>
    <s v="PRD015"/>
    <s v="AG001"/>
    <s v="COM015"/>
    <n v="4"/>
    <n v="48"/>
    <n v="0.08"/>
    <s v="Virement"/>
    <s v="Validée"/>
    <s v="Client 00791"/>
    <s v="Kisangani"/>
    <s v="PME"/>
    <s v="Webcam HD"/>
    <s v="Électronique"/>
    <s v="Entrée de gamme"/>
    <s v="Agence Kinshasa 1"/>
    <s v="Kinshasa"/>
    <s v="Commercial 015"/>
    <n v="60"/>
    <x v="1"/>
    <n v="26"/>
    <n v="7.9"/>
    <n v="1"/>
    <s v="Magasin"/>
    <n v="37.44"/>
    <n v="192"/>
    <n v="15.36"/>
    <n v="176.64"/>
    <n v="149.76"/>
    <n v="26.879999999999995"/>
    <n v="0.15217391304347824"/>
    <n v="2025"/>
    <n v="1"/>
    <s v="2025-01"/>
    <s v="T1"/>
    <s v="50+"/>
    <s v="bon"/>
    <s v="Rapide"/>
    <s v="Faible"/>
  </r>
  <r>
    <s v="TX0000012"/>
    <d v="2025-07-05T00:00:00"/>
    <s v="CLI01242"/>
    <s v="PRD008"/>
    <s v="AG008"/>
    <s v="COM032"/>
    <n v="1"/>
    <n v="35"/>
    <n v="0.02"/>
    <s v="Carte"/>
    <s v="Validée"/>
    <s v="Client 01242"/>
    <s v="Kolwezi"/>
    <s v="Grande entreprise"/>
    <s v="Clavier Pro"/>
    <s v="Informatique"/>
    <s v="Entrée de gamme"/>
    <s v="Agence Lubumbashi 2"/>
    <s v="Lubumbashi"/>
    <s v="Commercial 032"/>
    <n v="36"/>
    <x v="1"/>
    <n v="16"/>
    <n v="4.0999999999999996"/>
    <n v="7"/>
    <s v="Téléphone"/>
    <n v="24.15"/>
    <n v="35"/>
    <n v="0.70000000000000007"/>
    <n v="34.299999999999997"/>
    <n v="24.15"/>
    <n v="10.149999999999999"/>
    <n v="0.29591836734693877"/>
    <n v="2025"/>
    <n v="7"/>
    <s v="2025-07"/>
    <s v="T3"/>
    <s v="30-39"/>
    <s v="faible"/>
    <s v="Long"/>
    <s v="Faible"/>
  </r>
  <r>
    <s v="TX0000013"/>
    <d v="2025-09-14T00:00:00"/>
    <s v="CLI01623"/>
    <s v="PRD004"/>
    <s v="AG009"/>
    <s v="COM037"/>
    <n v="2"/>
    <n v="520"/>
    <n v="0.05"/>
    <s v="Carte"/>
    <s v="Validée"/>
    <s v="Client 01623"/>
    <s v="Kinshasa"/>
    <s v="Grande entreprise"/>
    <s v="Laptop Essential 15"/>
    <s v="Informatique"/>
    <s v="Standard"/>
    <s v="Agence Goma 2"/>
    <s v="Goma"/>
    <s v="Commercial 037"/>
    <n v="42"/>
    <x v="1"/>
    <n v="41"/>
    <n v="6.2"/>
    <n v="6"/>
    <s v="Téléphone"/>
    <n v="348.4"/>
    <n v="1040"/>
    <n v="52"/>
    <n v="988"/>
    <n v="696.8"/>
    <n v="291.20000000000005"/>
    <n v="0.29473684210526319"/>
    <n v="2025"/>
    <n v="9"/>
    <s v="2025-09"/>
    <s v="T3"/>
    <s v="40-49"/>
    <s v="moyen"/>
    <s v="Moyen"/>
    <s v="Moyenne"/>
  </r>
  <r>
    <s v="TX0000014"/>
    <d v="2025-02-03T00:00:00"/>
    <s v="CLI00719"/>
    <s v="PRD003"/>
    <s v="AG005"/>
    <s v="COM048"/>
    <n v="1"/>
    <n v="780"/>
    <n v="0.05"/>
    <s v="Carte"/>
    <s v="Validée"/>
    <s v="Client 00719"/>
    <s v="Lubumbashi"/>
    <s v="Institution"/>
    <s v="Laptop Business 14"/>
    <s v="Informatique"/>
    <s v="Premium"/>
    <s v="Agence Matadi 1"/>
    <s v="Matadi"/>
    <s v="Commercial 048"/>
    <n v="45"/>
    <x v="1"/>
    <n v="17"/>
    <n v="8.3000000000000007"/>
    <n v="2"/>
    <s v="Magasin"/>
    <n v="468"/>
    <n v="780"/>
    <n v="39"/>
    <n v="741"/>
    <n v="468"/>
    <n v="273"/>
    <n v="0.36842105263157893"/>
    <n v="2025"/>
    <n v="2"/>
    <s v="2025-02"/>
    <s v="T1"/>
    <s v="40-49"/>
    <s v="bon"/>
    <s v="Rapide"/>
    <s v="Moyenne"/>
  </r>
  <r>
    <s v="TX0000015"/>
    <d v="2025-12-14T00:00:00"/>
    <s v="CLI01124"/>
    <s v="PRD007"/>
    <s v="AG001"/>
    <s v="COM045"/>
    <n v="3"/>
    <n v="145"/>
    <n v="0"/>
    <s v="Mobile Money"/>
    <s v="Validée"/>
    <s v="Client 01124"/>
    <s v="Goma"/>
    <s v="Grande entreprise"/>
    <s v="Écran 24 pouces"/>
    <s v="Informatique"/>
    <s v="Standard"/>
    <s v="Agence Kinshasa 1"/>
    <s v="Kinshasa"/>
    <s v="Commercial 045"/>
    <n v="57"/>
    <x v="1"/>
    <n v="21"/>
    <n v="4.2"/>
    <n v="8"/>
    <s v="WhatsApp"/>
    <n v="97.15"/>
    <n v="435"/>
    <n v="0"/>
    <n v="435"/>
    <n v="291.45000000000005"/>
    <n v="143.54999999999995"/>
    <n v="0.3299999999999999"/>
    <n v="2025"/>
    <n v="12"/>
    <s v="2025-12"/>
    <s v="T4"/>
    <s v="50+"/>
    <s v="faible"/>
    <s v="Long"/>
    <s v="Faible"/>
  </r>
  <r>
    <s v="TX0000016"/>
    <d v="2025-07-28T00:00:00"/>
    <s v="CLI01750"/>
    <s v="PRD002"/>
    <s v="AG011"/>
    <s v="COM028"/>
    <n v="1"/>
    <n v="350"/>
    <n v="0.08"/>
    <s v="Mobile Money"/>
    <s v="Validée"/>
    <s v="Client 01750"/>
    <s v="Lubumbashi"/>
    <s v="Institution"/>
    <s v="Smartphone Pro X"/>
    <s v="Électronique"/>
    <s v="Premium"/>
    <s v="Agence Matadi 2"/>
    <s v="Matadi"/>
    <s v="Commercial 028"/>
    <n v="45"/>
    <x v="0"/>
    <n v="34"/>
    <n v="4"/>
    <n v="9"/>
    <s v="Téléphone"/>
    <n v="213.5"/>
    <n v="350"/>
    <n v="28"/>
    <n v="322"/>
    <n v="213.5"/>
    <n v="108.5"/>
    <n v="0.33695652173913043"/>
    <n v="2025"/>
    <n v="7"/>
    <s v="2025-07"/>
    <s v="T3"/>
    <s v="40-49"/>
    <s v="faible"/>
    <s v="Long"/>
    <s v="Faible"/>
  </r>
  <r>
    <s v="TX0000017"/>
    <d v="2025-05-23T00:00:00"/>
    <s v="CLI02119"/>
    <s v="PRD002"/>
    <s v="AG008"/>
    <s v="COM004"/>
    <n v="6"/>
    <n v="350"/>
    <n v="0.05"/>
    <s v="Mobile Money"/>
    <s v="Validée"/>
    <s v="Client 02119"/>
    <s v="Lubumbashi"/>
    <s v="PME"/>
    <s v="Smartphone Pro X"/>
    <s v="Électronique"/>
    <s v="Premium"/>
    <s v="Agence Lubumbashi 2"/>
    <s v="Lubumbashi"/>
    <s v="Commercial 004"/>
    <n v="25"/>
    <x v="1"/>
    <n v="71"/>
    <n v="7.9"/>
    <n v="1"/>
    <s v="Téléphone"/>
    <n v="213.5"/>
    <n v="2100"/>
    <n v="105"/>
    <n v="1995"/>
    <n v="1281"/>
    <n v="714"/>
    <n v="0.35789473684210527"/>
    <n v="2025"/>
    <n v="5"/>
    <s v="2025-05"/>
    <s v="T2"/>
    <s v="22-29"/>
    <s v="bon"/>
    <s v="Rapide"/>
    <s v="Elevée"/>
  </r>
  <r>
    <s v="TX0000019"/>
    <d v="2025-03-26T00:00:00"/>
    <s v="CLI01736"/>
    <s v="PRD003"/>
    <s v="AG008"/>
    <s v="COM013"/>
    <n v="2"/>
    <n v="780"/>
    <n v="0"/>
    <s v="Cash"/>
    <s v="Validée"/>
    <s v="Client 01736"/>
    <s v="Lubumbashi"/>
    <s v="Grande entreprise"/>
    <s v="Laptop Business 14"/>
    <s v="Informatique"/>
    <s v="Premium"/>
    <s v="Agence Lubumbashi 2"/>
    <s v="Lubumbashi"/>
    <s v="Commercial 013"/>
    <n v="36"/>
    <x v="0"/>
    <n v="53"/>
    <n v="8.1"/>
    <n v="3"/>
    <s v="Magasin"/>
    <n v="468"/>
    <n v="1560"/>
    <n v="0"/>
    <n v="1560"/>
    <n v="936"/>
    <n v="624"/>
    <n v="0.4"/>
    <n v="2025"/>
    <n v="3"/>
    <s v="2025-03"/>
    <s v="T1"/>
    <s v="30-39"/>
    <s v="bon"/>
    <s v="Rapide"/>
    <s v="Elevée"/>
  </r>
  <r>
    <s v="TX0000021"/>
    <d v="2025-05-02T00:00:00"/>
    <s v="CLI00223"/>
    <s v="PRD011"/>
    <s v="AG017"/>
    <s v="COM051"/>
    <n v="10"/>
    <n v="240"/>
    <n v="0.1"/>
    <s v="Mobile Money"/>
    <s v="Validée"/>
    <s v="Client 00223"/>
    <s v="Matadi"/>
    <s v="PME"/>
    <s v="Switch 24 Ports"/>
    <s v="Réseau"/>
    <s v="Premium"/>
    <s v="Agence Matadi 3"/>
    <s v="Matadi"/>
    <s v="Commercial 051"/>
    <n v="37"/>
    <x v="1"/>
    <n v="21"/>
    <n v="8.9"/>
    <n v="1"/>
    <s v="Web"/>
    <n v="177.6"/>
    <n v="2400"/>
    <n v="240"/>
    <n v="2160"/>
    <n v="1776"/>
    <n v="384"/>
    <n v="0.17777777777777778"/>
    <n v="2025"/>
    <n v="5"/>
    <s v="2025-05"/>
    <s v="T2"/>
    <s v="30-39"/>
    <s v="bon"/>
    <s v="Rapide"/>
    <s v="Elevée"/>
  </r>
  <r>
    <s v="TX0000022"/>
    <d v="2025-01-18T00:00:00"/>
    <s v="CLI01829"/>
    <s v="PRD004"/>
    <s v="AG003"/>
    <s v="COM004"/>
    <n v="2"/>
    <n v="520"/>
    <n v="0.1"/>
    <s v="Cash"/>
    <s v="Validée"/>
    <s v="Client 01829"/>
    <s v="Kisangani"/>
    <s v="PME"/>
    <s v="Laptop Essential 15"/>
    <s v="Informatique"/>
    <s v="Standard"/>
    <s v="Agence Goma 1"/>
    <s v="Goma"/>
    <s v="Commercial 004"/>
    <n v="56"/>
    <x v="1"/>
    <n v="11"/>
    <n v="6.8"/>
    <n v="3"/>
    <s v="Téléphone"/>
    <n v="348.4"/>
    <n v="1040"/>
    <n v="104"/>
    <n v="936"/>
    <n v="696.8"/>
    <n v="239.20000000000005"/>
    <n v="0.25555555555555559"/>
    <n v="2025"/>
    <n v="1"/>
    <s v="2025-01"/>
    <s v="T1"/>
    <s v="50+"/>
    <s v="moyen"/>
    <s v="Rapide"/>
    <s v="Moyenne"/>
  </r>
  <r>
    <s v="TX0000023"/>
    <d v="2025-11-09T00:00:00"/>
    <s v="CLI00254"/>
    <s v="PRD015"/>
    <s v="AG002"/>
    <s v="COM020"/>
    <n v="3"/>
    <n v="48"/>
    <n v="0"/>
    <s v="Cash"/>
    <s v="Validée"/>
    <s v="Client 00254"/>
    <s v="Goma"/>
    <s v="PME"/>
    <s v="Webcam HD"/>
    <s v="Électronique"/>
    <s v="Entrée de gamme"/>
    <s v="Agence Lubumbashi 1"/>
    <s v="Lubumbashi"/>
    <s v="Commercial 020"/>
    <n v="29"/>
    <x v="0"/>
    <n v="52"/>
    <n v="2.9"/>
    <n v="9"/>
    <s v="Téléphone"/>
    <n v="37.44"/>
    <n v="144"/>
    <n v="0"/>
    <n v="144"/>
    <n v="112.32"/>
    <n v="31.680000000000007"/>
    <n v="0.22000000000000006"/>
    <n v="2025"/>
    <n v="11"/>
    <s v="2025-11"/>
    <s v="T4"/>
    <s v="22-29"/>
    <s v="faible"/>
    <s v="Long"/>
    <s v="Faible"/>
  </r>
  <r>
    <s v="TX0000024"/>
    <d v="2025-02-19T00:00:00"/>
    <s v="CLI00214"/>
    <s v="PRD010"/>
    <s v="AG013"/>
    <s v="COM026"/>
    <n v="3"/>
    <n v="95"/>
    <n v="0.02"/>
    <s v="Carte"/>
    <s v="Validée"/>
    <s v="Client 00214"/>
    <s v="Lubumbashi"/>
    <s v="Grande entreprise"/>
    <s v="Routeur Business"/>
    <s v="Réseau"/>
    <s v="Standard"/>
    <s v="Agence Kinshasa 3"/>
    <s v="Kinshasa"/>
    <s v="Commercial 026"/>
    <n v="23"/>
    <x v="0"/>
    <n v="37"/>
    <n v="6"/>
    <n v="4"/>
    <s v="Téléphone"/>
    <n v="70.3"/>
    <n v="285"/>
    <n v="5.7"/>
    <n v="279.3"/>
    <n v="210.89999999999998"/>
    <n v="68.400000000000034"/>
    <n v="0.24489795918367357"/>
    <n v="2025"/>
    <n v="2"/>
    <s v="2025-02"/>
    <s v="T1"/>
    <s v="22-29"/>
    <s v="moyen"/>
    <s v="Moyen"/>
    <s v="Faible"/>
  </r>
  <r>
    <s v="TX0000025"/>
    <d v="2025-08-08T00:00:00"/>
    <s v="CLI00044"/>
    <s v="PRD015"/>
    <s v="AG013"/>
    <s v="COM030"/>
    <n v="5"/>
    <n v="48"/>
    <n v="0.05"/>
    <s v="Cash"/>
    <s v="Validée"/>
    <s v="Client 00044"/>
    <s v="Kisangani"/>
    <s v="Grande entreprise"/>
    <s v="Webcam HD"/>
    <s v="Électronique"/>
    <s v="Entrée de gamme"/>
    <s v="Agence Kinshasa 3"/>
    <s v="Kinshasa"/>
    <s v="Commercial 030"/>
    <n v="33"/>
    <x v="0"/>
    <n v="33"/>
    <n v="4.7"/>
    <n v="7"/>
    <s v="Téléphone"/>
    <n v="37.44"/>
    <n v="240"/>
    <n v="12"/>
    <n v="228"/>
    <n v="187.2"/>
    <n v="40.800000000000011"/>
    <n v="0.17894736842105269"/>
    <n v="2025"/>
    <n v="8"/>
    <s v="2025-08"/>
    <s v="T3"/>
    <s v="30-39"/>
    <s v="faible"/>
    <s v="Long"/>
    <s v="Faible"/>
  </r>
  <r>
    <s v="TX0000026"/>
    <d v="2025-10-28T00:00:00"/>
    <s v="CLI00107"/>
    <s v="PRD015"/>
    <s v="AG017"/>
    <s v="COM022"/>
    <n v="1"/>
    <n v="48"/>
    <n v="0"/>
    <s v="Cash"/>
    <s v="Validée"/>
    <s v="Client 00107"/>
    <s v="Lubumbashi"/>
    <s v="Institution"/>
    <s v="Webcam HD"/>
    <s v="Électronique"/>
    <s v="Entrée de gamme"/>
    <s v="Agence Matadi 3"/>
    <s v="Matadi"/>
    <s v="Commercial 022"/>
    <n v="35"/>
    <x v="0"/>
    <n v="44"/>
    <n v="5.6"/>
    <n v="5"/>
    <s v="Web"/>
    <n v="37.44"/>
    <n v="48"/>
    <n v="0"/>
    <n v="48"/>
    <n v="37.44"/>
    <n v="10.560000000000002"/>
    <n v="0.22000000000000006"/>
    <n v="2025"/>
    <n v="10"/>
    <s v="2025-10"/>
    <s v="T4"/>
    <s v="30-39"/>
    <s v="moyen"/>
    <s v="Moyen"/>
    <s v="Faible"/>
  </r>
  <r>
    <s v="TX0000027"/>
    <d v="2025-09-18T00:00:00"/>
    <s v="CLI00277"/>
    <s v="PRD007"/>
    <s v="AG005"/>
    <s v="COM041"/>
    <n v="1"/>
    <n v="145"/>
    <n v="0.02"/>
    <s v="Mobile Money"/>
    <s v="Validée"/>
    <s v="Client 00277"/>
    <s v="Goma"/>
    <s v="PME"/>
    <s v="Écran 24 pouces"/>
    <s v="Informatique"/>
    <s v="Standard"/>
    <s v="Agence Matadi 1"/>
    <s v="Matadi"/>
    <s v="Commercial 041"/>
    <n v="49"/>
    <x v="1"/>
    <n v="4"/>
    <n v="5.7"/>
    <n v="5"/>
    <s v="WhatsApp"/>
    <n v="97.15"/>
    <n v="145"/>
    <n v="2.9"/>
    <n v="142.1"/>
    <n v="97.15"/>
    <n v="44.949999999999989"/>
    <n v="0.31632653061224481"/>
    <n v="2025"/>
    <n v="9"/>
    <s v="2025-09"/>
    <s v="T3"/>
    <s v="40-49"/>
    <s v="moyen"/>
    <s v="Moyen"/>
    <s v="Faible"/>
  </r>
  <r>
    <s v="TX0000028"/>
    <d v="2025-01-23T00:00:00"/>
    <s v="CLI01822"/>
    <s v="PRD006"/>
    <s v="AG008"/>
    <s v="COM009"/>
    <n v="1"/>
    <n v="190"/>
    <n v="0"/>
    <s v="Mobile Money"/>
    <s v="Validée"/>
    <s v="Client 01822"/>
    <s v="Goma"/>
    <s v="ONG"/>
    <s v="Imprimante Office"/>
    <s v="Bureautique"/>
    <s v="Standard"/>
    <s v="Agence Lubumbashi 2"/>
    <s v="Lubumbashi"/>
    <s v="Commercial 009"/>
    <n v="31"/>
    <x v="0"/>
    <n v="50"/>
    <n v="3.4"/>
    <n v="9"/>
    <s v="Magasin"/>
    <n v="148.19999999999999"/>
    <n v="190"/>
    <n v="0"/>
    <n v="190"/>
    <n v="148.19999999999999"/>
    <n v="41.800000000000011"/>
    <n v="0.22000000000000006"/>
    <n v="2025"/>
    <n v="1"/>
    <s v="2025-01"/>
    <s v="T1"/>
    <s v="30-39"/>
    <s v="faible"/>
    <s v="Long"/>
    <s v="Faible"/>
  </r>
  <r>
    <s v="TX0000029"/>
    <d v="2025-03-16T00:00:00"/>
    <s v="CLI01466"/>
    <s v="PRD010"/>
    <s v="AG018"/>
    <s v="COM050"/>
    <n v="1"/>
    <n v="95"/>
    <n v="0"/>
    <s v="Virement"/>
    <s v="Validée"/>
    <s v="Client 01466"/>
    <s v="Kinshasa"/>
    <s v="Indépendant"/>
    <s v="Routeur Business"/>
    <s v="Réseau"/>
    <s v="Standard"/>
    <s v="Agence Kolwezi 3"/>
    <s v="Kolwezi"/>
    <s v="Commercial 050"/>
    <n v="37"/>
    <x v="0"/>
    <n v="41"/>
    <n v="4.0999999999999996"/>
    <n v="8"/>
    <s v="Web"/>
    <n v="70.3"/>
    <n v="95"/>
    <n v="0"/>
    <n v="95"/>
    <n v="70.3"/>
    <n v="24.700000000000003"/>
    <n v="0.26"/>
    <n v="2025"/>
    <n v="3"/>
    <s v="2025-03"/>
    <s v="T1"/>
    <s v="30-39"/>
    <s v="faible"/>
    <s v="Long"/>
    <s v="Faible"/>
  </r>
  <r>
    <s v="TX0000030"/>
    <d v="2025-09-17T00:00:00"/>
    <s v="CLI00034"/>
    <s v="PRD005"/>
    <s v="AG002"/>
    <s v="COM016"/>
    <n v="4"/>
    <n v="260"/>
    <n v="0.05"/>
    <s v="Cash"/>
    <s v="Validée"/>
    <s v="Client 00034"/>
    <s v="Lubumbashi"/>
    <s v="Indépendant"/>
    <s v="Tablette T10"/>
    <s v="Électronique"/>
    <s v="Standard"/>
    <s v="Agence Lubumbashi 1"/>
    <s v="Lubumbashi"/>
    <s v="Commercial 016"/>
    <n v="60"/>
    <x v="1"/>
    <n v="7"/>
    <n v="8"/>
    <n v="1"/>
    <s v="Téléphone"/>
    <n v="189.8"/>
    <n v="1040"/>
    <n v="52"/>
    <n v="988"/>
    <n v="759.2"/>
    <n v="228.79999999999995"/>
    <n v="0.231578947368421"/>
    <n v="2025"/>
    <n v="9"/>
    <s v="2025-09"/>
    <s v="T3"/>
    <s v="50+"/>
    <s v="bon"/>
    <s v="Rapide"/>
    <s v="Moyenne"/>
  </r>
  <r>
    <s v="TX0000031"/>
    <d v="2025-02-05T00:00:00"/>
    <s v="CLI00801"/>
    <s v="PRD007"/>
    <s v="AG007"/>
    <s v="COM051"/>
    <n v="2"/>
    <n v="145"/>
    <n v="0.08"/>
    <s v="Mobile Money"/>
    <s v="Validée"/>
    <s v="Client 00801"/>
    <s v="Goma"/>
    <s v="Grande entreprise"/>
    <s v="Écran 24 pouces"/>
    <s v="Informatique"/>
    <s v="Standard"/>
    <s v="Agence Kinshasa 2"/>
    <s v="Kinshasa"/>
    <s v="Commercial 051"/>
    <n v="32"/>
    <x v="0"/>
    <n v="28"/>
    <n v="6.3"/>
    <n v="5"/>
    <s v="Web"/>
    <n v="97.15"/>
    <n v="290"/>
    <n v="23.2"/>
    <n v="266.8"/>
    <n v="194.3"/>
    <n v="72.5"/>
    <n v="0.27173913043478259"/>
    <n v="2025"/>
    <n v="2"/>
    <s v="2025-02"/>
    <s v="T1"/>
    <s v="30-39"/>
    <s v="moyen"/>
    <s v="Moyen"/>
    <s v="Faible"/>
  </r>
  <r>
    <s v="TX0000032"/>
    <d v="2025-06-03T00:00:00"/>
    <s v="CLI01915"/>
    <s v="PRD011"/>
    <s v="AG011"/>
    <s v="COM040"/>
    <n v="2"/>
    <n v="240"/>
    <n v="0"/>
    <s v="Cash"/>
    <s v="Validée"/>
    <s v="Client 01915"/>
    <s v="Kinshasa"/>
    <s v="Grande entreprise"/>
    <s v="Switch 24 Ports"/>
    <s v="Réseau"/>
    <s v="Premium"/>
    <s v="Agence Matadi 2"/>
    <s v="Matadi"/>
    <s v="Commercial 040"/>
    <n v="52"/>
    <x v="1"/>
    <n v="42"/>
    <n v="3.9"/>
    <n v="8"/>
    <s v="WhatsApp"/>
    <n v="177.6"/>
    <n v="480"/>
    <n v="0"/>
    <n v="480"/>
    <n v="355.2"/>
    <n v="124.80000000000001"/>
    <n v="0.26"/>
    <n v="2025"/>
    <n v="6"/>
    <s v="2025-06"/>
    <s v="T2"/>
    <s v="50+"/>
    <s v="faible"/>
    <s v="Long"/>
    <s v="Faible"/>
  </r>
  <r>
    <s v="TX0000033"/>
    <d v="2025-01-02T00:00:00"/>
    <s v="CLI00173"/>
    <s v="PRD016"/>
    <s v="AG008"/>
    <s v="COM059"/>
    <n v="3"/>
    <n v="420"/>
    <n v="0.08"/>
    <s v="Carte"/>
    <s v="Validée"/>
    <s v="Client 00173"/>
    <s v="Lubumbashi"/>
    <s v="Institution"/>
    <s v="Projecteur HD"/>
    <s v="Bureautique"/>
    <s v="Premium"/>
    <s v="Agence Lubumbashi 2"/>
    <s v="Lubumbashi"/>
    <s v="Commercial 059"/>
    <n v="44"/>
    <x v="0"/>
    <n v="42"/>
    <n v="4.8"/>
    <n v="6"/>
    <s v="Web"/>
    <n v="273"/>
    <n v="1260"/>
    <n v="100.8"/>
    <n v="1159.2"/>
    <n v="819"/>
    <n v="340.20000000000005"/>
    <n v="0.29347826086956524"/>
    <n v="2025"/>
    <n v="1"/>
    <s v="2025-01"/>
    <s v="T1"/>
    <s v="40-49"/>
    <s v="faible"/>
    <s v="Moyen"/>
    <s v="Elevée"/>
  </r>
  <r>
    <s v="TX0000034"/>
    <d v="2025-06-19T00:00:00"/>
    <s v="CLI00874"/>
    <s v="PRD008"/>
    <s v="AG016"/>
    <s v="COM048"/>
    <n v="4"/>
    <n v="35"/>
    <n v="0.02"/>
    <s v="Carte"/>
    <s v="Validée"/>
    <s v="Client 00874"/>
    <s v="Kolwezi"/>
    <s v="PME"/>
    <s v="Clavier Pro"/>
    <s v="Informatique"/>
    <s v="Entrée de gamme"/>
    <s v="Agence Kisangani 3"/>
    <s v="Kisangani"/>
    <s v="Commercial 048"/>
    <n v="47"/>
    <x v="0"/>
    <n v="67"/>
    <n v="7.9"/>
    <n v="1"/>
    <s v="Téléphone"/>
    <n v="24.15"/>
    <n v="140"/>
    <n v="2.8000000000000003"/>
    <n v="137.19999999999999"/>
    <n v="96.6"/>
    <n v="40.599999999999994"/>
    <n v="0.29591836734693877"/>
    <n v="2025"/>
    <n v="6"/>
    <s v="2025-06"/>
    <s v="T2"/>
    <s v="40-49"/>
    <s v="bon"/>
    <s v="Rapide"/>
    <s v="Faible"/>
  </r>
  <r>
    <s v="TX0000035"/>
    <d v="2025-07-03T00:00:00"/>
    <s v="CLI00028"/>
    <s v="PRD012"/>
    <s v="AG001"/>
    <s v="COM005"/>
    <n v="1"/>
    <n v="180"/>
    <n v="0"/>
    <s v="Carte"/>
    <s v="Validée"/>
    <s v="Client 00028"/>
    <s v="Lubumbashi"/>
    <s v="Institution"/>
    <s v="Onduleur 1200VA"/>
    <s v="Énergie"/>
    <s v="Standard"/>
    <s v="Agence Kinshasa 1"/>
    <s v="Kinshasa"/>
    <s v="Commercial 005"/>
    <n v="30"/>
    <x v="0"/>
    <n v="6"/>
    <n v="3.7"/>
    <n v="8"/>
    <s v="WhatsApp"/>
    <n v="129.6"/>
    <n v="180"/>
    <n v="0"/>
    <n v="180"/>
    <n v="129.6"/>
    <n v="50.400000000000006"/>
    <n v="0.28000000000000003"/>
    <n v="2025"/>
    <n v="7"/>
    <s v="2025-07"/>
    <s v="T3"/>
    <s v="30-39"/>
    <s v="faible"/>
    <s v="Long"/>
    <s v="Faible"/>
  </r>
  <r>
    <s v="TX0000036"/>
    <d v="2025-04-12T00:00:00"/>
    <s v="CLI00797"/>
    <s v="PRD012"/>
    <s v="AG002"/>
    <s v="COM002"/>
    <n v="1"/>
    <n v="180"/>
    <n v="0"/>
    <s v="Carte"/>
    <s v="Validée"/>
    <s v="Client 00797"/>
    <s v="Kinshasa"/>
    <s v="ONG"/>
    <s v="Onduleur 1200VA"/>
    <s v="Énergie"/>
    <s v="Standard"/>
    <s v="Agence Lubumbashi 1"/>
    <s v="Lubumbashi"/>
    <s v="Commercial 002"/>
    <n v="54"/>
    <x v="0"/>
    <n v="15"/>
    <n v="7.2"/>
    <n v="2"/>
    <s v="Web"/>
    <n v="129.6"/>
    <n v="180"/>
    <n v="0"/>
    <n v="180"/>
    <n v="129.6"/>
    <n v="50.400000000000006"/>
    <n v="0.28000000000000003"/>
    <n v="2025"/>
    <n v="4"/>
    <s v="2025-04"/>
    <s v="T2"/>
    <s v="50+"/>
    <s v="bon"/>
    <s v="Rapide"/>
    <s v="Faible"/>
  </r>
  <r>
    <s v="TX0000038"/>
    <d v="2025-02-26T00:00:00"/>
    <s v="CLI00086"/>
    <s v="PRD005"/>
    <s v="AG013"/>
    <s v="COM042"/>
    <n v="2"/>
    <n v="260"/>
    <n v="0"/>
    <s v="Virement"/>
    <s v="Validée"/>
    <s v="Client 00086"/>
    <s v="Matadi"/>
    <s v="Grande entreprise"/>
    <s v="Tablette T10"/>
    <s v="Électronique"/>
    <s v="Standard"/>
    <s v="Agence Kinshasa 3"/>
    <s v="Kinshasa"/>
    <s v="Commercial 042"/>
    <n v="58"/>
    <x v="1"/>
    <n v="64"/>
    <n v="3.4"/>
    <n v="9"/>
    <s v="Web"/>
    <n v="189.8"/>
    <n v="520"/>
    <n v="0"/>
    <n v="520"/>
    <n v="379.6"/>
    <n v="140.39999999999998"/>
    <n v="0.26999999999999996"/>
    <n v="2025"/>
    <n v="2"/>
    <s v="2025-02"/>
    <s v="T1"/>
    <s v="50+"/>
    <s v="faible"/>
    <s v="Long"/>
    <s v="Moyenne"/>
  </r>
  <r>
    <s v="TX0000039"/>
    <d v="2025-11-16T00:00:00"/>
    <s v="CLI01515"/>
    <s v="PRD012"/>
    <s v="AG006"/>
    <s v="COM034"/>
    <n v="5"/>
    <n v="180"/>
    <n v="0.08"/>
    <s v="Cash"/>
    <s v="Validée"/>
    <s v="Client 01515"/>
    <s v="Matadi"/>
    <s v="PME"/>
    <s v="Onduleur 1200VA"/>
    <s v="Énergie"/>
    <s v="Standard"/>
    <s v="Agence Kolwezi 1"/>
    <s v="Kolwezi"/>
    <s v="Commercial 034"/>
    <n v="35"/>
    <x v="1"/>
    <n v="72"/>
    <n v="4.5999999999999996"/>
    <n v="8"/>
    <s v="Web"/>
    <n v="129.6"/>
    <n v="900"/>
    <n v="72"/>
    <n v="828"/>
    <n v="648"/>
    <n v="180"/>
    <n v="0.21739130434782608"/>
    <n v="2025"/>
    <n v="11"/>
    <s v="2025-11"/>
    <s v="T4"/>
    <s v="30-39"/>
    <s v="faible"/>
    <s v="Long"/>
    <s v="Moyenne"/>
  </r>
  <r>
    <s v="TX0000041"/>
    <d v="2025-10-02T00:00:00"/>
    <s v="CLI01002"/>
    <s v="PRD002"/>
    <s v="AG007"/>
    <s v="COM055"/>
    <n v="2"/>
    <n v="350"/>
    <n v="0"/>
    <s v="Virement"/>
    <s v="Validée"/>
    <s v="Client 01002"/>
    <s v="Kolwezi"/>
    <s v="ONG"/>
    <s v="Smartphone Pro X"/>
    <s v="Électronique"/>
    <s v="Premium"/>
    <s v="Agence Kinshasa 2"/>
    <s v="Kinshasa"/>
    <s v="Commercial 055"/>
    <n v="35"/>
    <x v="0"/>
    <n v="23"/>
    <n v="4.9000000000000004"/>
    <n v="7"/>
    <s v="WhatsApp"/>
    <n v="213.5"/>
    <n v="700"/>
    <n v="0"/>
    <n v="700"/>
    <n v="427"/>
    <n v="273"/>
    <n v="0.39"/>
    <n v="2025"/>
    <n v="10"/>
    <s v="2025-10"/>
    <s v="T4"/>
    <s v="30-39"/>
    <s v="faible"/>
    <s v="Long"/>
    <s v="Moyenne"/>
  </r>
  <r>
    <s v="TX0000042"/>
    <d v="2025-09-08T00:00:00"/>
    <s v="CLI01148"/>
    <s v="PRD005"/>
    <s v="AG017"/>
    <s v="COM038"/>
    <n v="1"/>
    <n v="260"/>
    <n v="0"/>
    <s v="Mobile Money"/>
    <s v="Validée"/>
    <s v="Client 01148"/>
    <s v="Goma"/>
    <s v="Institution"/>
    <s v="Tablette T10"/>
    <s v="Électronique"/>
    <s v="Standard"/>
    <s v="Agence Matadi 3"/>
    <s v="Matadi"/>
    <s v="Commercial 038"/>
    <n v="34"/>
    <x v="0"/>
    <n v="21"/>
    <n v="5.9"/>
    <n v="5"/>
    <s v="Magasin"/>
    <n v="189.8"/>
    <n v="260"/>
    <n v="0"/>
    <n v="260"/>
    <n v="189.8"/>
    <n v="70.199999999999989"/>
    <n v="0.26999999999999996"/>
    <n v="2025"/>
    <n v="9"/>
    <s v="2025-09"/>
    <s v="T3"/>
    <s v="30-39"/>
    <s v="moyen"/>
    <s v="Moyen"/>
    <s v="Faible"/>
  </r>
  <r>
    <s v="TX0000043"/>
    <d v="2025-11-27T00:00:00"/>
    <s v="CLI00266"/>
    <s v="PRD006"/>
    <s v="AG017"/>
    <s v="COM025"/>
    <n v="4"/>
    <n v="190"/>
    <n v="0"/>
    <s v="Mobile Money"/>
    <s v="Validée"/>
    <s v="Client 00266"/>
    <s v="Lubumbashi"/>
    <s v="Institution"/>
    <s v="Imprimante Office"/>
    <s v="Bureautique"/>
    <s v="Standard"/>
    <s v="Agence Matadi 3"/>
    <s v="Matadi"/>
    <s v="Commercial 025"/>
    <n v="45"/>
    <x v="0"/>
    <n v="58"/>
    <n v="7.1"/>
    <n v="4"/>
    <s v="Web"/>
    <n v="148.19999999999999"/>
    <n v="760"/>
    <n v="0"/>
    <n v="760"/>
    <n v="592.79999999999995"/>
    <n v="167.20000000000005"/>
    <n v="0.22000000000000006"/>
    <n v="2025"/>
    <n v="11"/>
    <s v="2025-11"/>
    <s v="T4"/>
    <s v="40-49"/>
    <s v="bon"/>
    <s v="Moyen"/>
    <s v="Moyenne"/>
  </r>
  <r>
    <s v="TX0000044"/>
    <d v="2025-12-22T00:00:00"/>
    <s v="CLI00734"/>
    <s v="PRD011"/>
    <s v="AG012"/>
    <s v="COM034"/>
    <n v="2"/>
    <n v="240"/>
    <n v="0.02"/>
    <s v="Mobile Money"/>
    <s v="Validée"/>
    <s v="Client 00734"/>
    <s v="Kolwezi"/>
    <s v="Indépendant"/>
    <s v="Switch 24 Ports"/>
    <s v="Réseau"/>
    <s v="Premium"/>
    <s v="Agence Kolwezi 2"/>
    <s v="Kolwezi"/>
    <s v="Commercial 034"/>
    <n v="42"/>
    <x v="1"/>
    <n v="34"/>
    <n v="8.6"/>
    <n v="1"/>
    <s v="Magasin"/>
    <n v="177.6"/>
    <n v="480"/>
    <n v="9.6"/>
    <n v="470.4"/>
    <n v="355.2"/>
    <n v="115.19999999999999"/>
    <n v="0.24489795918367346"/>
    <n v="2025"/>
    <n v="12"/>
    <s v="2025-12"/>
    <s v="T4"/>
    <s v="40-49"/>
    <s v="bon"/>
    <s v="Rapide"/>
    <s v="Faible"/>
  </r>
  <r>
    <s v="TX0000045"/>
    <d v="2025-04-14T00:00:00"/>
    <s v="CLI01643"/>
    <s v="PRD002"/>
    <s v="AG007"/>
    <s v="COM015"/>
    <n v="2"/>
    <n v="350"/>
    <n v="0"/>
    <s v="Mobile Money"/>
    <s v="Validée"/>
    <s v="Client 01643"/>
    <s v="Kolwezi"/>
    <s v="Institution"/>
    <s v="Smartphone Pro X"/>
    <s v="Électronique"/>
    <s v="Premium"/>
    <s v="Agence Kinshasa 2"/>
    <s v="Kinshasa"/>
    <s v="Commercial 015"/>
    <n v="22"/>
    <x v="0"/>
    <n v="33"/>
    <n v="6"/>
    <n v="4"/>
    <s v="Téléphone"/>
    <n v="213.5"/>
    <n v="700"/>
    <n v="0"/>
    <n v="700"/>
    <n v="427"/>
    <n v="273"/>
    <n v="0.39"/>
    <n v="2025"/>
    <n v="4"/>
    <s v="2025-04"/>
    <s v="T2"/>
    <s v="22-29"/>
    <s v="moyen"/>
    <s v="Moyen"/>
    <s v="Moyenne"/>
  </r>
  <r>
    <s v="TX0000046"/>
    <d v="2025-07-11T00:00:00"/>
    <s v="CLI01741"/>
    <s v="PRD013"/>
    <s v="AG006"/>
    <s v="COM060"/>
    <n v="1"/>
    <n v="110"/>
    <n v="0"/>
    <s v="Carte"/>
    <s v="Validée"/>
    <s v="Client 01741"/>
    <s v="Lubumbashi"/>
    <s v="Indépendant"/>
    <s v="Disque SSD 1TB"/>
    <s v="Informatique"/>
    <s v="Premium"/>
    <s v="Agence Kolwezi 1"/>
    <s v="Kolwezi"/>
    <s v="Commercial 060"/>
    <n v="48"/>
    <x v="1"/>
    <n v="59"/>
    <n v="6.2"/>
    <n v="6"/>
    <s v="WhatsApp"/>
    <n v="72.599999999999994"/>
    <n v="110"/>
    <n v="0"/>
    <n v="110"/>
    <n v="72.599999999999994"/>
    <n v="37.400000000000006"/>
    <n v="0.34"/>
    <n v="2025"/>
    <n v="7"/>
    <s v="2025-07"/>
    <s v="T3"/>
    <s v="40-49"/>
    <s v="moyen"/>
    <s v="Moyen"/>
    <s v="Faible"/>
  </r>
  <r>
    <s v="TX0000047"/>
    <d v="2025-04-28T00:00:00"/>
    <s v="CLI01209"/>
    <s v="PRD015"/>
    <s v="AG017"/>
    <s v="COM023"/>
    <n v="3"/>
    <n v="48"/>
    <n v="0.02"/>
    <s v="Virement"/>
    <s v="Validée"/>
    <s v="Client 01209"/>
    <s v="Kinshasa"/>
    <s v="Grande entreprise"/>
    <s v="Webcam HD"/>
    <s v="Électronique"/>
    <s v="Entrée de gamme"/>
    <s v="Agence Matadi 3"/>
    <s v="Matadi"/>
    <s v="Commercial 023"/>
    <n v="26"/>
    <x v="1"/>
    <n v="5"/>
    <n v="7.6"/>
    <n v="2"/>
    <s v="Magasin"/>
    <n v="37.44"/>
    <n v="144"/>
    <n v="2.88"/>
    <n v="141.12"/>
    <n v="112.32"/>
    <n v="28.800000000000011"/>
    <n v="0.20408163265306131"/>
    <n v="2025"/>
    <n v="4"/>
    <s v="2025-04"/>
    <s v="T2"/>
    <s v="22-29"/>
    <s v="bon"/>
    <s v="Rapide"/>
    <s v="Faible"/>
  </r>
  <r>
    <s v="TX0000048"/>
    <d v="2025-09-12T00:00:00"/>
    <s v="CLI01916"/>
    <s v="PRD014"/>
    <s v="AG014"/>
    <s v="COM024"/>
    <n v="2"/>
    <n v="65"/>
    <n v="0.02"/>
    <s v="Cash"/>
    <s v="Validée"/>
    <s v="Client 01916"/>
    <s v="Kolwezi"/>
    <s v="Institution"/>
    <s v="Casque Pro"/>
    <s v="Électronique"/>
    <s v="Standard"/>
    <s v="Agence Lubumbashi 3"/>
    <s v="Lubumbashi"/>
    <s v="Commercial 024"/>
    <n v="23"/>
    <x v="0"/>
    <n v="35"/>
    <n v="8.4"/>
    <n v="1"/>
    <s v="Web"/>
    <n v="47.45"/>
    <n v="130"/>
    <n v="2.6"/>
    <n v="127.4"/>
    <n v="94.9"/>
    <n v="32.5"/>
    <n v="0.25510204081632654"/>
    <n v="2025"/>
    <n v="9"/>
    <s v="2025-09"/>
    <s v="T3"/>
    <s v="22-29"/>
    <s v="bon"/>
    <s v="Rapide"/>
    <s v="Faible"/>
  </r>
  <r>
    <s v="TX0000049"/>
    <d v="2025-02-12T00:00:00"/>
    <s v="CLI00958"/>
    <s v="PRD009"/>
    <s v="AG003"/>
    <s v="COM023"/>
    <n v="2"/>
    <n v="22"/>
    <n v="0.05"/>
    <s v="Cash"/>
    <s v="Validée"/>
    <s v="Client 00958"/>
    <s v="Kinshasa"/>
    <s v="Indépendant"/>
    <s v="Souris Wireless"/>
    <s v="Informatique"/>
    <s v="Entrée de gamme"/>
    <s v="Agence Goma 1"/>
    <s v="Goma"/>
    <s v="Commercial 023"/>
    <n v="36"/>
    <x v="1"/>
    <n v="37"/>
    <n v="8.9"/>
    <n v="1"/>
    <s v="Web"/>
    <n v="14.96"/>
    <n v="44"/>
    <n v="2.2000000000000002"/>
    <n v="41.8"/>
    <n v="29.92"/>
    <n v="11.879999999999995"/>
    <n v="0.28421052631578936"/>
    <n v="2025"/>
    <n v="2"/>
    <s v="2025-02"/>
    <s v="T1"/>
    <s v="30-39"/>
    <s v="bon"/>
    <s v="Rapide"/>
    <s v="Faible"/>
  </r>
  <r>
    <s v="TX0000050"/>
    <d v="2025-07-04T00:00:00"/>
    <s v="CLI00933"/>
    <s v="PRD004"/>
    <s v="AG004"/>
    <s v="COM005"/>
    <n v="1"/>
    <n v="520"/>
    <n v="0"/>
    <s v="Virement"/>
    <s v="Validée"/>
    <s v="Client 00933"/>
    <s v="Goma"/>
    <s v="ONG"/>
    <s v="Laptop Essential 15"/>
    <s v="Informatique"/>
    <s v="Standard"/>
    <s v="Agence Kisangani 1"/>
    <s v="Kisangani"/>
    <s v="Commercial 005"/>
    <n v="28"/>
    <x v="1"/>
    <n v="3"/>
    <n v="4.0999999999999996"/>
    <n v="7"/>
    <s v="WhatsApp"/>
    <n v="348.4"/>
    <n v="520"/>
    <n v="0"/>
    <n v="520"/>
    <n v="348.4"/>
    <n v="171.60000000000002"/>
    <n v="0.33000000000000007"/>
    <n v="2025"/>
    <n v="7"/>
    <s v="2025-07"/>
    <s v="T3"/>
    <s v="22-29"/>
    <s v="faible"/>
    <s v="Long"/>
    <s v="Moyenne"/>
  </r>
  <r>
    <s v="TX0000052"/>
    <d v="2025-06-27T00:00:00"/>
    <s v="CLI01070"/>
    <s v="PRD001"/>
    <s v="AG010"/>
    <s v="COM019"/>
    <n v="4"/>
    <n v="120"/>
    <n v="0.02"/>
    <s v="Mobile Money"/>
    <s v="Validée"/>
    <s v="Client 01070"/>
    <s v="Matadi"/>
    <s v="Indépendant"/>
    <s v="Smartphone A1"/>
    <s v="Électronique"/>
    <s v="Entrée de gamme"/>
    <s v="Agence Kisangani 2"/>
    <s v="Kisangani"/>
    <s v="Commercial 019"/>
    <n v="41"/>
    <x v="0"/>
    <n v="58"/>
    <n v="5.3"/>
    <n v="6"/>
    <s v="Web"/>
    <n v="73.2"/>
    <n v="480"/>
    <n v="9.6"/>
    <n v="470.4"/>
    <n v="292.8"/>
    <n v="177.59999999999997"/>
    <n v="0.37755102040816318"/>
    <n v="2025"/>
    <n v="6"/>
    <s v="2025-06"/>
    <s v="T2"/>
    <s v="40-49"/>
    <s v="moyen"/>
    <s v="Moyen"/>
    <s v="Faible"/>
  </r>
  <r>
    <s v="TX0000053"/>
    <d v="2025-03-18T00:00:00"/>
    <s v="CLI00049"/>
    <s v="PRD016"/>
    <s v="AG017"/>
    <s v="COM049"/>
    <n v="5"/>
    <n v="420"/>
    <n v="0"/>
    <s v="Carte"/>
    <s v="Validée"/>
    <s v="Client 00049"/>
    <s v="Kinshasa"/>
    <s v="PME"/>
    <s v="Projecteur HD"/>
    <s v="Bureautique"/>
    <s v="Premium"/>
    <s v="Agence Matadi 3"/>
    <s v="Matadi"/>
    <s v="Commercial 049"/>
    <n v="52"/>
    <x v="0"/>
    <n v="69"/>
    <n v="6.5"/>
    <n v="4"/>
    <s v="Téléphone"/>
    <n v="273"/>
    <n v="2100"/>
    <n v="0"/>
    <n v="2100"/>
    <n v="1365"/>
    <n v="735"/>
    <n v="0.35"/>
    <n v="2025"/>
    <n v="3"/>
    <s v="2025-03"/>
    <s v="T1"/>
    <s v="50+"/>
    <s v="moyen"/>
    <s v="Moyen"/>
    <s v="Elevée"/>
  </r>
  <r>
    <s v="TX0000054"/>
    <d v="2025-10-28T00:00:00"/>
    <s v="CLI00860"/>
    <s v="PRD016"/>
    <s v="AG008"/>
    <s v="COM034"/>
    <n v="4"/>
    <n v="420"/>
    <n v="0.1"/>
    <s v="Mobile Money"/>
    <s v="Validée"/>
    <s v="Client 00860"/>
    <s v="Lubumbashi"/>
    <s v="PME"/>
    <s v="Projecteur HD"/>
    <s v="Bureautique"/>
    <s v="Premium"/>
    <s v="Agence Lubumbashi 2"/>
    <s v="Lubumbashi"/>
    <s v="Commercial 034"/>
    <n v="48"/>
    <x v="0"/>
    <n v="63"/>
    <n v="4.3"/>
    <n v="7"/>
    <s v="WhatsApp"/>
    <n v="273"/>
    <n v="1680"/>
    <n v="168"/>
    <n v="1512"/>
    <n v="1092"/>
    <n v="420"/>
    <n v="0.27777777777777779"/>
    <n v="2025"/>
    <n v="10"/>
    <s v="2025-10"/>
    <s v="T4"/>
    <s v="40-49"/>
    <s v="faible"/>
    <s v="Long"/>
    <s v="Elevée"/>
  </r>
  <r>
    <s v="TX0000055"/>
    <d v="2025-04-07T00:00:00"/>
    <s v="CLI01890"/>
    <s v="PRD011"/>
    <s v="AG003"/>
    <s v="COM021"/>
    <n v="2"/>
    <n v="240"/>
    <n v="0.08"/>
    <s v="Mobile Money"/>
    <s v="Validée"/>
    <s v="Client 01890"/>
    <s v="Kinshasa"/>
    <s v="ONG"/>
    <s v="Switch 24 Ports"/>
    <s v="Réseau"/>
    <s v="Premium"/>
    <s v="Agence Goma 1"/>
    <s v="Goma"/>
    <s v="Commercial 021"/>
    <n v="47"/>
    <x v="1"/>
    <n v="35"/>
    <n v="6.6"/>
    <n v="5"/>
    <s v="Magasin"/>
    <n v="177.6"/>
    <n v="480"/>
    <n v="38.4"/>
    <n v="441.6"/>
    <n v="355.2"/>
    <n v="86.400000000000034"/>
    <n v="0.19565217391304354"/>
    <n v="2025"/>
    <n v="4"/>
    <s v="2025-04"/>
    <s v="T2"/>
    <s v="40-49"/>
    <s v="moyen"/>
    <s v="Moyen"/>
    <s v="Faible"/>
  </r>
  <r>
    <s v="TX0000056"/>
    <d v="2025-10-23T00:00:00"/>
    <s v="CLI01844"/>
    <s v="PRD001"/>
    <s v="AG012"/>
    <s v="COM009"/>
    <n v="5"/>
    <n v="120"/>
    <n v="0"/>
    <s v="Cash"/>
    <s v="Validée"/>
    <s v="Client 01844"/>
    <s v="Goma"/>
    <s v="Grande entreprise"/>
    <s v="Smartphone A1"/>
    <s v="Électronique"/>
    <s v="Entrée de gamme"/>
    <s v="Agence Kolwezi 2"/>
    <s v="Kolwezi"/>
    <s v="Commercial 009"/>
    <n v="58"/>
    <x v="0"/>
    <n v="41"/>
    <n v="8.1"/>
    <n v="2"/>
    <s v="Web"/>
    <n v="73.2"/>
    <n v="600"/>
    <n v="0"/>
    <n v="600"/>
    <n v="366"/>
    <n v="234"/>
    <n v="0.39"/>
    <n v="2025"/>
    <n v="10"/>
    <s v="2025-10"/>
    <s v="T4"/>
    <s v="50+"/>
    <s v="bon"/>
    <s v="Rapide"/>
    <s v="Moyenne"/>
  </r>
  <r>
    <s v="TX0000057"/>
    <d v="2025-08-06T00:00:00"/>
    <s v="CLI01453"/>
    <s v="PRD011"/>
    <s v="AG008"/>
    <s v="COM027"/>
    <n v="3"/>
    <n v="240"/>
    <n v="0.02"/>
    <s v="Virement"/>
    <s v="Validée"/>
    <s v="Client 01453"/>
    <s v="Kolwezi"/>
    <s v="PME"/>
    <s v="Switch 24 Ports"/>
    <s v="Réseau"/>
    <s v="Premium"/>
    <s v="Agence Lubumbashi 2"/>
    <s v="Lubumbashi"/>
    <s v="Commercial 027"/>
    <n v="44"/>
    <x v="1"/>
    <n v="57"/>
    <n v="4.7"/>
    <n v="7"/>
    <s v="Web"/>
    <n v="177.6"/>
    <n v="720"/>
    <n v="14.4"/>
    <n v="705.6"/>
    <n v="532.79999999999995"/>
    <n v="172.80000000000007"/>
    <n v="0.24489795918367355"/>
    <n v="2025"/>
    <n v="8"/>
    <s v="2025-08"/>
    <s v="T3"/>
    <s v="40-49"/>
    <s v="faible"/>
    <s v="Long"/>
    <s v="Moyenne"/>
  </r>
  <r>
    <s v="TX0000059"/>
    <d v="2025-07-17T00:00:00"/>
    <s v="CLI00837"/>
    <s v="PRD013"/>
    <s v="AG003"/>
    <s v="COM035"/>
    <n v="1"/>
    <n v="110"/>
    <n v="0"/>
    <s v="Virement"/>
    <s v="Validée"/>
    <s v="Client 00837"/>
    <s v="Lubumbashi"/>
    <s v="Grande entreprise"/>
    <s v="Disque SSD 1TB"/>
    <s v="Informatique"/>
    <s v="Premium"/>
    <s v="Agence Goma 1"/>
    <s v="Goma"/>
    <s v="Commercial 035"/>
    <n v="45"/>
    <x v="0"/>
    <n v="30"/>
    <n v="8.6999999999999993"/>
    <n v="2"/>
    <s v="WhatsApp"/>
    <n v="72.599999999999994"/>
    <n v="110"/>
    <n v="0"/>
    <n v="110"/>
    <n v="72.599999999999994"/>
    <n v="37.400000000000006"/>
    <n v="0.34"/>
    <n v="2025"/>
    <n v="7"/>
    <s v="2025-07"/>
    <s v="T3"/>
    <s v="40-49"/>
    <s v="bon"/>
    <s v="Rapide"/>
    <s v="Faible"/>
  </r>
  <r>
    <s v="TX0000060"/>
    <d v="2025-02-23T00:00:00"/>
    <s v="CLI01850"/>
    <s v="PRD010"/>
    <s v="AG003"/>
    <s v="COM011"/>
    <n v="3"/>
    <n v="95"/>
    <n v="0"/>
    <s v="Cash"/>
    <s v="Validée"/>
    <s v="Client 01850"/>
    <s v="Goma"/>
    <s v="Grande entreprise"/>
    <s v="Routeur Business"/>
    <s v="Réseau"/>
    <s v="Standard"/>
    <s v="Agence Goma 1"/>
    <s v="Goma"/>
    <s v="Commercial 011"/>
    <n v="60"/>
    <x v="0"/>
    <n v="28"/>
    <n v="3.3"/>
    <n v="9"/>
    <s v="Web"/>
    <n v="70.3"/>
    <n v="285"/>
    <n v="0"/>
    <n v="285"/>
    <n v="210.89999999999998"/>
    <n v="74.100000000000023"/>
    <n v="0.26000000000000006"/>
    <n v="2025"/>
    <n v="2"/>
    <s v="2025-02"/>
    <s v="T1"/>
    <s v="50+"/>
    <s v="faible"/>
    <s v="Long"/>
    <s v="Faible"/>
  </r>
  <r>
    <s v="TX0000061"/>
    <d v="2025-02-05T00:00:00"/>
    <s v="CLI02002"/>
    <s v="PRD001"/>
    <s v="AG006"/>
    <s v="COM013"/>
    <n v="6"/>
    <n v="120"/>
    <n v="0.02"/>
    <s v="Virement"/>
    <s v="Validée"/>
    <s v="Client 02002"/>
    <s v="Kisangani"/>
    <s v="Grande entreprise"/>
    <s v="Smartphone A1"/>
    <s v="Électronique"/>
    <s v="Entrée de gamme"/>
    <s v="Agence Kolwezi 1"/>
    <s v="Kolwezi"/>
    <s v="Commercial 013"/>
    <n v="37"/>
    <x v="0"/>
    <n v="8"/>
    <n v="6.4"/>
    <n v="4"/>
    <s v="Web"/>
    <n v="73.2"/>
    <n v="720"/>
    <n v="14.4"/>
    <n v="705.6"/>
    <n v="439.20000000000005"/>
    <n v="266.39999999999998"/>
    <n v="0.37755102040816324"/>
    <n v="2025"/>
    <n v="2"/>
    <s v="2025-02"/>
    <s v="T1"/>
    <s v="30-39"/>
    <s v="moyen"/>
    <s v="Moyen"/>
    <s v="Moyenne"/>
  </r>
  <r>
    <s v="TX0000062"/>
    <d v="2025-07-08T00:00:00"/>
    <s v="CLI01193"/>
    <s v="PRD003"/>
    <s v="AG015"/>
    <s v="COM004"/>
    <n v="2"/>
    <n v="780"/>
    <n v="0"/>
    <s v="Virement"/>
    <s v="Validée"/>
    <s v="Client 01193"/>
    <s v="Lubumbashi"/>
    <s v="PME"/>
    <s v="Laptop Business 14"/>
    <s v="Informatique"/>
    <s v="Premium"/>
    <s v="Agence Goma 3"/>
    <s v="Goma"/>
    <s v="Commercial 004"/>
    <n v="34"/>
    <x v="0"/>
    <n v="56"/>
    <n v="5.4"/>
    <n v="5"/>
    <s v="WhatsApp"/>
    <n v="468"/>
    <n v="1560"/>
    <n v="0"/>
    <n v="1560"/>
    <n v="936"/>
    <n v="624"/>
    <n v="0.4"/>
    <n v="2025"/>
    <n v="7"/>
    <s v="2025-07"/>
    <s v="T3"/>
    <s v="30-39"/>
    <s v="moyen"/>
    <s v="Moyen"/>
    <s v="Elevée"/>
  </r>
  <r>
    <s v="TX0000063"/>
    <d v="2025-03-08T00:00:00"/>
    <s v="CLI01683"/>
    <s v="PRD013"/>
    <s v="AG006"/>
    <s v="COM008"/>
    <n v="3"/>
    <n v="110"/>
    <n v="0.02"/>
    <s v="Cash"/>
    <s v="Validée"/>
    <s v="Client 01683"/>
    <s v="Kolwezi"/>
    <s v="ONG"/>
    <s v="Disque SSD 1TB"/>
    <s v="Informatique"/>
    <s v="Premium"/>
    <s v="Agence Kolwezi 1"/>
    <s v="Kolwezi"/>
    <s v="Commercial 008"/>
    <n v="56"/>
    <x v="1"/>
    <n v="31"/>
    <n v="5"/>
    <n v="8"/>
    <s v="Web"/>
    <n v="72.599999999999994"/>
    <n v="330"/>
    <n v="6.6000000000000005"/>
    <n v="323.39999999999998"/>
    <n v="217.79999999999998"/>
    <n v="105.6"/>
    <n v="0.32653061224489799"/>
    <n v="2025"/>
    <n v="3"/>
    <s v="2025-03"/>
    <s v="T1"/>
    <s v="50+"/>
    <s v="moyen"/>
    <s v="Long"/>
    <s v="Faible"/>
  </r>
  <r>
    <s v="TX0000064"/>
    <d v="2025-08-10T00:00:00"/>
    <s v="CLI00846"/>
    <s v="PRD005"/>
    <s v="AG007"/>
    <s v="COM020"/>
    <n v="4"/>
    <n v="260"/>
    <n v="0.08"/>
    <s v="Mobile Money"/>
    <s v="Validée"/>
    <s v="Client 00846"/>
    <s v="Matadi"/>
    <s v="Indépendant"/>
    <s v="Tablette T10"/>
    <s v="Électronique"/>
    <s v="Standard"/>
    <s v="Agence Kinshasa 2"/>
    <s v="Kinshasa"/>
    <s v="Commercial 020"/>
    <n v="35"/>
    <x v="0"/>
    <n v="26"/>
    <n v="4.9000000000000004"/>
    <n v="7"/>
    <s v="WhatsApp"/>
    <n v="189.8"/>
    <n v="1040"/>
    <n v="83.2"/>
    <n v="956.8"/>
    <n v="759.2"/>
    <n v="197.59999999999991"/>
    <n v="0.2065217391304347"/>
    <n v="2025"/>
    <n v="8"/>
    <s v="2025-08"/>
    <s v="T3"/>
    <s v="30-39"/>
    <s v="faible"/>
    <s v="Long"/>
    <s v="Moyenne"/>
  </r>
  <r>
    <s v="TX0000066"/>
    <d v="2025-05-07T00:00:00"/>
    <s v="CLI01826"/>
    <s v="PRD003"/>
    <s v="AG013"/>
    <s v="COM039"/>
    <n v="3"/>
    <n v="780"/>
    <n v="0.05"/>
    <s v="Mobile Money"/>
    <s v="Validée"/>
    <s v="Client 01826"/>
    <s v="Lubumbashi"/>
    <s v="Institution"/>
    <s v="Laptop Business 14"/>
    <s v="Informatique"/>
    <s v="Premium"/>
    <s v="Agence Kinshasa 3"/>
    <s v="Kinshasa"/>
    <s v="Commercial 039"/>
    <n v="46"/>
    <x v="1"/>
    <n v="62"/>
    <n v="4.8"/>
    <n v="8"/>
    <s v="WhatsApp"/>
    <n v="468"/>
    <n v="2340"/>
    <n v="117"/>
    <n v="2223"/>
    <n v="1404"/>
    <n v="819"/>
    <n v="0.36842105263157893"/>
    <n v="2025"/>
    <n v="5"/>
    <s v="2025-05"/>
    <s v="T2"/>
    <s v="40-49"/>
    <s v="faible"/>
    <s v="Long"/>
    <s v="Elevée"/>
  </r>
  <r>
    <s v="TX0000067"/>
    <d v="2025-08-22T00:00:00"/>
    <s v="CLI00161"/>
    <s v="PRD003"/>
    <s v="AG010"/>
    <s v="COM042"/>
    <n v="2"/>
    <n v="780"/>
    <n v="0.1"/>
    <s v="Virement"/>
    <s v="Validée"/>
    <s v="Client 00161"/>
    <s v="Kolwezi"/>
    <s v="PME"/>
    <s v="Laptop Business 14"/>
    <s v="Informatique"/>
    <s v="Premium"/>
    <s v="Agence Kisangani 2"/>
    <s v="Kisangani"/>
    <s v="Commercial 042"/>
    <n v="47"/>
    <x v="1"/>
    <n v="56"/>
    <n v="6.1"/>
    <n v="5"/>
    <s v="Web"/>
    <n v="468"/>
    <n v="1560"/>
    <n v="156"/>
    <n v="1404"/>
    <n v="936"/>
    <n v="468"/>
    <n v="0.33333333333333331"/>
    <n v="2025"/>
    <n v="8"/>
    <s v="2025-08"/>
    <s v="T3"/>
    <s v="40-49"/>
    <s v="moyen"/>
    <s v="Moyen"/>
    <s v="Elevée"/>
  </r>
  <r>
    <s v="TX0000069"/>
    <d v="2025-01-23T00:00:00"/>
    <s v="CLI00752"/>
    <s v="PRD004"/>
    <s v="AG013"/>
    <s v="COM045"/>
    <n v="1"/>
    <n v="520"/>
    <n v="0.1"/>
    <s v="Carte"/>
    <s v="Validée"/>
    <s v="Client 00752"/>
    <s v="Matadi"/>
    <s v="Institution"/>
    <s v="Laptop Essential 15"/>
    <s v="Informatique"/>
    <s v="Standard"/>
    <s v="Agence Kinshasa 3"/>
    <s v="Kinshasa"/>
    <s v="Commercial 045"/>
    <n v="23"/>
    <x v="0"/>
    <n v="59"/>
    <n v="7.7"/>
    <n v="3"/>
    <s v="Magasin"/>
    <n v="348.4"/>
    <n v="520"/>
    <n v="52"/>
    <n v="468"/>
    <n v="348.4"/>
    <n v="119.60000000000002"/>
    <n v="0.25555555555555559"/>
    <n v="2025"/>
    <n v="1"/>
    <s v="2025-01"/>
    <s v="T1"/>
    <s v="22-29"/>
    <s v="bon"/>
    <s v="Rapide"/>
    <s v="Faible"/>
  </r>
  <r>
    <s v="TX0000071"/>
    <d v="2025-06-16T00:00:00"/>
    <s v="CLI00314"/>
    <s v="PRD004"/>
    <s v="AG017"/>
    <s v="COM050"/>
    <n v="2"/>
    <n v="520"/>
    <n v="0"/>
    <s v="Virement"/>
    <s v="Validée"/>
    <s v="Client 00314"/>
    <s v="Kinshasa"/>
    <s v="PME"/>
    <s v="Laptop Essential 15"/>
    <s v="Informatique"/>
    <s v="Standard"/>
    <s v="Agence Matadi 3"/>
    <s v="Matadi"/>
    <s v="Commercial 050"/>
    <n v="57"/>
    <x v="1"/>
    <n v="26"/>
    <n v="6.6"/>
    <n v="5"/>
    <s v="Web"/>
    <n v="348.4"/>
    <n v="1040"/>
    <n v="0"/>
    <n v="1040"/>
    <n v="696.8"/>
    <n v="343.20000000000005"/>
    <n v="0.33000000000000007"/>
    <n v="2025"/>
    <n v="6"/>
    <s v="2025-06"/>
    <s v="T2"/>
    <s v="50+"/>
    <s v="moyen"/>
    <s v="Moyen"/>
    <s v="Elevée"/>
  </r>
  <r>
    <s v="TX0000072"/>
    <d v="2025-11-24T00:00:00"/>
    <s v="CLI00183"/>
    <s v="PRD015"/>
    <s v="AG001"/>
    <s v="COM005"/>
    <n v="3"/>
    <n v="48"/>
    <n v="0.08"/>
    <s v="Mobile Money"/>
    <s v="Validée"/>
    <s v="Client 00183"/>
    <s v="Matadi"/>
    <s v="Grande entreprise"/>
    <s v="Webcam HD"/>
    <s v="Électronique"/>
    <s v="Entrée de gamme"/>
    <s v="Agence Kinshasa 1"/>
    <s v="Kinshasa"/>
    <s v="Commercial 005"/>
    <n v="40"/>
    <x v="1"/>
    <n v="53"/>
    <n v="4.0999999999999996"/>
    <n v="8"/>
    <s v="Magasin"/>
    <n v="37.44"/>
    <n v="144"/>
    <n v="11.52"/>
    <n v="132.47999999999999"/>
    <n v="112.32"/>
    <n v="20.159999999999997"/>
    <n v="0.15217391304347824"/>
    <n v="2025"/>
    <n v="11"/>
    <s v="2025-11"/>
    <s v="T4"/>
    <s v="40-49"/>
    <s v="faible"/>
    <s v="Long"/>
    <s v="Faible"/>
  </r>
  <r>
    <s v="TX0000073"/>
    <d v="2025-01-06T00:00:00"/>
    <s v="CLI01636"/>
    <s v="PRD007"/>
    <s v="AG013"/>
    <s v="COM003"/>
    <n v="1"/>
    <n v="145"/>
    <n v="0.08"/>
    <s v="Carte"/>
    <s v="Validée"/>
    <s v="Client 01636"/>
    <s v="Matadi"/>
    <s v="PME"/>
    <s v="Écran 24 pouces"/>
    <s v="Informatique"/>
    <s v="Standard"/>
    <s v="Agence Kinshasa 3"/>
    <s v="Kinshasa"/>
    <s v="Commercial 003"/>
    <n v="27"/>
    <x v="0"/>
    <n v="47"/>
    <n v="6.2"/>
    <n v="6"/>
    <s v="Téléphone"/>
    <n v="97.15"/>
    <n v="145"/>
    <n v="11.6"/>
    <n v="133.4"/>
    <n v="97.15"/>
    <n v="36.25"/>
    <n v="0.27173913043478259"/>
    <n v="2025"/>
    <n v="1"/>
    <s v="2025-01"/>
    <s v="T1"/>
    <s v="22-29"/>
    <s v="moyen"/>
    <s v="Moyen"/>
    <s v="Faible"/>
  </r>
  <r>
    <s v="TX0000074"/>
    <d v="2025-02-12T00:00:00"/>
    <s v="CLI01902"/>
    <s v="PRD016"/>
    <s v="AG015"/>
    <s v="COM005"/>
    <n v="3"/>
    <n v="420"/>
    <n v="0"/>
    <s v="Mobile Money"/>
    <s v="Validée"/>
    <s v="Client 01902"/>
    <s v="Lubumbashi"/>
    <s v="ONG"/>
    <s v="Projecteur HD"/>
    <s v="Bureautique"/>
    <s v="Premium"/>
    <s v="Agence Goma 3"/>
    <s v="Goma"/>
    <s v="Commercial 005"/>
    <n v="46"/>
    <x v="0"/>
    <n v="22"/>
    <n v="9.1"/>
    <n v="1"/>
    <s v="Magasin"/>
    <n v="273"/>
    <n v="1260"/>
    <n v="0"/>
    <n v="1260"/>
    <n v="819"/>
    <n v="441"/>
    <n v="0.35"/>
    <n v="2025"/>
    <n v="2"/>
    <s v="2025-02"/>
    <s v="T1"/>
    <s v="40-49"/>
    <s v="excellent"/>
    <s v="Rapide"/>
    <s v="Elevée"/>
  </r>
  <r>
    <s v="TX0000075"/>
    <d v="2025-01-10T00:00:00"/>
    <s v="CLI01144"/>
    <s v="PRD006"/>
    <s v="AG006"/>
    <s v="COM054"/>
    <n v="3"/>
    <n v="190"/>
    <n v="0"/>
    <s v="Virement"/>
    <s v="Validée"/>
    <s v="Client 01144"/>
    <s v="Kolwezi"/>
    <s v="Indépendant"/>
    <s v="Imprimante Office"/>
    <s v="Bureautique"/>
    <s v="Standard"/>
    <s v="Agence Kolwezi 1"/>
    <s v="Kolwezi"/>
    <s v="Commercial 054"/>
    <n v="44"/>
    <x v="0"/>
    <n v="61"/>
    <n v="5.6"/>
    <n v="5"/>
    <s v="Web"/>
    <n v="148.19999999999999"/>
    <n v="570"/>
    <n v="0"/>
    <n v="570"/>
    <n v="444.59999999999997"/>
    <n v="125.40000000000003"/>
    <n v="0.22000000000000006"/>
    <n v="2025"/>
    <n v="1"/>
    <s v="2025-01"/>
    <s v="T1"/>
    <s v="40-49"/>
    <s v="moyen"/>
    <s v="Moyen"/>
    <s v="Moyenne"/>
  </r>
  <r>
    <s v="TX0000076"/>
    <d v="2025-01-06T00:00:00"/>
    <s v="CLI01601"/>
    <s v="PRD006"/>
    <s v="AG003"/>
    <s v="COM043"/>
    <n v="3"/>
    <n v="190"/>
    <n v="0"/>
    <s v="Mobile Money"/>
    <s v="Validée"/>
    <s v="Client 01601"/>
    <s v="Kisangani"/>
    <s v="PME"/>
    <s v="Imprimante Office"/>
    <s v="Bureautique"/>
    <s v="Standard"/>
    <s v="Agence Goma 1"/>
    <s v="Goma"/>
    <s v="Commercial 043"/>
    <n v="52"/>
    <x v="1"/>
    <n v="25"/>
    <n v="7.1"/>
    <n v="4"/>
    <s v="Magasin"/>
    <n v="148.19999999999999"/>
    <n v="570"/>
    <n v="0"/>
    <n v="570"/>
    <n v="444.59999999999997"/>
    <n v="125.40000000000003"/>
    <n v="0.22000000000000006"/>
    <n v="2025"/>
    <n v="1"/>
    <s v="2025-01"/>
    <s v="T1"/>
    <s v="50+"/>
    <s v="bon"/>
    <s v="Moyen"/>
    <s v="Moyenne"/>
  </r>
  <r>
    <s v="TX0000077"/>
    <d v="2025-08-15T00:00:00"/>
    <s v="CLI00888"/>
    <s v="PRD002"/>
    <s v="AG018"/>
    <s v="COM014"/>
    <n v="3"/>
    <n v="350"/>
    <n v="0.1"/>
    <s v="Cash"/>
    <s v="Validée"/>
    <s v="Client 00888"/>
    <s v="Goma"/>
    <s v="Institution"/>
    <s v="Smartphone Pro X"/>
    <s v="Électronique"/>
    <s v="Premium"/>
    <s v="Agence Kolwezi 3"/>
    <s v="Kolwezi"/>
    <s v="Commercial 014"/>
    <n v="42"/>
    <x v="0"/>
    <n v="58"/>
    <n v="3.5"/>
    <n v="8"/>
    <s v="WhatsApp"/>
    <n v="213.5"/>
    <n v="1050"/>
    <n v="105"/>
    <n v="945"/>
    <n v="640.5"/>
    <n v="304.5"/>
    <n v="0.32222222222222224"/>
    <n v="2025"/>
    <n v="8"/>
    <s v="2025-08"/>
    <s v="T3"/>
    <s v="40-49"/>
    <s v="faible"/>
    <s v="Long"/>
    <s v="Moyenne"/>
  </r>
  <r>
    <s v="TX0000079"/>
    <d v="2025-01-09T00:00:00"/>
    <s v="CLI01535"/>
    <s v="PRD008"/>
    <s v="AG007"/>
    <s v="COM006"/>
    <n v="2"/>
    <n v="35"/>
    <n v="0"/>
    <s v="Virement"/>
    <s v="Validée"/>
    <s v="Client 01535"/>
    <s v="Matadi"/>
    <s v="Institution"/>
    <s v="Clavier Pro"/>
    <s v="Informatique"/>
    <s v="Entrée de gamme"/>
    <s v="Agence Kinshasa 2"/>
    <s v="Kinshasa"/>
    <s v="Commercial 006"/>
    <n v="31"/>
    <x v="1"/>
    <n v="29"/>
    <n v="6.8"/>
    <n v="3"/>
    <s v="Magasin"/>
    <n v="24.15"/>
    <n v="70"/>
    <n v="0"/>
    <n v="70"/>
    <n v="48.3"/>
    <n v="21.700000000000003"/>
    <n v="0.31000000000000005"/>
    <n v="2025"/>
    <n v="1"/>
    <s v="2025-01"/>
    <s v="T1"/>
    <s v="30-39"/>
    <s v="moyen"/>
    <s v="Rapide"/>
    <s v="Faible"/>
  </r>
  <r>
    <s v="TX0000080"/>
    <d v="2025-12-07T00:00:00"/>
    <s v="CLI00259"/>
    <s v="PRD008"/>
    <s v="AG004"/>
    <s v="COM052"/>
    <n v="1"/>
    <n v="35"/>
    <n v="0"/>
    <s v="Cash"/>
    <s v="Validée"/>
    <s v="Client 00259"/>
    <s v="Goma"/>
    <s v="Institution"/>
    <s v="Clavier Pro"/>
    <s v="Informatique"/>
    <s v="Entrée de gamme"/>
    <s v="Agence Kisangani 1"/>
    <s v="Kisangani"/>
    <s v="Commercial 052"/>
    <n v="38"/>
    <x v="0"/>
    <n v="10"/>
    <n v="7.9"/>
    <n v="1"/>
    <s v="Téléphone"/>
    <n v="24.15"/>
    <n v="35"/>
    <n v="0"/>
    <n v="35"/>
    <n v="24.15"/>
    <n v="10.850000000000001"/>
    <n v="0.31000000000000005"/>
    <n v="2025"/>
    <n v="12"/>
    <s v="2025-12"/>
    <s v="T4"/>
    <s v="30-39"/>
    <s v="bon"/>
    <s v="Rapide"/>
    <s v="Faible"/>
  </r>
  <r>
    <s v="TX0000082"/>
    <d v="2025-07-02T00:00:00"/>
    <s v="CLI00495"/>
    <s v="PRD008"/>
    <s v="AG007"/>
    <s v="COM007"/>
    <n v="2"/>
    <n v="35"/>
    <n v="0"/>
    <s v="Mobile Money"/>
    <s v="Validée"/>
    <s v="Client 00495"/>
    <s v="Kolwezi"/>
    <s v="Institution"/>
    <s v="Clavier Pro"/>
    <s v="Informatique"/>
    <s v="Entrée de gamme"/>
    <s v="Agence Kinshasa 2"/>
    <s v="Kinshasa"/>
    <s v="Commercial 007"/>
    <n v="48"/>
    <x v="1"/>
    <n v="37"/>
    <n v="4.7"/>
    <n v="7"/>
    <s v="Web"/>
    <n v="24.15"/>
    <n v="70"/>
    <n v="0"/>
    <n v="70"/>
    <n v="48.3"/>
    <n v="21.700000000000003"/>
    <n v="0.31000000000000005"/>
    <n v="2025"/>
    <n v="7"/>
    <s v="2025-07"/>
    <s v="T3"/>
    <s v="40-49"/>
    <s v="faible"/>
    <s v="Long"/>
    <s v="Faible"/>
  </r>
  <r>
    <s v="TX0000083"/>
    <d v="2025-04-23T00:00:00"/>
    <s v="CLI00050"/>
    <s v="PRD013"/>
    <s v="AG007"/>
    <s v="COM030"/>
    <n v="1"/>
    <n v="110"/>
    <n v="0.1"/>
    <s v="Virement"/>
    <s v="Validée"/>
    <s v="Client 00050"/>
    <s v="Goma"/>
    <s v="PME"/>
    <s v="Disque SSD 1TB"/>
    <s v="Informatique"/>
    <s v="Premium"/>
    <s v="Agence Kinshasa 2"/>
    <s v="Kinshasa"/>
    <s v="Commercial 030"/>
    <n v="27"/>
    <x v="1"/>
    <n v="12"/>
    <n v="4.9000000000000004"/>
    <n v="7"/>
    <s v="Web"/>
    <n v="72.599999999999994"/>
    <n v="110"/>
    <n v="11"/>
    <n v="99"/>
    <n v="72.599999999999994"/>
    <n v="26.400000000000006"/>
    <n v="0.26666666666666672"/>
    <n v="2025"/>
    <n v="4"/>
    <s v="2025-04"/>
    <s v="T2"/>
    <s v="22-29"/>
    <s v="faible"/>
    <s v="Long"/>
    <s v="Faible"/>
  </r>
  <r>
    <s v="TX0000085"/>
    <d v="2025-11-04T00:00:00"/>
    <s v="CLI00418"/>
    <s v="PRD006"/>
    <s v="AG009"/>
    <s v="COM007"/>
    <n v="2"/>
    <n v="190"/>
    <n v="0.08"/>
    <s v="Mobile Money"/>
    <s v="Validée"/>
    <s v="Client 00418"/>
    <s v="Goma"/>
    <s v="Indépendant"/>
    <s v="Imprimante Office"/>
    <s v="Bureautique"/>
    <s v="Standard"/>
    <s v="Agence Goma 2"/>
    <s v="Goma"/>
    <s v="Commercial 007"/>
    <n v="41"/>
    <x v="0"/>
    <n v="70"/>
    <n v="4.5"/>
    <n v="7"/>
    <s v="WhatsApp"/>
    <n v="148.19999999999999"/>
    <n v="380"/>
    <n v="30.400000000000002"/>
    <n v="349.6"/>
    <n v="296.39999999999998"/>
    <n v="53.200000000000045"/>
    <n v="0.15217391304347838"/>
    <n v="2025"/>
    <n v="11"/>
    <s v="2025-11"/>
    <s v="T4"/>
    <s v="40-49"/>
    <s v="faible"/>
    <s v="Long"/>
    <s v="Faible"/>
  </r>
  <r>
    <s v="TX0000086"/>
    <d v="2025-12-19T00:00:00"/>
    <s v="CLI00545"/>
    <s v="PRD011"/>
    <s v="AG006"/>
    <s v="COM041"/>
    <n v="2"/>
    <n v="240"/>
    <n v="0.1"/>
    <s v="Mobile Money"/>
    <s v="Validée"/>
    <s v="Client 00545"/>
    <s v="Matadi"/>
    <s v="ONG"/>
    <s v="Switch 24 Ports"/>
    <s v="Réseau"/>
    <s v="Premium"/>
    <s v="Agence Kolwezi 1"/>
    <s v="Kolwezi"/>
    <s v="Commercial 041"/>
    <n v="34"/>
    <x v="1"/>
    <n v="54"/>
    <n v="7.4"/>
    <n v="2"/>
    <s v="Téléphone"/>
    <n v="177.6"/>
    <n v="480"/>
    <n v="48"/>
    <n v="432"/>
    <n v="355.2"/>
    <n v="76.800000000000011"/>
    <n v="0.17777777777777781"/>
    <n v="2025"/>
    <n v="12"/>
    <s v="2025-12"/>
    <s v="T4"/>
    <s v="30-39"/>
    <s v="bon"/>
    <s v="Rapide"/>
    <s v="Faible"/>
  </r>
  <r>
    <s v="TX0000087"/>
    <d v="2025-11-24T00:00:00"/>
    <s v="CLI00073"/>
    <s v="PRD015"/>
    <s v="AG013"/>
    <s v="COM033"/>
    <n v="4"/>
    <n v="48"/>
    <n v="0.05"/>
    <s v="Cash"/>
    <s v="Validée"/>
    <s v="Client 00073"/>
    <s v="Lubumbashi"/>
    <s v="Institution"/>
    <s v="Webcam HD"/>
    <s v="Électronique"/>
    <s v="Entrée de gamme"/>
    <s v="Agence Kinshasa 3"/>
    <s v="Kinshasa"/>
    <s v="Commercial 033"/>
    <n v="48"/>
    <x v="1"/>
    <n v="22"/>
    <n v="4.0999999999999996"/>
    <n v="7"/>
    <s v="WhatsApp"/>
    <n v="37.44"/>
    <n v="192"/>
    <n v="9.6000000000000014"/>
    <n v="182.4"/>
    <n v="149.76"/>
    <n v="32.640000000000015"/>
    <n v="0.17894736842105272"/>
    <n v="2025"/>
    <n v="11"/>
    <s v="2025-11"/>
    <s v="T4"/>
    <s v="40-49"/>
    <s v="faible"/>
    <s v="Long"/>
    <s v="Faible"/>
  </r>
  <r>
    <s v="TX0000088"/>
    <d v="2025-08-08T00:00:00"/>
    <s v="CLI00509"/>
    <s v="PRD010"/>
    <s v="AG008"/>
    <s v="COM048"/>
    <n v="4"/>
    <n v="95"/>
    <n v="0.05"/>
    <s v="Cash"/>
    <s v="Validée"/>
    <s v="Client 00509"/>
    <s v="Matadi"/>
    <s v="Indépendant"/>
    <s v="Routeur Business"/>
    <s v="Réseau"/>
    <s v="Standard"/>
    <s v="Agence Lubumbashi 2"/>
    <s v="Lubumbashi"/>
    <s v="Commercial 048"/>
    <n v="27"/>
    <x v="0"/>
    <n v="61"/>
    <n v="5.3"/>
    <n v="6"/>
    <s v="WhatsApp"/>
    <n v="70.3"/>
    <n v="380"/>
    <n v="19"/>
    <n v="361"/>
    <n v="281.2"/>
    <n v="79.800000000000011"/>
    <n v="0.22105263157894739"/>
    <n v="2025"/>
    <n v="8"/>
    <s v="2025-08"/>
    <s v="T3"/>
    <s v="22-29"/>
    <s v="moyen"/>
    <s v="Moyen"/>
    <s v="Faible"/>
  </r>
  <r>
    <s v="TX0000089"/>
    <d v="2025-03-19T00:00:00"/>
    <s v="CLI01535"/>
    <s v="PRD016"/>
    <s v="AG010"/>
    <s v="COM013"/>
    <n v="2"/>
    <n v="420"/>
    <n v="0.08"/>
    <s v="Cash"/>
    <s v="Validée"/>
    <s v="Client 01535"/>
    <s v="Matadi"/>
    <s v="Institution"/>
    <s v="Projecteur HD"/>
    <s v="Bureautique"/>
    <s v="Premium"/>
    <s v="Agence Kisangani 2"/>
    <s v="Kisangani"/>
    <s v="Commercial 013"/>
    <n v="31"/>
    <x v="1"/>
    <n v="29"/>
    <n v="4.8"/>
    <n v="6"/>
    <s v="Web"/>
    <n v="273"/>
    <n v="840"/>
    <n v="67.2"/>
    <n v="772.8"/>
    <n v="546"/>
    <n v="226.79999999999995"/>
    <n v="0.29347826086956519"/>
    <n v="2025"/>
    <n v="3"/>
    <s v="2025-03"/>
    <s v="T1"/>
    <s v="30-39"/>
    <s v="faible"/>
    <s v="Moyen"/>
    <s v="Moyenne"/>
  </r>
  <r>
    <s v="TX0000090"/>
    <d v="2025-06-12T00:00:00"/>
    <s v="CLI01818"/>
    <s v="PRD011"/>
    <s v="AG005"/>
    <s v="COM018"/>
    <n v="3"/>
    <n v="240"/>
    <n v="0.1"/>
    <s v="Cash"/>
    <s v="Validée"/>
    <s v="Client 01818"/>
    <s v="Lubumbashi"/>
    <s v="Indépendant"/>
    <s v="Switch 24 Ports"/>
    <s v="Réseau"/>
    <s v="Premium"/>
    <s v="Agence Matadi 1"/>
    <s v="Matadi"/>
    <s v="Commercial 018"/>
    <n v="41"/>
    <x v="1"/>
    <n v="55"/>
    <n v="5.6"/>
    <n v="5"/>
    <s v="Téléphone"/>
    <n v="177.6"/>
    <n v="720"/>
    <n v="72"/>
    <n v="648"/>
    <n v="532.79999999999995"/>
    <n v="115.20000000000005"/>
    <n v="0.17777777777777784"/>
    <n v="2025"/>
    <n v="6"/>
    <s v="2025-06"/>
    <s v="T2"/>
    <s v="40-49"/>
    <s v="moyen"/>
    <s v="Moyen"/>
    <s v="Moyenne"/>
  </r>
  <r>
    <s v="TX0000091"/>
    <d v="2025-06-19T00:00:00"/>
    <s v="CLI01700"/>
    <s v="PRD010"/>
    <s v="AG001"/>
    <s v="COM015"/>
    <n v="2"/>
    <n v="95"/>
    <n v="0"/>
    <s v="Cash"/>
    <s v="Validée"/>
    <s v="Client 01700"/>
    <s v="Matadi"/>
    <s v="Indépendant"/>
    <s v="Routeur Business"/>
    <s v="Réseau"/>
    <s v="Standard"/>
    <s v="Agence Kinshasa 1"/>
    <s v="Kinshasa"/>
    <s v="Commercial 015"/>
    <n v="57"/>
    <x v="1"/>
    <n v="65"/>
    <n v="7"/>
    <n v="3"/>
    <s v="Téléphone"/>
    <n v="70.3"/>
    <n v="190"/>
    <n v="0"/>
    <n v="190"/>
    <n v="140.6"/>
    <n v="49.400000000000006"/>
    <n v="0.26"/>
    <n v="2025"/>
    <n v="6"/>
    <s v="2025-06"/>
    <s v="T2"/>
    <s v="50+"/>
    <s v="bon"/>
    <s v="Rapide"/>
    <s v="Faible"/>
  </r>
  <r>
    <s v="TX0000092"/>
    <d v="2025-06-14T00:00:00"/>
    <s v="CLI01018"/>
    <s v="PRD008"/>
    <s v="AG013"/>
    <s v="COM034"/>
    <n v="1"/>
    <n v="35"/>
    <n v="0.08"/>
    <s v="Cash"/>
    <s v="Validée"/>
    <s v="Client 01018"/>
    <s v="Kisangani"/>
    <s v="PME"/>
    <s v="Clavier Pro"/>
    <s v="Informatique"/>
    <s v="Entrée de gamme"/>
    <s v="Agence Kinshasa 3"/>
    <s v="Kinshasa"/>
    <s v="Commercial 034"/>
    <n v="59"/>
    <x v="1"/>
    <n v="70"/>
    <n v="9.1"/>
    <n v="1"/>
    <s v="Magasin"/>
    <n v="24.15"/>
    <n v="35"/>
    <n v="2.8000000000000003"/>
    <n v="32.200000000000003"/>
    <n v="24.15"/>
    <n v="8.0500000000000043"/>
    <n v="0.25000000000000011"/>
    <n v="2025"/>
    <n v="6"/>
    <s v="2025-06"/>
    <s v="T2"/>
    <s v="50+"/>
    <s v="excellent"/>
    <s v="Rapide"/>
    <s v="Faible"/>
  </r>
  <r>
    <s v="TX0000093"/>
    <d v="2025-11-21T00:00:00"/>
    <s v="CLI02014"/>
    <s v="PRD003"/>
    <s v="AG007"/>
    <s v="COM004"/>
    <n v="20"/>
    <n v="780"/>
    <n v="0"/>
    <s v="Carte"/>
    <s v="Validée"/>
    <s v="Client 02014"/>
    <s v="Kinshasa"/>
    <s v="Institution"/>
    <s v="Laptop Business 14"/>
    <s v="Informatique"/>
    <s v="Premium"/>
    <s v="Agence Kinshasa 2"/>
    <s v="Kinshasa"/>
    <s v="Commercial 004"/>
    <n v="46"/>
    <x v="1"/>
    <n v="35"/>
    <n v="6"/>
    <n v="4"/>
    <s v="Téléphone"/>
    <n v="468"/>
    <n v="15600"/>
    <n v="0"/>
    <n v="15600"/>
    <n v="9360"/>
    <n v="6240"/>
    <n v="0.4"/>
    <n v="2025"/>
    <n v="11"/>
    <s v="2025-11"/>
    <s v="T4"/>
    <s v="40-49"/>
    <s v="moyen"/>
    <s v="Moyen"/>
    <s v="Elevée"/>
  </r>
  <r>
    <s v="TX0000094"/>
    <d v="2025-08-07T00:00:00"/>
    <s v="CLI00838"/>
    <s v="PRD008"/>
    <s v="AG017"/>
    <s v="COM006"/>
    <n v="4"/>
    <n v="35"/>
    <n v="0"/>
    <s v="Carte"/>
    <s v="Validée"/>
    <s v="Client 00838"/>
    <s v="Matadi"/>
    <s v="Indépendant"/>
    <s v="Clavier Pro"/>
    <s v="Informatique"/>
    <s v="Entrée de gamme"/>
    <s v="Agence Matadi 3"/>
    <s v="Matadi"/>
    <s v="Commercial 006"/>
    <n v="32"/>
    <x v="0"/>
    <n v="65"/>
    <n v="8.6999999999999993"/>
    <n v="2"/>
    <s v="Téléphone"/>
    <n v="24.15"/>
    <n v="140"/>
    <n v="0"/>
    <n v="140"/>
    <n v="96.6"/>
    <n v="43.400000000000006"/>
    <n v="0.31000000000000005"/>
    <n v="2025"/>
    <n v="8"/>
    <s v="2025-08"/>
    <s v="T3"/>
    <s v="30-39"/>
    <s v="bon"/>
    <s v="Rapide"/>
    <s v="Faible"/>
  </r>
  <r>
    <s v="TX0000096"/>
    <d v="2025-07-04T00:00:00"/>
    <s v="CLI00825"/>
    <s v="PRD009"/>
    <s v="AG016"/>
    <s v="COM006"/>
    <n v="2"/>
    <n v="22"/>
    <n v="0"/>
    <s v="Mobile Money"/>
    <s v="Validée"/>
    <s v="Client 00825"/>
    <s v="Kinshasa"/>
    <s v="PME"/>
    <s v="Souris Wireless"/>
    <s v="Informatique"/>
    <s v="Entrée de gamme"/>
    <s v="Agence Kisangani 3"/>
    <s v="Kisangani"/>
    <s v="Commercial 006"/>
    <n v="22"/>
    <x v="0"/>
    <n v="37"/>
    <n v="3.7"/>
    <n v="8"/>
    <s v="Magasin"/>
    <n v="14.96"/>
    <n v="44"/>
    <n v="0"/>
    <n v="44"/>
    <n v="29.92"/>
    <n v="14.079999999999998"/>
    <n v="0.31999999999999995"/>
    <n v="2025"/>
    <n v="7"/>
    <s v="2025-07"/>
    <s v="T3"/>
    <s v="22-29"/>
    <s v="faible"/>
    <s v="Long"/>
    <s v="Faible"/>
  </r>
  <r>
    <s v="TX0000097"/>
    <d v="2025-09-04T00:00:00"/>
    <s v="CLI02070"/>
    <s v="PRD014"/>
    <s v="AG005"/>
    <s v="COM053"/>
    <n v="1"/>
    <n v="65"/>
    <n v="0.02"/>
    <s v="Mobile Money"/>
    <s v="Validée"/>
    <s v="Client 02070"/>
    <s v="Kinshasa"/>
    <s v="Indépendant"/>
    <s v="Casque Pro"/>
    <s v="Électronique"/>
    <s v="Standard"/>
    <s v="Agence Matadi 1"/>
    <s v="Matadi"/>
    <s v="Commercial 053"/>
    <n v="37"/>
    <x v="0"/>
    <n v="48"/>
    <n v="6.1"/>
    <n v="5"/>
    <s v="WhatsApp"/>
    <n v="47.45"/>
    <n v="65"/>
    <n v="1.3"/>
    <n v="63.7"/>
    <n v="47.45"/>
    <n v="16.25"/>
    <n v="0.25510204081632654"/>
    <n v="2025"/>
    <n v="9"/>
    <s v="2025-09"/>
    <s v="T3"/>
    <s v="30-39"/>
    <s v="moyen"/>
    <s v="Moyen"/>
    <s v="Faible"/>
  </r>
  <r>
    <s v="TX0000098"/>
    <d v="2025-03-31T00:00:00"/>
    <s v="CLI01230"/>
    <s v="PRD005"/>
    <s v="AG018"/>
    <s v="COM047"/>
    <n v="1"/>
    <n v="260"/>
    <n v="0.02"/>
    <s v="Virement"/>
    <s v="Validée"/>
    <s v="Client 01230"/>
    <s v="Lubumbashi"/>
    <s v="PME"/>
    <s v="Tablette T10"/>
    <s v="Électronique"/>
    <s v="Standard"/>
    <s v="Agence Kolwezi 3"/>
    <s v="Kolwezi"/>
    <s v="Commercial 047"/>
    <n v="26"/>
    <x v="0"/>
    <n v="50"/>
    <n v="7"/>
    <n v="3"/>
    <s v="Téléphone"/>
    <n v="189.8"/>
    <n v="260"/>
    <n v="5.2"/>
    <n v="254.8"/>
    <n v="189.8"/>
    <n v="65"/>
    <n v="0.25510204081632654"/>
    <n v="2025"/>
    <n v="3"/>
    <s v="2025-03"/>
    <s v="T1"/>
    <s v="22-29"/>
    <s v="bon"/>
    <s v="Rapide"/>
    <s v="Faible"/>
  </r>
  <r>
    <s v="TX0000101"/>
    <d v="2025-11-25T00:00:00"/>
    <s v="CLI01529"/>
    <s v="PRD013"/>
    <s v="AG016"/>
    <s v="COM020"/>
    <n v="20"/>
    <n v="110"/>
    <n v="0"/>
    <s v="Mobile Money"/>
    <s v="Validée"/>
    <s v="Client 01529"/>
    <s v="Goma"/>
    <s v="Indépendant"/>
    <s v="Disque SSD 1TB"/>
    <s v="Informatique"/>
    <s v="Premium"/>
    <s v="Agence Kisangani 3"/>
    <s v="Kisangani"/>
    <s v="Commercial 020"/>
    <n v="40"/>
    <x v="0"/>
    <n v="67"/>
    <n v="4.8"/>
    <n v="6"/>
    <s v="Téléphone"/>
    <n v="72.599999999999994"/>
    <n v="2200"/>
    <n v="0"/>
    <n v="2200"/>
    <n v="1452"/>
    <n v="748"/>
    <n v="0.34"/>
    <n v="2025"/>
    <n v="11"/>
    <s v="2025-11"/>
    <s v="T4"/>
    <s v="40-49"/>
    <s v="faible"/>
    <s v="Moyen"/>
    <s v="Elevée"/>
  </r>
  <r>
    <s v="TX0000102"/>
    <d v="2025-08-12T00:00:00"/>
    <s v="CLI00510"/>
    <s v="PRD013"/>
    <s v="AG006"/>
    <s v="COM013"/>
    <n v="10"/>
    <n v="110"/>
    <n v="0.1"/>
    <s v="Virement"/>
    <s v="Validée"/>
    <s v="Client 00510"/>
    <s v="Goma"/>
    <s v="Institution"/>
    <s v="Disque SSD 1TB"/>
    <s v="Informatique"/>
    <s v="Premium"/>
    <s v="Agence Kolwezi 1"/>
    <s v="Kolwezi"/>
    <s v="Commercial 013"/>
    <n v="59"/>
    <x v="1"/>
    <n v="6"/>
    <n v="7.5"/>
    <n v="3"/>
    <s v="Téléphone"/>
    <n v="72.599999999999994"/>
    <n v="1100"/>
    <n v="110"/>
    <n v="990"/>
    <n v="726"/>
    <n v="264"/>
    <n v="0.26666666666666666"/>
    <n v="2025"/>
    <n v="8"/>
    <s v="2025-08"/>
    <s v="T3"/>
    <s v="50+"/>
    <s v="bon"/>
    <s v="Rapide"/>
    <s v="Moyenne"/>
  </r>
  <r>
    <s v="TX0000103"/>
    <d v="2025-07-17T00:00:00"/>
    <s v="CLI02002"/>
    <s v="PRD012"/>
    <s v="AG002"/>
    <s v="COM042"/>
    <n v="6"/>
    <n v="180"/>
    <n v="0.08"/>
    <s v="Carte"/>
    <s v="Validée"/>
    <s v="Client 02002"/>
    <s v="Kisangani"/>
    <s v="Grande entreprise"/>
    <s v="Onduleur 1200VA"/>
    <s v="Énergie"/>
    <s v="Standard"/>
    <s v="Agence Lubumbashi 1"/>
    <s v="Lubumbashi"/>
    <s v="Commercial 042"/>
    <n v="37"/>
    <x v="0"/>
    <n v="8"/>
    <n v="7.6"/>
    <n v="2"/>
    <s v="Web"/>
    <n v="129.6"/>
    <n v="1080"/>
    <n v="86.4"/>
    <n v="993.6"/>
    <n v="777.59999999999991"/>
    <n v="216.00000000000011"/>
    <n v="0.21739130434782619"/>
    <n v="2025"/>
    <n v="7"/>
    <s v="2025-07"/>
    <s v="T3"/>
    <s v="30-39"/>
    <s v="bon"/>
    <s v="Rapide"/>
    <s v="Moyenne"/>
  </r>
  <r>
    <s v="TX0000106"/>
    <d v="2025-10-28T00:00:00"/>
    <s v="CLI00379"/>
    <s v="PRD013"/>
    <s v="AG013"/>
    <s v="COM046"/>
    <n v="10"/>
    <n v="110"/>
    <n v="0"/>
    <s v="Carte"/>
    <s v="Validée"/>
    <s v="Client 00379"/>
    <s v="Kisangani"/>
    <s v="ONG"/>
    <s v="Disque SSD 1TB"/>
    <s v="Informatique"/>
    <s v="Premium"/>
    <s v="Agence Kinshasa 3"/>
    <s v="Kinshasa"/>
    <s v="Commercial 046"/>
    <n v="27"/>
    <x v="1"/>
    <n v="30"/>
    <n v="4.0999999999999996"/>
    <n v="8"/>
    <s v="Web"/>
    <n v="72.599999999999994"/>
    <n v="1100"/>
    <n v="0"/>
    <n v="1100"/>
    <n v="726"/>
    <n v="374"/>
    <n v="0.34"/>
    <n v="2025"/>
    <n v="10"/>
    <s v="2025-10"/>
    <s v="T4"/>
    <s v="22-29"/>
    <s v="faible"/>
    <s v="Long"/>
    <s v="Elevée"/>
  </r>
  <r>
    <s v="TX0000107"/>
    <d v="2025-06-04T00:00:00"/>
    <s v="CLI00680"/>
    <s v="PRD014"/>
    <s v="AG009"/>
    <s v="COM045"/>
    <n v="2"/>
    <n v="65"/>
    <n v="0.05"/>
    <s v="Mobile Money"/>
    <s v="Validée"/>
    <s v="Client 00680"/>
    <s v="Kisangani"/>
    <s v="ONG"/>
    <s v="Casque Pro"/>
    <s v="Électronique"/>
    <s v="Standard"/>
    <s v="Agence Goma 2"/>
    <s v="Goma"/>
    <s v="Commercial 045"/>
    <n v="35"/>
    <x v="0"/>
    <n v="56"/>
    <n v="6.2"/>
    <n v="4"/>
    <s v="Téléphone"/>
    <n v="47.45"/>
    <n v="130"/>
    <n v="6.5"/>
    <n v="123.5"/>
    <n v="94.9"/>
    <n v="28.599999999999994"/>
    <n v="0.231578947368421"/>
    <n v="2025"/>
    <n v="6"/>
    <s v="2025-06"/>
    <s v="T2"/>
    <s v="30-39"/>
    <s v="moyen"/>
    <s v="Moyen"/>
    <s v="Faible"/>
  </r>
  <r>
    <s v="TX0000108"/>
    <d v="2025-10-21T00:00:00"/>
    <s v="CLI01686"/>
    <s v="PRD003"/>
    <s v="AG004"/>
    <s v="COM041"/>
    <n v="4"/>
    <n v="780"/>
    <n v="0"/>
    <s v="Carte"/>
    <s v="Validée"/>
    <s v="Client 01686"/>
    <s v="Kinshasa"/>
    <s v="Indépendant"/>
    <s v="Laptop Business 14"/>
    <s v="Informatique"/>
    <s v="Premium"/>
    <s v="Agence Kisangani 1"/>
    <s v="Kisangani"/>
    <s v="Commercial 041"/>
    <n v="53"/>
    <x v="0"/>
    <n v="54"/>
    <n v="3.9"/>
    <n v="8"/>
    <s v="Magasin"/>
    <n v="468"/>
    <n v="3120"/>
    <n v="0"/>
    <n v="3120"/>
    <n v="1872"/>
    <n v="1248"/>
    <n v="0.4"/>
    <n v="2025"/>
    <n v="10"/>
    <s v="2025-10"/>
    <s v="T4"/>
    <s v="50+"/>
    <s v="faible"/>
    <s v="Long"/>
    <s v="Elevée"/>
  </r>
  <r>
    <s v="TX0000109"/>
    <d v="2025-03-28T00:00:00"/>
    <s v="CLI00859"/>
    <s v="PRD013"/>
    <s v="AG010"/>
    <s v="COM001"/>
    <n v="4"/>
    <n v="110"/>
    <n v="0"/>
    <s v="Cash"/>
    <s v="Validée"/>
    <s v="Client 00859"/>
    <s v="Kisangani"/>
    <s v="ONG"/>
    <s v="Disque SSD 1TB"/>
    <s v="Informatique"/>
    <s v="Premium"/>
    <s v="Agence Kisangani 2"/>
    <s v="Kisangani"/>
    <s v="Commercial 001"/>
    <n v="56"/>
    <x v="1"/>
    <n v="8"/>
    <n v="8.8000000000000007"/>
    <n v="1"/>
    <s v="Téléphone"/>
    <n v="72.599999999999994"/>
    <n v="440"/>
    <n v="0"/>
    <n v="440"/>
    <n v="290.39999999999998"/>
    <n v="149.60000000000002"/>
    <n v="0.34"/>
    <n v="2025"/>
    <n v="3"/>
    <s v="2025-03"/>
    <s v="T1"/>
    <s v="50+"/>
    <s v="bon"/>
    <s v="Rapide"/>
    <s v="Faible"/>
  </r>
  <r>
    <s v="TX0000110"/>
    <d v="2025-08-09T00:00:00"/>
    <s v="CLI01712"/>
    <s v="PRD014"/>
    <s v="AG010"/>
    <s v="COM047"/>
    <n v="1"/>
    <n v="65"/>
    <n v="0"/>
    <s v="Carte"/>
    <s v="Validée"/>
    <s v="Client 01712"/>
    <s v="Goma"/>
    <s v="PME"/>
    <s v="Casque Pro"/>
    <s v="Électronique"/>
    <s v="Standard"/>
    <s v="Agence Kisangani 2"/>
    <s v="Kisangani"/>
    <s v="Commercial 047"/>
    <n v="33"/>
    <x v="1"/>
    <n v="41"/>
    <n v="8"/>
    <n v="1"/>
    <s v="Magasin"/>
    <n v="47.45"/>
    <n v="65"/>
    <n v="0"/>
    <n v="65"/>
    <n v="47.45"/>
    <n v="17.549999999999997"/>
    <n v="0.26999999999999996"/>
    <n v="2025"/>
    <n v="8"/>
    <s v="2025-08"/>
    <s v="T3"/>
    <s v="30-39"/>
    <s v="bon"/>
    <s v="Rapide"/>
    <s v="Faible"/>
  </r>
  <r>
    <s v="TX0000111"/>
    <d v="2025-02-26T00:00:00"/>
    <s v="CLI00812"/>
    <s v="PRD016"/>
    <s v="AG006"/>
    <s v="COM033"/>
    <n v="2"/>
    <n v="420"/>
    <n v="0.1"/>
    <s v="Carte"/>
    <s v="Validée"/>
    <s v="Client 00812"/>
    <s v="Goma"/>
    <s v="ONG"/>
    <s v="Projecteur HD"/>
    <s v="Bureautique"/>
    <s v="Premium"/>
    <s v="Agence Kolwezi 1"/>
    <s v="Kolwezi"/>
    <s v="Commercial 033"/>
    <n v="34"/>
    <x v="1"/>
    <n v="30"/>
    <n v="7.1"/>
    <n v="4"/>
    <s v="WhatsApp"/>
    <n v="273"/>
    <n v="840"/>
    <n v="84"/>
    <n v="756"/>
    <n v="546"/>
    <n v="210"/>
    <n v="0.27777777777777779"/>
    <n v="2025"/>
    <n v="2"/>
    <s v="2025-02"/>
    <s v="T1"/>
    <s v="30-39"/>
    <s v="bon"/>
    <s v="Moyen"/>
    <s v="Moyenne"/>
  </r>
  <r>
    <s v="TX0000112"/>
    <d v="2025-07-29T00:00:00"/>
    <s v="CLI00242"/>
    <s v="PRD006"/>
    <s v="AG007"/>
    <s v="COM017"/>
    <n v="2"/>
    <n v="190"/>
    <n v="0.05"/>
    <s v="Cash"/>
    <s v="Validée"/>
    <s v="Client 00242"/>
    <s v="Kisangani"/>
    <s v="Institution"/>
    <s v="Imprimante Office"/>
    <s v="Bureautique"/>
    <s v="Standard"/>
    <s v="Agence Kinshasa 2"/>
    <s v="Kinshasa"/>
    <s v="Commercial 017"/>
    <n v="59"/>
    <x v="0"/>
    <n v="65"/>
    <n v="6.1"/>
    <n v="5"/>
    <s v="Téléphone"/>
    <n v="148.19999999999999"/>
    <n v="380"/>
    <n v="19"/>
    <n v="361"/>
    <n v="296.39999999999998"/>
    <n v="64.600000000000023"/>
    <n v="0.17894736842105269"/>
    <n v="2025"/>
    <n v="7"/>
    <s v="2025-07"/>
    <s v="T3"/>
    <s v="50+"/>
    <s v="moyen"/>
    <s v="Moyen"/>
    <s v="Faible"/>
  </r>
  <r>
    <s v="TX0000113"/>
    <d v="2025-07-13T00:00:00"/>
    <s v="CLI00681"/>
    <s v="PRD003"/>
    <s v="AG010"/>
    <s v="COM006"/>
    <n v="1"/>
    <n v="780"/>
    <n v="0"/>
    <s v="Virement"/>
    <s v="Validée"/>
    <s v="Client 00681"/>
    <s v="Kisangani"/>
    <s v="Indépendant"/>
    <s v="Laptop Business 14"/>
    <s v="Informatique"/>
    <s v="Premium"/>
    <s v="Agence Kisangani 2"/>
    <s v="Kisangani"/>
    <s v="Commercial 006"/>
    <n v="31"/>
    <x v="1"/>
    <n v="18"/>
    <n v="3.8"/>
    <n v="9"/>
    <s v="Web"/>
    <n v="468"/>
    <n v="780"/>
    <n v="0"/>
    <n v="780"/>
    <n v="468"/>
    <n v="312"/>
    <n v="0.4"/>
    <n v="2025"/>
    <n v="7"/>
    <s v="2025-07"/>
    <s v="T3"/>
    <s v="30-39"/>
    <s v="faible"/>
    <s v="Long"/>
    <s v="Moyenne"/>
  </r>
  <r>
    <s v="TX0000114"/>
    <d v="2025-02-21T00:00:00"/>
    <s v="CLI00962"/>
    <s v="PRD016"/>
    <s v="AG016"/>
    <s v="COM044"/>
    <n v="1"/>
    <n v="420"/>
    <n v="0"/>
    <s v="Cash"/>
    <s v="Validée"/>
    <s v="Client 00962"/>
    <s v="Kisangani"/>
    <s v="Indépendant"/>
    <s v="Projecteur HD"/>
    <s v="Bureautique"/>
    <s v="Premium"/>
    <s v="Agence Kisangani 3"/>
    <s v="Kisangani"/>
    <s v="Commercial 044"/>
    <n v="25"/>
    <x v="1"/>
    <n v="34"/>
    <n v="4.4000000000000004"/>
    <n v="8"/>
    <s v="Magasin"/>
    <n v="273"/>
    <n v="420"/>
    <n v="0"/>
    <n v="420"/>
    <n v="273"/>
    <n v="147"/>
    <n v="0.35"/>
    <n v="2025"/>
    <n v="2"/>
    <s v="2025-02"/>
    <s v="T1"/>
    <s v="22-29"/>
    <s v="faible"/>
    <s v="Long"/>
    <s v="Faible"/>
  </r>
  <r>
    <s v="TX0000116"/>
    <d v="2025-07-09T00:00:00"/>
    <s v="CLI01939"/>
    <s v="PRD011"/>
    <s v="AG014"/>
    <s v="COM022"/>
    <n v="3"/>
    <n v="240"/>
    <n v="0"/>
    <s v="Virement"/>
    <s v="Validée"/>
    <s v="Client 01939"/>
    <s v="Lubumbashi"/>
    <s v="PME"/>
    <s v="Switch 24 Ports"/>
    <s v="Réseau"/>
    <s v="Premium"/>
    <s v="Agence Lubumbashi 3"/>
    <s v="Lubumbashi"/>
    <s v="Commercial 022"/>
    <n v="22"/>
    <x v="1"/>
    <n v="69"/>
    <n v="4.2"/>
    <n v="8"/>
    <s v="WhatsApp"/>
    <n v="177.6"/>
    <n v="720"/>
    <n v="0"/>
    <n v="720"/>
    <n v="532.79999999999995"/>
    <n v="187.20000000000005"/>
    <n v="0.26000000000000006"/>
    <n v="2025"/>
    <n v="7"/>
    <s v="2025-07"/>
    <s v="T3"/>
    <s v="22-29"/>
    <s v="faible"/>
    <s v="Long"/>
    <s v="Moyenne"/>
  </r>
  <r>
    <s v="TX0000117"/>
    <d v="2025-01-30T00:00:00"/>
    <s v="CLI01480"/>
    <s v="PRD013"/>
    <s v="AG013"/>
    <s v="COM040"/>
    <n v="10"/>
    <n v="110"/>
    <n v="0.1"/>
    <s v="Virement"/>
    <s v="Validée"/>
    <s v="Client 01480"/>
    <s v="Matadi"/>
    <s v="Institution"/>
    <s v="Disque SSD 1TB"/>
    <s v="Informatique"/>
    <s v="Premium"/>
    <s v="Agence Kinshasa 3"/>
    <s v="Kinshasa"/>
    <s v="Commercial 040"/>
    <n v="34"/>
    <x v="1"/>
    <n v="48"/>
    <n v="4.8"/>
    <n v="8"/>
    <s v="Téléphone"/>
    <n v="72.599999999999994"/>
    <n v="1100"/>
    <n v="110"/>
    <n v="990"/>
    <n v="726"/>
    <n v="264"/>
    <n v="0.26666666666666666"/>
    <n v="2025"/>
    <n v="1"/>
    <s v="2025-01"/>
    <s v="T1"/>
    <s v="30-39"/>
    <s v="faible"/>
    <s v="Long"/>
    <s v="Moyenne"/>
  </r>
  <r>
    <s v="TX0000119"/>
    <d v="2025-12-18T00:00:00"/>
    <s v="CLI01019"/>
    <s v="PRD012"/>
    <s v="AG015"/>
    <s v="COM040"/>
    <n v="3"/>
    <n v="180"/>
    <n v="0.02"/>
    <s v="Mobile Money"/>
    <s v="Validée"/>
    <s v="Client 01019"/>
    <s v="Kolwezi"/>
    <s v="Indépendant"/>
    <s v="Onduleur 1200VA"/>
    <s v="Énergie"/>
    <s v="Standard"/>
    <s v="Agence Goma 3"/>
    <s v="Goma"/>
    <s v="Commercial 040"/>
    <n v="39"/>
    <x v="1"/>
    <n v="51"/>
    <n v="6.9"/>
    <n v="4"/>
    <s v="WhatsApp"/>
    <n v="129.6"/>
    <n v="540"/>
    <n v="10.8"/>
    <n v="529.20000000000005"/>
    <n v="388.79999999999995"/>
    <n v="140.40000000000009"/>
    <n v="0.26530612244897972"/>
    <n v="2025"/>
    <n v="12"/>
    <s v="2025-12"/>
    <s v="T4"/>
    <s v="30-39"/>
    <s v="moyen"/>
    <s v="Moyen"/>
    <s v="Moyenne"/>
  </r>
  <r>
    <s v="TX0000120"/>
    <d v="2025-07-04T00:00:00"/>
    <s v="CLI00013"/>
    <s v="PRD011"/>
    <s v="AG001"/>
    <s v="COM041"/>
    <n v="5"/>
    <n v="240"/>
    <n v="0.1"/>
    <s v="Virement"/>
    <s v="Validée"/>
    <s v="Client 00013"/>
    <s v="Kolwezi"/>
    <s v="Institution"/>
    <s v="Switch 24 Ports"/>
    <s v="Réseau"/>
    <s v="Premium"/>
    <s v="Agence Kinshasa 1"/>
    <s v="Kinshasa"/>
    <s v="Commercial 041"/>
    <n v="43"/>
    <x v="1"/>
    <n v="61"/>
    <n v="5.4"/>
    <n v="5"/>
    <s v="Magasin"/>
    <n v="177.6"/>
    <n v="1200"/>
    <n v="120"/>
    <n v="1080"/>
    <n v="888"/>
    <n v="192"/>
    <n v="0.17777777777777778"/>
    <n v="2025"/>
    <n v="7"/>
    <s v="2025-07"/>
    <s v="T3"/>
    <s v="40-49"/>
    <s v="moyen"/>
    <s v="Moyen"/>
    <s v="Elevée"/>
  </r>
  <r>
    <s v="TX0000122"/>
    <d v="2025-11-07T00:00:00"/>
    <s v="CLI01951"/>
    <s v="PRD004"/>
    <s v="AG013"/>
    <s v="COM019"/>
    <n v="1"/>
    <n v="520"/>
    <n v="0"/>
    <s v="Cash"/>
    <s v="Validée"/>
    <s v="Client 01951"/>
    <s v="Lubumbashi"/>
    <s v="PME"/>
    <s v="Laptop Essential 15"/>
    <s v="Informatique"/>
    <s v="Standard"/>
    <s v="Agence Kinshasa 3"/>
    <s v="Kinshasa"/>
    <s v="Commercial 019"/>
    <n v="54"/>
    <x v="0"/>
    <n v="16"/>
    <n v="7.2"/>
    <n v="3"/>
    <s v="Web"/>
    <n v="348.4"/>
    <n v="520"/>
    <n v="0"/>
    <n v="520"/>
    <n v="348.4"/>
    <n v="171.60000000000002"/>
    <n v="0.33000000000000007"/>
    <n v="2025"/>
    <n v="11"/>
    <s v="2025-11"/>
    <s v="T4"/>
    <s v="50+"/>
    <s v="bon"/>
    <s v="Rapide"/>
    <s v="Moyenne"/>
  </r>
  <r>
    <s v="TX0000123"/>
    <d v="2025-08-28T00:00:00"/>
    <s v="CLI00357"/>
    <s v="PRD010"/>
    <s v="AG018"/>
    <s v="COM056"/>
    <n v="1"/>
    <n v="95"/>
    <n v="0.02"/>
    <s v="Cash"/>
    <s v="Validée"/>
    <s v="Client 00357"/>
    <s v="Kinshasa"/>
    <s v="PME"/>
    <s v="Routeur Business"/>
    <s v="Réseau"/>
    <s v="Standard"/>
    <s v="Agence Kolwezi 3"/>
    <s v="Kolwezi"/>
    <s v="Commercial 056"/>
    <n v="23"/>
    <x v="1"/>
    <n v="49"/>
    <n v="7.6"/>
    <n v="2"/>
    <s v="Web"/>
    <n v="70.3"/>
    <n v="95"/>
    <n v="1.9000000000000001"/>
    <n v="93.1"/>
    <n v="70.3"/>
    <n v="22.799999999999997"/>
    <n v="0.24489795918367346"/>
    <n v="2025"/>
    <n v="8"/>
    <s v="2025-08"/>
    <s v="T3"/>
    <s v="22-29"/>
    <s v="bon"/>
    <s v="Rapide"/>
    <s v="Faible"/>
  </r>
  <r>
    <s v="TX0000125"/>
    <d v="2025-07-16T00:00:00"/>
    <s v="CLI00120"/>
    <s v="PRD006"/>
    <s v="AG011"/>
    <s v="COM058"/>
    <n v="4"/>
    <n v="190"/>
    <n v="0"/>
    <s v="Virement"/>
    <s v="Validée"/>
    <s v="Client 00120"/>
    <s v="Goma"/>
    <s v="Grande entreprise"/>
    <s v="Imprimante Office"/>
    <s v="Bureautique"/>
    <s v="Standard"/>
    <s v="Agence Matadi 2"/>
    <s v="Matadi"/>
    <s v="Commercial 058"/>
    <n v="34"/>
    <x v="1"/>
    <n v="4"/>
    <n v="6.8"/>
    <n v="5"/>
    <s v="Magasin"/>
    <n v="148.19999999999999"/>
    <n v="760"/>
    <n v="0"/>
    <n v="760"/>
    <n v="592.79999999999995"/>
    <n v="167.20000000000005"/>
    <n v="0.22000000000000006"/>
    <n v="2025"/>
    <n v="7"/>
    <s v="2025-07"/>
    <s v="T3"/>
    <s v="30-39"/>
    <s v="moyen"/>
    <s v="Moyen"/>
    <s v="Moyenne"/>
  </r>
  <r>
    <s v="TX0000126"/>
    <d v="2025-09-09T00:00:00"/>
    <s v="CLI00505"/>
    <s v="PRD005"/>
    <s v="AG018"/>
    <s v="COM041"/>
    <n v="1"/>
    <n v="260"/>
    <n v="0.08"/>
    <s v="Virement"/>
    <s v="Validée"/>
    <s v="Client 00505"/>
    <s v="Kisangani"/>
    <s v="Grande entreprise"/>
    <s v="Tablette T10"/>
    <s v="Électronique"/>
    <s v="Standard"/>
    <s v="Agence Kolwezi 3"/>
    <s v="Kolwezi"/>
    <s v="Commercial 041"/>
    <n v="46"/>
    <x v="1"/>
    <n v="54"/>
    <n v="6.3"/>
    <n v="5"/>
    <s v="WhatsApp"/>
    <n v="189.8"/>
    <n v="260"/>
    <n v="20.8"/>
    <n v="239.2"/>
    <n v="189.8"/>
    <n v="49.399999999999977"/>
    <n v="0.2065217391304347"/>
    <n v="2025"/>
    <n v="9"/>
    <s v="2025-09"/>
    <s v="T3"/>
    <s v="40-49"/>
    <s v="moyen"/>
    <s v="Moyen"/>
    <s v="Faible"/>
  </r>
  <r>
    <s v="TX0000127"/>
    <d v="2025-07-15T00:00:00"/>
    <s v="CLI00265"/>
    <s v="PRD011"/>
    <s v="AG013"/>
    <s v="COM059"/>
    <n v="3"/>
    <n v="240"/>
    <n v="0.1"/>
    <s v="Mobile Money"/>
    <s v="Validée"/>
    <s v="Client 00265"/>
    <s v="Goma"/>
    <s v="ONG"/>
    <s v="Switch 24 Ports"/>
    <s v="Réseau"/>
    <s v="Premium"/>
    <s v="Agence Kinshasa 3"/>
    <s v="Kinshasa"/>
    <s v="Commercial 059"/>
    <n v="23"/>
    <x v="0"/>
    <n v="55"/>
    <n v="3.8"/>
    <n v="9"/>
    <s v="Téléphone"/>
    <n v="177.6"/>
    <n v="720"/>
    <n v="72"/>
    <n v="648"/>
    <n v="532.79999999999995"/>
    <n v="115.20000000000005"/>
    <n v="0.17777777777777784"/>
    <n v="2025"/>
    <n v="7"/>
    <s v="2025-07"/>
    <s v="T3"/>
    <s v="22-29"/>
    <s v="faible"/>
    <s v="Long"/>
    <s v="Moyenne"/>
  </r>
  <r>
    <s v="TX0000128"/>
    <d v="2025-02-14T00:00:00"/>
    <s v="CLI00916"/>
    <s v="PRD009"/>
    <s v="AG004"/>
    <s v="COM019"/>
    <n v="1"/>
    <n v="22"/>
    <n v="0"/>
    <s v="Carte"/>
    <s v="Validée"/>
    <s v="Client 00916"/>
    <s v="Lubumbashi"/>
    <s v="ONG"/>
    <s v="Souris Wireless"/>
    <s v="Informatique"/>
    <s v="Entrée de gamme"/>
    <s v="Agence Kisangani 1"/>
    <s v="Kisangani"/>
    <s v="Commercial 019"/>
    <n v="25"/>
    <x v="0"/>
    <n v="38"/>
    <n v="7.2"/>
    <n v="2"/>
    <s v="Web"/>
    <n v="14.96"/>
    <n v="22"/>
    <n v="0"/>
    <n v="22"/>
    <n v="14.96"/>
    <n v="7.0399999999999991"/>
    <n v="0.31999999999999995"/>
    <n v="2025"/>
    <n v="2"/>
    <s v="2025-02"/>
    <s v="T1"/>
    <s v="22-29"/>
    <s v="bon"/>
    <s v="Rapide"/>
    <s v="Faible"/>
  </r>
  <r>
    <s v="TX0000129"/>
    <d v="2025-06-10T00:00:00"/>
    <s v="CLI00476"/>
    <s v="PRD012"/>
    <s v="AG005"/>
    <s v="COM055"/>
    <n v="10"/>
    <n v="180"/>
    <n v="0.05"/>
    <s v="Cash"/>
    <s v="Validée"/>
    <s v="Client 00476"/>
    <s v="Matadi"/>
    <s v="Institution"/>
    <s v="Onduleur 1200VA"/>
    <s v="Énergie"/>
    <s v="Standard"/>
    <s v="Agence Matadi 1"/>
    <s v="Matadi"/>
    <s v="Commercial 055"/>
    <n v="49"/>
    <x v="1"/>
    <n v="33"/>
    <n v="3.1"/>
    <n v="9"/>
    <s v="WhatsApp"/>
    <n v="129.6"/>
    <n v="1800"/>
    <n v="90"/>
    <n v="1710"/>
    <n v="1296"/>
    <n v="414"/>
    <n v="0.24210526315789474"/>
    <n v="2025"/>
    <n v="6"/>
    <s v="2025-06"/>
    <s v="T2"/>
    <s v="40-49"/>
    <s v="faible"/>
    <s v="Long"/>
    <s v="Elevée"/>
  </r>
  <r>
    <s v="TX0000130"/>
    <d v="2025-06-13T00:00:00"/>
    <s v="CLI02194"/>
    <s v="PRD007"/>
    <s v="AG013"/>
    <s v="COM028"/>
    <n v="4"/>
    <n v="145"/>
    <n v="0.1"/>
    <s v="Carte"/>
    <s v="Validée"/>
    <s v="Client 02194"/>
    <s v="Goma"/>
    <s v="ONG"/>
    <s v="Écran 24 pouces"/>
    <s v="Informatique"/>
    <s v="Standard"/>
    <s v="Agence Kinshasa 3"/>
    <s v="Kinshasa"/>
    <s v="Commercial 028"/>
    <n v="40"/>
    <x v="1"/>
    <n v="58"/>
    <n v="4.3"/>
    <n v="9"/>
    <s v="Web"/>
    <n v="97.15"/>
    <n v="580"/>
    <n v="58"/>
    <n v="522"/>
    <n v="388.6"/>
    <n v="133.39999999999998"/>
    <n v="0.25555555555555554"/>
    <n v="2025"/>
    <n v="6"/>
    <s v="2025-06"/>
    <s v="T2"/>
    <s v="40-49"/>
    <s v="faible"/>
    <s v="Long"/>
    <s v="Moyenne"/>
  </r>
  <r>
    <s v="TX0000131"/>
    <d v="2025-10-03T00:00:00"/>
    <s v="CLI00910"/>
    <s v="PRD004"/>
    <s v="AG013"/>
    <s v="COM001"/>
    <n v="5"/>
    <n v="520"/>
    <n v="0"/>
    <s v="Carte"/>
    <s v="Validée"/>
    <s v="Client 00910"/>
    <s v="Kolwezi"/>
    <s v="Institution"/>
    <s v="Laptop Essential 15"/>
    <s v="Informatique"/>
    <s v="Standard"/>
    <s v="Agence Kinshasa 3"/>
    <s v="Kinshasa"/>
    <s v="Commercial 001"/>
    <n v="25"/>
    <x v="0"/>
    <n v="57"/>
    <n v="4.0999999999999996"/>
    <n v="8"/>
    <s v="Téléphone"/>
    <n v="348.4"/>
    <n v="2600"/>
    <n v="0"/>
    <n v="2600"/>
    <n v="1742"/>
    <n v="858"/>
    <n v="0.33"/>
    <n v="2025"/>
    <n v="10"/>
    <s v="2025-10"/>
    <s v="T4"/>
    <s v="22-29"/>
    <s v="faible"/>
    <s v="Long"/>
    <s v="Elevée"/>
  </r>
  <r>
    <s v="TX0000132"/>
    <d v="2025-08-22T00:00:00"/>
    <s v="CLI01216"/>
    <s v="PRD008"/>
    <s v="AG016"/>
    <s v="COM044"/>
    <n v="1"/>
    <n v="35"/>
    <n v="0"/>
    <s v="Carte"/>
    <s v="Validée"/>
    <s v="Client 01216"/>
    <s v="Matadi"/>
    <s v="Grande entreprise"/>
    <s v="Clavier Pro"/>
    <s v="Informatique"/>
    <s v="Entrée de gamme"/>
    <s v="Agence Kisangani 3"/>
    <s v="Kisangani"/>
    <s v="Commercial 044"/>
    <n v="55"/>
    <x v="0"/>
    <n v="52"/>
    <n v="5.3"/>
    <n v="6"/>
    <s v="Téléphone"/>
    <n v="24.15"/>
    <n v="35"/>
    <n v="0"/>
    <n v="35"/>
    <n v="24.15"/>
    <n v="10.850000000000001"/>
    <n v="0.31000000000000005"/>
    <n v="2025"/>
    <n v="8"/>
    <s v="2025-08"/>
    <s v="T3"/>
    <s v="50+"/>
    <s v="moyen"/>
    <s v="Moyen"/>
    <s v="Faible"/>
  </r>
  <r>
    <s v="TX0000133"/>
    <d v="2025-12-19T00:00:00"/>
    <s v="CLI00141"/>
    <s v="PRD011"/>
    <s v="AG010"/>
    <s v="COM033"/>
    <n v="1"/>
    <n v="240"/>
    <n v="0.1"/>
    <s v="Mobile Money"/>
    <s v="Validée"/>
    <s v="Client 00141"/>
    <s v="Kolwezi"/>
    <s v="Grande entreprise"/>
    <s v="Switch 24 Ports"/>
    <s v="Réseau"/>
    <s v="Premium"/>
    <s v="Agence Kisangani 2"/>
    <s v="Kisangani"/>
    <s v="Commercial 033"/>
    <n v="41"/>
    <x v="1"/>
    <n v="41"/>
    <n v="8"/>
    <n v="2"/>
    <s v="Magasin"/>
    <n v="177.6"/>
    <n v="240"/>
    <n v="24"/>
    <n v="216"/>
    <n v="177.6"/>
    <n v="38.400000000000006"/>
    <n v="0.17777777777777781"/>
    <n v="2025"/>
    <n v="12"/>
    <s v="2025-12"/>
    <s v="T4"/>
    <s v="40-49"/>
    <s v="bon"/>
    <s v="Rapide"/>
    <s v="Faible"/>
  </r>
  <r>
    <s v="TX0000134"/>
    <d v="2025-07-12T00:00:00"/>
    <s v="CLI00884"/>
    <s v="PRD016"/>
    <s v="AG010"/>
    <s v="COM046"/>
    <n v="1"/>
    <n v="420"/>
    <n v="0.1"/>
    <s v="Virement"/>
    <s v="Validée"/>
    <s v="Client 00884"/>
    <s v="Kisangani"/>
    <s v="PME"/>
    <s v="Projecteur HD"/>
    <s v="Bureautique"/>
    <s v="Premium"/>
    <s v="Agence Kisangani 2"/>
    <s v="Kisangani"/>
    <s v="Commercial 046"/>
    <n v="46"/>
    <x v="1"/>
    <n v="52"/>
    <n v="7.7"/>
    <n v="3"/>
    <s v="WhatsApp"/>
    <n v="273"/>
    <n v="420"/>
    <n v="42"/>
    <n v="378"/>
    <n v="273"/>
    <n v="105"/>
    <n v="0.27777777777777779"/>
    <n v="2025"/>
    <n v="7"/>
    <s v="2025-07"/>
    <s v="T3"/>
    <s v="40-49"/>
    <s v="bon"/>
    <s v="Rapide"/>
    <s v="Faible"/>
  </r>
  <r>
    <s v="TX0000135"/>
    <d v="2025-04-02T00:00:00"/>
    <s v="CLI00863"/>
    <s v="PRD008"/>
    <s v="AG002"/>
    <s v="COM060"/>
    <n v="5"/>
    <n v="35"/>
    <n v="0.08"/>
    <s v="Mobile Money"/>
    <s v="Validée"/>
    <s v="Client 00863"/>
    <s v="Matadi"/>
    <s v="ONG"/>
    <s v="Clavier Pro"/>
    <s v="Informatique"/>
    <s v="Entrée de gamme"/>
    <s v="Agence Lubumbashi 1"/>
    <s v="Lubumbashi"/>
    <s v="Commercial 060"/>
    <n v="28"/>
    <x v="0"/>
    <n v="6"/>
    <n v="7.2"/>
    <n v="3"/>
    <s v="Téléphone"/>
    <n v="24.15"/>
    <n v="175"/>
    <n v="14"/>
    <n v="161"/>
    <n v="120.75"/>
    <n v="40.25"/>
    <n v="0.25"/>
    <n v="2025"/>
    <n v="4"/>
    <s v="2025-04"/>
    <s v="T2"/>
    <s v="22-29"/>
    <s v="bon"/>
    <s v="Rapide"/>
    <s v="Faible"/>
  </r>
  <r>
    <s v="TX0000136"/>
    <d v="2025-06-22T00:00:00"/>
    <s v="CLI00653"/>
    <s v="PRD001"/>
    <s v="AG018"/>
    <s v="COM026"/>
    <n v="2"/>
    <n v="120"/>
    <n v="0.02"/>
    <s v="Virement"/>
    <s v="Validée"/>
    <s v="Client 00653"/>
    <s v="Kinshasa"/>
    <s v="Grande entreprise"/>
    <s v="Smartphone A1"/>
    <s v="Électronique"/>
    <s v="Entrée de gamme"/>
    <s v="Agence Kolwezi 3"/>
    <s v="Kolwezi"/>
    <s v="Commercial 026"/>
    <n v="32"/>
    <x v="1"/>
    <n v="72"/>
    <n v="7.3"/>
    <n v="3"/>
    <s v="Magasin"/>
    <n v="73.2"/>
    <n v="240"/>
    <n v="4.8"/>
    <n v="235.2"/>
    <n v="146.4"/>
    <n v="88.799999999999983"/>
    <n v="0.37755102040816318"/>
    <n v="2025"/>
    <n v="6"/>
    <s v="2025-06"/>
    <s v="T2"/>
    <s v="30-39"/>
    <s v="bon"/>
    <s v="Rapide"/>
    <s v="Faible"/>
  </r>
  <r>
    <s v="TX0000137"/>
    <d v="2025-05-25T00:00:00"/>
    <s v="CLI01602"/>
    <s v="PRD003"/>
    <s v="AG017"/>
    <s v="COM047"/>
    <n v="2"/>
    <n v="780"/>
    <n v="0"/>
    <s v="Mobile Money"/>
    <s v="Validée"/>
    <s v="Client 01602"/>
    <s v="Goma"/>
    <s v="Institution"/>
    <s v="Laptop Business 14"/>
    <s v="Informatique"/>
    <s v="Premium"/>
    <s v="Agence Matadi 3"/>
    <s v="Matadi"/>
    <s v="Commercial 047"/>
    <n v="60"/>
    <x v="0"/>
    <n v="42"/>
    <n v="5.7"/>
    <n v="6"/>
    <s v="Téléphone"/>
    <n v="468"/>
    <n v="1560"/>
    <n v="0"/>
    <n v="1560"/>
    <n v="936"/>
    <n v="624"/>
    <n v="0.4"/>
    <n v="2025"/>
    <n v="5"/>
    <s v="2025-05"/>
    <s v="T2"/>
    <s v="50+"/>
    <s v="moyen"/>
    <s v="Moyen"/>
    <s v="Elevée"/>
  </r>
  <r>
    <s v="TX0000138"/>
    <d v="2025-12-02T00:00:00"/>
    <s v="CLI01325"/>
    <s v="PRD002"/>
    <s v="AG010"/>
    <s v="COM030"/>
    <n v="1"/>
    <n v="350"/>
    <n v="0"/>
    <s v="Mobile Money"/>
    <s v="Validée"/>
    <s v="Client 01325"/>
    <s v="Kinshasa"/>
    <s v="ONG"/>
    <s v="Smartphone Pro X"/>
    <s v="Électronique"/>
    <s v="Premium"/>
    <s v="Agence Kisangani 2"/>
    <s v="Kisangani"/>
    <s v="Commercial 030"/>
    <n v="44"/>
    <x v="1"/>
    <n v="62"/>
    <n v="6"/>
    <n v="4"/>
    <s v="Magasin"/>
    <n v="213.5"/>
    <n v="350"/>
    <n v="0"/>
    <n v="350"/>
    <n v="213.5"/>
    <n v="136.5"/>
    <n v="0.39"/>
    <n v="2025"/>
    <n v="12"/>
    <s v="2025-12"/>
    <s v="T4"/>
    <s v="40-49"/>
    <s v="moyen"/>
    <s v="Moyen"/>
    <s v="Faible"/>
  </r>
  <r>
    <s v="TX0000139"/>
    <d v="2025-04-11T00:00:00"/>
    <s v="CLI01193"/>
    <s v="PRD005"/>
    <s v="AG007"/>
    <s v="COM014"/>
    <n v="4"/>
    <n v="260"/>
    <n v="0"/>
    <s v="Virement"/>
    <s v="Validée"/>
    <s v="Client 01193"/>
    <s v="Lubumbashi"/>
    <s v="PME"/>
    <s v="Tablette T10"/>
    <s v="Électronique"/>
    <s v="Standard"/>
    <s v="Agence Kinshasa 2"/>
    <s v="Kinshasa"/>
    <s v="Commercial 014"/>
    <n v="34"/>
    <x v="0"/>
    <n v="56"/>
    <n v="8"/>
    <n v="2"/>
    <s v="WhatsApp"/>
    <n v="189.8"/>
    <n v="1040"/>
    <n v="0"/>
    <n v="1040"/>
    <n v="759.2"/>
    <n v="280.79999999999995"/>
    <n v="0.26999999999999996"/>
    <n v="2025"/>
    <n v="4"/>
    <s v="2025-04"/>
    <s v="T2"/>
    <s v="30-39"/>
    <s v="bon"/>
    <s v="Rapide"/>
    <s v="Elevée"/>
  </r>
  <r>
    <s v="TX0000140"/>
    <d v="2025-12-14T00:00:00"/>
    <s v="CLI00418"/>
    <s v="PRD005"/>
    <s v="AG013"/>
    <s v="COM028"/>
    <n v="5"/>
    <n v="260"/>
    <n v="0"/>
    <s v="Cash"/>
    <s v="Validée"/>
    <s v="Client 00418"/>
    <s v="Goma"/>
    <s v="Indépendant"/>
    <s v="Tablette T10"/>
    <s v="Électronique"/>
    <s v="Standard"/>
    <s v="Agence Kinshasa 3"/>
    <s v="Kinshasa"/>
    <s v="Commercial 028"/>
    <n v="41"/>
    <x v="0"/>
    <n v="70"/>
    <n v="6.2"/>
    <n v="4"/>
    <s v="Web"/>
    <n v="189.8"/>
    <n v="1300"/>
    <n v="0"/>
    <n v="1300"/>
    <n v="949"/>
    <n v="351"/>
    <n v="0.27"/>
    <n v="2025"/>
    <n v="12"/>
    <s v="2025-12"/>
    <s v="T4"/>
    <s v="40-49"/>
    <s v="moyen"/>
    <s v="Moyen"/>
    <s v="Elevée"/>
  </r>
  <r>
    <s v="TX0000142"/>
    <d v="2025-05-04T00:00:00"/>
    <s v="CLI01655"/>
    <s v="PRD008"/>
    <s v="AG002"/>
    <s v="COM008"/>
    <n v="2"/>
    <n v="35"/>
    <n v="0"/>
    <s v="Carte"/>
    <s v="Validée"/>
    <s v="Client 01655"/>
    <s v="Kinshasa"/>
    <s v="Grande entreprise"/>
    <s v="Clavier Pro"/>
    <s v="Informatique"/>
    <s v="Entrée de gamme"/>
    <s v="Agence Lubumbashi 1"/>
    <s v="Lubumbashi"/>
    <s v="Commercial 008"/>
    <n v="33"/>
    <x v="0"/>
    <n v="19"/>
    <n v="8.3000000000000007"/>
    <n v="2"/>
    <s v="Magasin"/>
    <n v="24.15"/>
    <n v="70"/>
    <n v="0"/>
    <n v="70"/>
    <n v="48.3"/>
    <n v="21.700000000000003"/>
    <n v="0.31000000000000005"/>
    <n v="2025"/>
    <n v="5"/>
    <s v="2025-05"/>
    <s v="T2"/>
    <s v="30-39"/>
    <s v="bon"/>
    <s v="Rapide"/>
    <s v="Faible"/>
  </r>
  <r>
    <s v="TX0000143"/>
    <d v="2025-11-29T00:00:00"/>
    <s v="CLI01538"/>
    <s v="PRD003"/>
    <s v="AG015"/>
    <s v="COM056"/>
    <n v="2"/>
    <n v="780"/>
    <n v="0.08"/>
    <s v="Mobile Money"/>
    <s v="Validée"/>
    <s v="Client 01538"/>
    <s v="Matadi"/>
    <s v="Grande entreprise"/>
    <s v="Laptop Business 14"/>
    <s v="Informatique"/>
    <s v="Premium"/>
    <s v="Agence Goma 3"/>
    <s v="Goma"/>
    <s v="Commercial 056"/>
    <n v="48"/>
    <x v="0"/>
    <n v="44"/>
    <n v="8.1999999999999993"/>
    <n v="1"/>
    <s v="Téléphone"/>
    <n v="468"/>
    <n v="1560"/>
    <n v="124.8"/>
    <n v="1435.2"/>
    <n v="936"/>
    <n v="499.20000000000005"/>
    <n v="0.34782608695652178"/>
    <n v="2025"/>
    <n v="11"/>
    <s v="2025-11"/>
    <s v="T4"/>
    <s v="40-49"/>
    <s v="bon"/>
    <s v="Rapide"/>
    <s v="Elevée"/>
  </r>
  <r>
    <s v="TX0000144"/>
    <d v="2025-09-08T00:00:00"/>
    <s v="CLI00492"/>
    <s v="PRD004"/>
    <s v="AG003"/>
    <s v="COM008"/>
    <n v="3"/>
    <n v="520"/>
    <n v="0.05"/>
    <s v="Carte"/>
    <s v="Validée"/>
    <s v="Client 00492"/>
    <s v="Goma"/>
    <s v="Grande entreprise"/>
    <s v="Laptop Essential 15"/>
    <s v="Informatique"/>
    <s v="Standard"/>
    <s v="Agence Goma 1"/>
    <s v="Goma"/>
    <s v="Commercial 008"/>
    <n v="51"/>
    <x v="0"/>
    <n v="69"/>
    <n v="7"/>
    <n v="3"/>
    <s v="Web"/>
    <n v="348.4"/>
    <n v="1560"/>
    <n v="78"/>
    <n v="1482"/>
    <n v="1045.1999999999998"/>
    <n v="436.80000000000018"/>
    <n v="0.2947368421052633"/>
    <n v="2025"/>
    <n v="9"/>
    <s v="2025-09"/>
    <s v="T3"/>
    <s v="50+"/>
    <s v="bon"/>
    <s v="Rapide"/>
    <s v="Elevée"/>
  </r>
  <r>
    <s v="TX0000145"/>
    <d v="2025-10-31T00:00:00"/>
    <s v="CLI01965"/>
    <s v="PRD009"/>
    <s v="AG004"/>
    <s v="COM051"/>
    <n v="1"/>
    <n v="22"/>
    <n v="0.02"/>
    <s v="Mobile Money"/>
    <s v="Validée"/>
    <s v="Client 01965"/>
    <s v="Kolwezi"/>
    <s v="PME"/>
    <s v="Souris Wireless"/>
    <s v="Informatique"/>
    <s v="Entrée de gamme"/>
    <s v="Agence Kisangani 1"/>
    <s v="Kisangani"/>
    <s v="Commercial 051"/>
    <n v="22"/>
    <x v="1"/>
    <n v="20"/>
    <n v="4"/>
    <n v="9"/>
    <s v="Téléphone"/>
    <n v="14.96"/>
    <n v="22"/>
    <n v="0.44"/>
    <n v="21.56"/>
    <n v="14.96"/>
    <n v="6.5999999999999979"/>
    <n v="0.30612244897959173"/>
    <n v="2025"/>
    <n v="10"/>
    <s v="2025-10"/>
    <s v="T4"/>
    <s v="22-29"/>
    <s v="faible"/>
    <s v="Long"/>
    <s v="Faible"/>
  </r>
  <r>
    <s v="TX0000146"/>
    <d v="2025-10-03T00:00:00"/>
    <s v="CLI00513"/>
    <s v="PRD004"/>
    <s v="AG011"/>
    <s v="COM005"/>
    <n v="1"/>
    <n v="520"/>
    <n v="0.1"/>
    <s v="Cash"/>
    <s v="Validée"/>
    <s v="Client 00513"/>
    <s v="Kisangani"/>
    <s v="Institution"/>
    <s v="Laptop Essential 15"/>
    <s v="Informatique"/>
    <s v="Standard"/>
    <s v="Agence Matadi 2"/>
    <s v="Matadi"/>
    <s v="Commercial 005"/>
    <n v="38"/>
    <x v="0"/>
    <n v="26"/>
    <n v="8.1"/>
    <n v="2"/>
    <s v="Magasin"/>
    <n v="348.4"/>
    <n v="520"/>
    <n v="52"/>
    <n v="468"/>
    <n v="348.4"/>
    <n v="119.60000000000002"/>
    <n v="0.25555555555555559"/>
    <n v="2025"/>
    <n v="10"/>
    <s v="2025-10"/>
    <s v="T4"/>
    <s v="30-39"/>
    <s v="bon"/>
    <s v="Rapide"/>
    <s v="Faible"/>
  </r>
  <r>
    <s v="TX0000147"/>
    <d v="2025-10-27T00:00:00"/>
    <s v="CLI02198"/>
    <s v="PRD016"/>
    <s v="AG003"/>
    <s v="COM034"/>
    <n v="3"/>
    <n v="420"/>
    <n v="0.1"/>
    <s v="Cash"/>
    <s v="Validée"/>
    <s v="Client 02198"/>
    <s v="Kisangani"/>
    <s v="Institution"/>
    <s v="Projecteur HD"/>
    <s v="Bureautique"/>
    <s v="Premium"/>
    <s v="Agence Goma 1"/>
    <s v="Goma"/>
    <s v="Commercial 034"/>
    <n v="27"/>
    <x v="0"/>
    <n v="52"/>
    <n v="4.0999999999999996"/>
    <n v="7"/>
    <s v="Magasin"/>
    <n v="273"/>
    <n v="1260"/>
    <n v="126"/>
    <n v="1134"/>
    <n v="819"/>
    <n v="315"/>
    <n v="0.27777777777777779"/>
    <n v="2025"/>
    <n v="10"/>
    <s v="2025-10"/>
    <s v="T4"/>
    <s v="22-29"/>
    <s v="faible"/>
    <s v="Long"/>
    <s v="Elevée"/>
  </r>
  <r>
    <s v="TX0000148"/>
    <d v="2025-11-03T00:00:00"/>
    <s v="CLI00850"/>
    <s v="PRD004"/>
    <s v="AG006"/>
    <s v="COM056"/>
    <n v="3"/>
    <n v="520"/>
    <n v="0"/>
    <s v="Mobile Money"/>
    <s v="Validée"/>
    <s v="Client 00850"/>
    <s v="Goma"/>
    <s v="PME"/>
    <s v="Laptop Essential 15"/>
    <s v="Informatique"/>
    <s v="Standard"/>
    <s v="Agence Kolwezi 1"/>
    <s v="Kolwezi"/>
    <s v="Commercial 056"/>
    <n v="50"/>
    <x v="0"/>
    <n v="61"/>
    <n v="3.8"/>
    <n v="9"/>
    <s v="Magasin"/>
    <n v="348.4"/>
    <n v="1560"/>
    <n v="0"/>
    <n v="1560"/>
    <n v="1045.1999999999998"/>
    <n v="514.80000000000018"/>
    <n v="0.33000000000000013"/>
    <n v="2025"/>
    <n v="11"/>
    <s v="2025-11"/>
    <s v="T4"/>
    <s v="50+"/>
    <s v="faible"/>
    <s v="Long"/>
    <s v="Elevée"/>
  </r>
  <r>
    <s v="TX0000149"/>
    <d v="2025-04-16T00:00:00"/>
    <s v="CLI00504"/>
    <s v="PRD002"/>
    <s v="AG005"/>
    <s v="COM037"/>
    <n v="3"/>
    <n v="350"/>
    <n v="0"/>
    <s v="Virement"/>
    <s v="Validée"/>
    <s v="Client 00504"/>
    <s v="Kolwezi"/>
    <s v="ONG"/>
    <s v="Smartphone Pro X"/>
    <s v="Électronique"/>
    <s v="Premium"/>
    <s v="Agence Matadi 1"/>
    <s v="Matadi"/>
    <s v="Commercial 037"/>
    <n v="49"/>
    <x v="1"/>
    <n v="3"/>
    <n v="8"/>
    <n v="2"/>
    <s v="WhatsApp"/>
    <n v="213.5"/>
    <n v="1050"/>
    <n v="0"/>
    <n v="1050"/>
    <n v="640.5"/>
    <n v="409.5"/>
    <n v="0.39"/>
    <n v="2025"/>
    <n v="4"/>
    <s v="2025-04"/>
    <s v="T2"/>
    <s v="40-49"/>
    <s v="bon"/>
    <s v="Rapide"/>
    <s v="Elevée"/>
  </r>
  <r>
    <s v="TX0000150"/>
    <d v="2025-06-02T00:00:00"/>
    <s v="CLI00144"/>
    <s v="PRD003"/>
    <s v="AG004"/>
    <s v="COM033"/>
    <n v="2"/>
    <n v="780"/>
    <n v="0.05"/>
    <s v="Carte"/>
    <s v="Validée"/>
    <s v="Client 00144"/>
    <s v="Kisangani"/>
    <s v="Institution"/>
    <s v="Laptop Business 14"/>
    <s v="Informatique"/>
    <s v="Premium"/>
    <s v="Agence Kisangani 1"/>
    <s v="Kisangani"/>
    <s v="Commercial 033"/>
    <n v="55"/>
    <x v="0"/>
    <n v="30"/>
    <n v="6.8"/>
    <n v="3"/>
    <s v="Magasin"/>
    <n v="468"/>
    <n v="1560"/>
    <n v="78"/>
    <n v="1482"/>
    <n v="936"/>
    <n v="546"/>
    <n v="0.36842105263157893"/>
    <n v="2025"/>
    <n v="6"/>
    <s v="2025-06"/>
    <s v="T2"/>
    <s v="50+"/>
    <s v="moyen"/>
    <s v="Rapide"/>
    <s v="Elevée"/>
  </r>
  <r>
    <s v="TX0000151"/>
    <d v="2025-09-23T00:00:00"/>
    <s v="CLI00001"/>
    <s v="PRD008"/>
    <s v="AG010"/>
    <s v="COM003"/>
    <n v="6"/>
    <n v="35"/>
    <n v="0"/>
    <s v="Mobile Money"/>
    <s v="Validée"/>
    <s v="Client 00001"/>
    <s v="Kolwezi"/>
    <s v="PME"/>
    <s v="Clavier Pro"/>
    <s v="Informatique"/>
    <s v="Entrée de gamme"/>
    <s v="Agence Kisangani 2"/>
    <s v="Kisangani"/>
    <s v="Commercial 003"/>
    <n v="43"/>
    <x v="1"/>
    <n v="44"/>
    <n v="3.3"/>
    <n v="9"/>
    <s v="Téléphone"/>
    <n v="24.15"/>
    <n v="210"/>
    <n v="0"/>
    <n v="210"/>
    <n v="144.89999999999998"/>
    <n v="65.100000000000023"/>
    <n v="0.31000000000000011"/>
    <n v="2025"/>
    <n v="9"/>
    <s v="2025-09"/>
    <s v="T3"/>
    <s v="40-49"/>
    <s v="faible"/>
    <s v="Long"/>
    <s v="Faible"/>
  </r>
  <r>
    <s v="TX0000152"/>
    <d v="2025-06-30T00:00:00"/>
    <s v="CLI02009"/>
    <s v="PRD011"/>
    <s v="AG017"/>
    <s v="COM059"/>
    <n v="3"/>
    <n v="240"/>
    <n v="0.05"/>
    <s v="Carte"/>
    <s v="Validée"/>
    <s v="Client 02009"/>
    <s v="Matadi"/>
    <s v="PME"/>
    <s v="Switch 24 Ports"/>
    <s v="Réseau"/>
    <s v="Premium"/>
    <s v="Agence Matadi 3"/>
    <s v="Matadi"/>
    <s v="Commercial 059"/>
    <n v="23"/>
    <x v="1"/>
    <n v="14"/>
    <n v="5.9"/>
    <n v="5"/>
    <s v="Magasin"/>
    <n v="177.6"/>
    <n v="720"/>
    <n v="36"/>
    <n v="684"/>
    <n v="532.79999999999995"/>
    <n v="151.20000000000005"/>
    <n v="0.22105263157894744"/>
    <n v="2025"/>
    <n v="6"/>
    <s v="2025-06"/>
    <s v="T2"/>
    <s v="22-29"/>
    <s v="moyen"/>
    <s v="Moyen"/>
    <s v="Moyenne"/>
  </r>
  <r>
    <s v="TX0000154"/>
    <d v="2025-11-15T00:00:00"/>
    <s v="CLI00885"/>
    <s v="PRD012"/>
    <s v="AG009"/>
    <s v="COM009"/>
    <n v="2"/>
    <n v="180"/>
    <n v="0.05"/>
    <s v="Virement"/>
    <s v="Validée"/>
    <s v="Client 00885"/>
    <s v="Lubumbashi"/>
    <s v="Indépendant"/>
    <s v="Onduleur 1200VA"/>
    <s v="Énergie"/>
    <s v="Standard"/>
    <s v="Agence Goma 2"/>
    <s v="Goma"/>
    <s v="Commercial 009"/>
    <n v="32"/>
    <x v="1"/>
    <n v="24"/>
    <n v="8.8000000000000007"/>
    <n v="1"/>
    <s v="Web"/>
    <n v="129.6"/>
    <n v="360"/>
    <n v="18"/>
    <n v="342"/>
    <n v="259.2"/>
    <n v="82.800000000000011"/>
    <n v="0.24210526315789477"/>
    <n v="2025"/>
    <n v="11"/>
    <s v="2025-11"/>
    <s v="T4"/>
    <s v="30-39"/>
    <s v="bon"/>
    <s v="Rapide"/>
    <s v="Faible"/>
  </r>
  <r>
    <s v="TX0000155"/>
    <d v="2025-05-11T00:00:00"/>
    <s v="CLI00669"/>
    <s v="PRD013"/>
    <s v="AG015"/>
    <s v="COM006"/>
    <n v="3"/>
    <n v="110"/>
    <n v="0.08"/>
    <s v="Carte"/>
    <s v="Validée"/>
    <s v="Client 00669"/>
    <s v="Lubumbashi"/>
    <s v="Grande entreprise"/>
    <s v="Disque SSD 1TB"/>
    <s v="Informatique"/>
    <s v="Premium"/>
    <s v="Agence Goma 3"/>
    <s v="Goma"/>
    <s v="Commercial 006"/>
    <n v="55"/>
    <x v="1"/>
    <n v="7"/>
    <n v="6.2"/>
    <n v="4"/>
    <s v="Web"/>
    <n v="72.599999999999994"/>
    <n v="330"/>
    <n v="26.400000000000002"/>
    <n v="303.60000000000002"/>
    <n v="217.79999999999998"/>
    <n v="85.80000000000004"/>
    <n v="0.282608695652174"/>
    <n v="2025"/>
    <n v="5"/>
    <s v="2025-05"/>
    <s v="T2"/>
    <s v="50+"/>
    <s v="moyen"/>
    <s v="Moyen"/>
    <s v="Faible"/>
  </r>
  <r>
    <s v="TX0000156"/>
    <d v="2025-07-10T00:00:00"/>
    <s v="CLI00290"/>
    <s v="PRD009"/>
    <s v="AG007"/>
    <s v="COM046"/>
    <n v="3"/>
    <n v="22"/>
    <n v="0.08"/>
    <s v="Carte"/>
    <s v="Validée"/>
    <s v="Client 00290"/>
    <s v="Goma"/>
    <s v="PME"/>
    <s v="Souris Wireless"/>
    <s v="Informatique"/>
    <s v="Entrée de gamme"/>
    <s v="Agence Kinshasa 2"/>
    <s v="Kinshasa"/>
    <s v="Commercial 046"/>
    <n v="45"/>
    <x v="0"/>
    <n v="53"/>
    <n v="5.7"/>
    <n v="6"/>
    <s v="Web"/>
    <n v="14.96"/>
    <n v="66"/>
    <n v="5.28"/>
    <n v="60.72"/>
    <n v="44.88"/>
    <n v="15.839999999999996"/>
    <n v="0.26086956521739124"/>
    <n v="2025"/>
    <n v="7"/>
    <s v="2025-07"/>
    <s v="T3"/>
    <s v="40-49"/>
    <s v="moyen"/>
    <s v="Moyen"/>
    <s v="Faible"/>
  </r>
  <r>
    <s v="TX0000157"/>
    <d v="2025-01-14T00:00:00"/>
    <s v="CLI00629"/>
    <s v="PRD011"/>
    <s v="AG014"/>
    <s v="COM025"/>
    <n v="10"/>
    <n v="240"/>
    <n v="0"/>
    <s v="Cash"/>
    <s v="Validée"/>
    <s v="Client 00629"/>
    <s v="Kinshasa"/>
    <s v="ONG"/>
    <s v="Switch 24 Ports"/>
    <s v="Réseau"/>
    <s v="Premium"/>
    <s v="Agence Lubumbashi 3"/>
    <s v="Lubumbashi"/>
    <s v="Commercial 025"/>
    <n v="52"/>
    <x v="0"/>
    <n v="53"/>
    <n v="5.5"/>
    <n v="6"/>
    <s v="Magasin"/>
    <n v="177.6"/>
    <n v="2400"/>
    <n v="0"/>
    <n v="2400"/>
    <n v="1776"/>
    <n v="624"/>
    <n v="0.26"/>
    <n v="2025"/>
    <n v="1"/>
    <s v="2025-01"/>
    <s v="T1"/>
    <s v="50+"/>
    <s v="moyen"/>
    <s v="Moyen"/>
    <s v="Elevée"/>
  </r>
  <r>
    <s v="TX0000158"/>
    <d v="2025-02-03T00:00:00"/>
    <s v="CLI02177"/>
    <s v="PRD004"/>
    <s v="AG018"/>
    <s v="COM027"/>
    <n v="2"/>
    <n v="520"/>
    <n v="0"/>
    <s v="Virement"/>
    <s v="Validée"/>
    <s v="Client 02177"/>
    <s v="Kolwezi"/>
    <s v="ONG"/>
    <s v="Laptop Essential 15"/>
    <s v="Informatique"/>
    <s v="Standard"/>
    <s v="Agence Kolwezi 3"/>
    <s v="Kolwezi"/>
    <s v="Commercial 027"/>
    <n v="25"/>
    <x v="1"/>
    <n v="21"/>
    <n v="5"/>
    <n v="8"/>
    <s v="Téléphone"/>
    <n v="348.4"/>
    <n v="1040"/>
    <n v="0"/>
    <n v="1040"/>
    <n v="696.8"/>
    <n v="343.20000000000005"/>
    <n v="0.33000000000000007"/>
    <n v="2025"/>
    <n v="2"/>
    <s v="2025-02"/>
    <s v="T1"/>
    <s v="22-29"/>
    <s v="moyen"/>
    <s v="Long"/>
    <s v="Elevée"/>
  </r>
  <r>
    <s v="TX0000160"/>
    <d v="2025-06-06T00:00:00"/>
    <s v="CLI00506"/>
    <s v="PRD006"/>
    <s v="AG017"/>
    <s v="COM047"/>
    <n v="3"/>
    <n v="190"/>
    <n v="0.1"/>
    <s v="Mobile Money"/>
    <s v="Validée"/>
    <s v="Client 00506"/>
    <s v="Matadi"/>
    <s v="PME"/>
    <s v="Imprimante Office"/>
    <s v="Bureautique"/>
    <s v="Standard"/>
    <s v="Agence Matadi 3"/>
    <s v="Matadi"/>
    <s v="Commercial 047"/>
    <n v="33"/>
    <x v="1"/>
    <n v="17"/>
    <n v="5.6"/>
    <n v="7"/>
    <s v="WhatsApp"/>
    <n v="148.19999999999999"/>
    <n v="570"/>
    <n v="57"/>
    <n v="513"/>
    <n v="444.59999999999997"/>
    <n v="68.400000000000034"/>
    <n v="0.13333333333333339"/>
    <n v="2025"/>
    <n v="6"/>
    <s v="2025-06"/>
    <s v="T2"/>
    <s v="30-39"/>
    <s v="moyen"/>
    <s v="Long"/>
    <s v="Moyenne"/>
  </r>
  <r>
    <s v="TX0000161"/>
    <d v="2025-11-08T00:00:00"/>
    <s v="CLI01430"/>
    <s v="PRD010"/>
    <s v="AG018"/>
    <s v="COM018"/>
    <n v="1"/>
    <n v="95"/>
    <n v="0"/>
    <s v="Carte"/>
    <s v="Validée"/>
    <s v="Client 01430"/>
    <s v="Goma"/>
    <s v="Indépendant"/>
    <s v="Routeur Business"/>
    <s v="Réseau"/>
    <s v="Standard"/>
    <s v="Agence Kolwezi 3"/>
    <s v="Kolwezi"/>
    <s v="Commercial 018"/>
    <n v="57"/>
    <x v="0"/>
    <n v="51"/>
    <n v="5.4"/>
    <n v="5"/>
    <s v="Magasin"/>
    <n v="70.3"/>
    <n v="95"/>
    <n v="0"/>
    <n v="95"/>
    <n v="70.3"/>
    <n v="24.700000000000003"/>
    <n v="0.26"/>
    <n v="2025"/>
    <n v="11"/>
    <s v="2025-11"/>
    <s v="T4"/>
    <s v="50+"/>
    <s v="moyen"/>
    <s v="Moyen"/>
    <s v="Faible"/>
  </r>
  <r>
    <s v="TX0000162"/>
    <d v="2025-12-14T00:00:00"/>
    <s v="CLI01596"/>
    <s v="PRD006"/>
    <s v="AG012"/>
    <s v="COM052"/>
    <n v="10"/>
    <n v="190"/>
    <n v="0.05"/>
    <s v="Mobile Money"/>
    <s v="Validée"/>
    <s v="Client 01596"/>
    <s v="Kisangani"/>
    <s v="Grande entreprise"/>
    <s v="Imprimante Office"/>
    <s v="Bureautique"/>
    <s v="Standard"/>
    <s v="Agence Kolwezi 2"/>
    <s v="Kolwezi"/>
    <s v="Commercial 052"/>
    <n v="27"/>
    <x v="1"/>
    <n v="66"/>
    <n v="4.5"/>
    <n v="7"/>
    <s v="WhatsApp"/>
    <n v="148.19999999999999"/>
    <n v="1900"/>
    <n v="95"/>
    <n v="1805"/>
    <n v="1482"/>
    <n v="323"/>
    <n v="0.17894736842105263"/>
    <n v="2025"/>
    <n v="12"/>
    <s v="2025-12"/>
    <s v="T4"/>
    <s v="22-29"/>
    <s v="faible"/>
    <s v="Long"/>
    <s v="Elevée"/>
  </r>
  <r>
    <s v="TX0000163"/>
    <d v="2025-09-20T00:00:00"/>
    <s v="CLI00523"/>
    <s v="PRD009"/>
    <s v="AG001"/>
    <s v="COM044"/>
    <n v="4"/>
    <n v="22"/>
    <n v="0.08"/>
    <s v="Carte"/>
    <s v="Validée"/>
    <s v="Client 00523"/>
    <s v="Kisangani"/>
    <s v="ONG"/>
    <s v="Souris Wireless"/>
    <s v="Informatique"/>
    <s v="Entrée de gamme"/>
    <s v="Agence Kinshasa 1"/>
    <s v="Kinshasa"/>
    <s v="Commercial 044"/>
    <n v="34"/>
    <x v="0"/>
    <n v="47"/>
    <n v="4.3"/>
    <n v="7"/>
    <s v="Téléphone"/>
    <n v="14.96"/>
    <n v="88"/>
    <n v="7.04"/>
    <n v="80.959999999999994"/>
    <n v="59.84"/>
    <n v="21.11999999999999"/>
    <n v="0.26086956521739119"/>
    <n v="2025"/>
    <n v="9"/>
    <s v="2025-09"/>
    <s v="T3"/>
    <s v="30-39"/>
    <s v="faible"/>
    <s v="Long"/>
    <s v="Faible"/>
  </r>
  <r>
    <s v="TX0000164"/>
    <d v="2025-05-08T00:00:00"/>
    <s v="CLI01096"/>
    <s v="PRD002"/>
    <s v="AG012"/>
    <s v="COM046"/>
    <n v="3"/>
    <n v="350"/>
    <n v="0.02"/>
    <s v="Mobile Money"/>
    <s v="Validée"/>
    <s v="Client 01096"/>
    <s v="Matadi"/>
    <s v="ONG"/>
    <s v="Smartphone Pro X"/>
    <s v="Électronique"/>
    <s v="Premium"/>
    <s v="Agence Kolwezi 2"/>
    <s v="Kolwezi"/>
    <s v="Commercial 046"/>
    <n v="54"/>
    <x v="0"/>
    <n v="64"/>
    <n v="4.7"/>
    <n v="7"/>
    <s v="Web"/>
    <n v="213.5"/>
    <n v="1050"/>
    <n v="21"/>
    <n v="1029"/>
    <n v="640.5"/>
    <n v="388.5"/>
    <n v="0.37755102040816324"/>
    <n v="2025"/>
    <n v="5"/>
    <s v="2025-05"/>
    <s v="T2"/>
    <s v="50+"/>
    <s v="faible"/>
    <s v="Long"/>
    <s v="Elevée"/>
  </r>
  <r>
    <s v="TX0000165"/>
    <d v="2025-05-22T00:00:00"/>
    <s v="CLI01450"/>
    <s v="PRD015"/>
    <s v="AG017"/>
    <s v="COM019"/>
    <n v="10"/>
    <n v="48"/>
    <n v="0.05"/>
    <s v="Carte"/>
    <s v="Validée"/>
    <s v="Client 01450"/>
    <s v="Kisangani"/>
    <s v="Institution"/>
    <s v="Webcam HD"/>
    <s v="Électronique"/>
    <s v="Entrée de gamme"/>
    <s v="Agence Matadi 3"/>
    <s v="Matadi"/>
    <s v="Commercial 019"/>
    <n v="27"/>
    <x v="1"/>
    <n v="16"/>
    <n v="8.1"/>
    <n v="2"/>
    <s v="Magasin"/>
    <n v="37.44"/>
    <n v="480"/>
    <n v="24"/>
    <n v="456"/>
    <n v="374.4"/>
    <n v="81.600000000000023"/>
    <n v="0.17894736842105269"/>
    <n v="2025"/>
    <n v="5"/>
    <s v="2025-05"/>
    <s v="T2"/>
    <s v="22-29"/>
    <s v="bon"/>
    <s v="Rapide"/>
    <s v="Faible"/>
  </r>
  <r>
    <s v="TX0000166"/>
    <d v="2025-06-10T00:00:00"/>
    <s v="CLI00357"/>
    <s v="PRD010"/>
    <s v="AG014"/>
    <s v="COM050"/>
    <n v="5"/>
    <n v="95"/>
    <n v="0.08"/>
    <s v="Cash"/>
    <s v="Validée"/>
    <s v="Client 00357"/>
    <s v="Kinshasa"/>
    <s v="PME"/>
    <s v="Routeur Business"/>
    <s v="Réseau"/>
    <s v="Standard"/>
    <s v="Agence Lubumbashi 3"/>
    <s v="Lubumbashi"/>
    <s v="Commercial 050"/>
    <n v="23"/>
    <x v="1"/>
    <n v="49"/>
    <n v="5.5"/>
    <n v="6"/>
    <s v="WhatsApp"/>
    <n v="70.3"/>
    <n v="475"/>
    <n v="38"/>
    <n v="437"/>
    <n v="351.5"/>
    <n v="85.5"/>
    <n v="0.19565217391304349"/>
    <n v="2025"/>
    <n v="6"/>
    <s v="2025-06"/>
    <s v="T2"/>
    <s v="22-29"/>
    <s v="moyen"/>
    <s v="Moyen"/>
    <s v="Faible"/>
  </r>
  <r>
    <s v="TX0000167"/>
    <d v="2025-01-30T00:00:00"/>
    <s v="CLI00984"/>
    <s v="PRD003"/>
    <s v="AG006"/>
    <s v="COM037"/>
    <n v="1"/>
    <n v="780"/>
    <n v="0"/>
    <s v="Mobile Money"/>
    <s v="Validée"/>
    <s v="Client 00984"/>
    <s v="Lubumbashi"/>
    <s v="Grande entreprise"/>
    <s v="Laptop Business 14"/>
    <s v="Informatique"/>
    <s v="Premium"/>
    <s v="Agence Kolwezi 1"/>
    <s v="Kolwezi"/>
    <s v="Commercial 037"/>
    <n v="50"/>
    <x v="0"/>
    <n v="33"/>
    <n v="4.8"/>
    <n v="8"/>
    <s v="Magasin"/>
    <n v="468"/>
    <n v="780"/>
    <n v="0"/>
    <n v="780"/>
    <n v="468"/>
    <n v="312"/>
    <n v="0.4"/>
    <n v="2025"/>
    <n v="1"/>
    <s v="2025-01"/>
    <s v="T1"/>
    <s v="50+"/>
    <s v="faible"/>
    <s v="Long"/>
    <s v="Moyenne"/>
  </r>
  <r>
    <s v="TX0000168"/>
    <d v="2025-03-11T00:00:00"/>
    <s v="CLI00044"/>
    <s v="PRD014"/>
    <s v="AG017"/>
    <s v="COM060"/>
    <n v="2"/>
    <n v="65"/>
    <n v="0.05"/>
    <s v="Cash"/>
    <s v="Validée"/>
    <s v="Client 00044"/>
    <s v="Kisangani"/>
    <s v="Grande entreprise"/>
    <s v="Casque Pro"/>
    <s v="Électronique"/>
    <s v="Standard"/>
    <s v="Agence Matadi 3"/>
    <s v="Matadi"/>
    <s v="Commercial 060"/>
    <n v="33"/>
    <x v="0"/>
    <n v="33"/>
    <n v="5.5"/>
    <n v="6"/>
    <s v="Téléphone"/>
    <n v="47.45"/>
    <n v="130"/>
    <n v="6.5"/>
    <n v="123.5"/>
    <n v="94.9"/>
    <n v="28.599999999999994"/>
    <n v="0.231578947368421"/>
    <n v="2025"/>
    <n v="3"/>
    <s v="2025-03"/>
    <s v="T1"/>
    <s v="30-39"/>
    <s v="moyen"/>
    <s v="Moyen"/>
    <s v="Faible"/>
  </r>
  <r>
    <s v="TX0000169"/>
    <d v="2025-10-01T00:00:00"/>
    <s v="CLI00779"/>
    <s v="PRD001"/>
    <s v="AG014"/>
    <s v="COM045"/>
    <n v="4"/>
    <n v="120"/>
    <n v="0"/>
    <s v="Cash"/>
    <s v="Validée"/>
    <s v="Client 00779"/>
    <s v="Kolwezi"/>
    <s v="ONG"/>
    <s v="Smartphone A1"/>
    <s v="Électronique"/>
    <s v="Entrée de gamme"/>
    <s v="Agence Lubumbashi 3"/>
    <s v="Lubumbashi"/>
    <s v="Commercial 045"/>
    <n v="53"/>
    <x v="1"/>
    <n v="66"/>
    <n v="5.7"/>
    <n v="6"/>
    <s v="Téléphone"/>
    <n v="73.2"/>
    <n v="480"/>
    <n v="0"/>
    <n v="480"/>
    <n v="292.8"/>
    <n v="187.2"/>
    <n v="0.38999999999999996"/>
    <n v="2025"/>
    <n v="10"/>
    <s v="2025-10"/>
    <s v="T4"/>
    <s v="50+"/>
    <s v="moyen"/>
    <s v="Moyen"/>
    <s v="Faible"/>
  </r>
  <r>
    <s v="TX0000171"/>
    <d v="2025-07-11T00:00:00"/>
    <s v="CLI01732"/>
    <s v="PRD016"/>
    <s v="AG013"/>
    <s v="COM011"/>
    <n v="10"/>
    <n v="420"/>
    <n v="0"/>
    <s v="Carte"/>
    <s v="Validée"/>
    <s v="Client 01732"/>
    <s v="Kisangani"/>
    <s v="Grande entreprise"/>
    <s v="Projecteur HD"/>
    <s v="Bureautique"/>
    <s v="Premium"/>
    <s v="Agence Kinshasa 3"/>
    <s v="Kinshasa"/>
    <s v="Commercial 011"/>
    <n v="50"/>
    <x v="1"/>
    <n v="52"/>
    <n v="3.4"/>
    <n v="9"/>
    <s v="WhatsApp"/>
    <n v="273"/>
    <n v="4200"/>
    <n v="0"/>
    <n v="4200"/>
    <n v="2730"/>
    <n v="1470"/>
    <n v="0.35"/>
    <n v="2025"/>
    <n v="7"/>
    <s v="2025-07"/>
    <s v="T3"/>
    <s v="50+"/>
    <s v="faible"/>
    <s v="Long"/>
    <s v="Elevée"/>
  </r>
  <r>
    <s v="TX0000172"/>
    <d v="2025-05-31T00:00:00"/>
    <s v="CLI00483"/>
    <s v="PRD010"/>
    <s v="AG010"/>
    <s v="COM031"/>
    <n v="1"/>
    <n v="95"/>
    <n v="0"/>
    <s v="Mobile Money"/>
    <s v="Validée"/>
    <s v="Client 00483"/>
    <s v="Matadi"/>
    <s v="Indépendant"/>
    <s v="Routeur Business"/>
    <s v="Réseau"/>
    <s v="Standard"/>
    <s v="Agence Kisangani 2"/>
    <s v="Kisangani"/>
    <s v="Commercial 031"/>
    <n v="48"/>
    <x v="0"/>
    <n v="44"/>
    <n v="4.3"/>
    <n v="9"/>
    <s v="WhatsApp"/>
    <n v="70.3"/>
    <n v="95"/>
    <n v="0"/>
    <n v="95"/>
    <n v="70.3"/>
    <n v="24.700000000000003"/>
    <n v="0.26"/>
    <n v="2025"/>
    <n v="5"/>
    <s v="2025-05"/>
    <s v="T2"/>
    <s v="40-49"/>
    <s v="faible"/>
    <s v="Long"/>
    <s v="Faible"/>
  </r>
  <r>
    <s v="TX0000173"/>
    <d v="2025-11-13T00:00:00"/>
    <s v="CLI01249"/>
    <s v="PRD002"/>
    <s v="AG015"/>
    <s v="COM058"/>
    <n v="5"/>
    <n v="350"/>
    <n v="0"/>
    <s v="Virement"/>
    <s v="Validée"/>
    <s v="Client 01249"/>
    <s v="Kisangani"/>
    <s v="Institution"/>
    <s v="Smartphone Pro X"/>
    <s v="Électronique"/>
    <s v="Premium"/>
    <s v="Agence Goma 3"/>
    <s v="Goma"/>
    <s v="Commercial 058"/>
    <n v="60"/>
    <x v="1"/>
    <n v="64"/>
    <n v="8.6999999999999993"/>
    <n v="2"/>
    <s v="Téléphone"/>
    <n v="213.5"/>
    <n v="1750"/>
    <n v="0"/>
    <n v="1750"/>
    <n v="1067.5"/>
    <n v="682.5"/>
    <n v="0.39"/>
    <n v="2025"/>
    <n v="11"/>
    <s v="2025-11"/>
    <s v="T4"/>
    <s v="50+"/>
    <s v="bon"/>
    <s v="Rapide"/>
    <s v="Elevée"/>
  </r>
  <r>
    <s v="TX0000174"/>
    <d v="2025-02-24T00:00:00"/>
    <s v="CLI01886"/>
    <s v="PRD011"/>
    <s v="AG010"/>
    <s v="COM023"/>
    <n v="1"/>
    <n v="240"/>
    <n v="0.08"/>
    <s v="Carte"/>
    <s v="Validée"/>
    <s v="Client 01886"/>
    <s v="Kolwezi"/>
    <s v="ONG"/>
    <s v="Switch 24 Ports"/>
    <s v="Réseau"/>
    <s v="Premium"/>
    <s v="Agence Kisangani 2"/>
    <s v="Kisangani"/>
    <s v="Commercial 023"/>
    <n v="59"/>
    <x v="0"/>
    <n v="27"/>
    <n v="5.4"/>
    <n v="5"/>
    <s v="WhatsApp"/>
    <n v="177.6"/>
    <n v="240"/>
    <n v="19.2"/>
    <n v="220.8"/>
    <n v="177.6"/>
    <n v="43.200000000000017"/>
    <n v="0.19565217391304354"/>
    <n v="2025"/>
    <n v="2"/>
    <s v="2025-02"/>
    <s v="T1"/>
    <s v="50+"/>
    <s v="moyen"/>
    <s v="Moyen"/>
    <s v="Faible"/>
  </r>
  <r>
    <s v="TX0000175"/>
    <d v="2025-04-12T00:00:00"/>
    <s v="CLI00037"/>
    <s v="PRD004"/>
    <s v="AG014"/>
    <s v="COM032"/>
    <n v="1"/>
    <n v="520"/>
    <n v="0.05"/>
    <s v="Carte"/>
    <s v="Validée"/>
    <s v="Client 00037"/>
    <s v="Matadi"/>
    <s v="Grande entreprise"/>
    <s v="Laptop Essential 15"/>
    <s v="Informatique"/>
    <s v="Standard"/>
    <s v="Agence Lubumbashi 3"/>
    <s v="Lubumbashi"/>
    <s v="Commercial 032"/>
    <n v="30"/>
    <x v="1"/>
    <n v="9"/>
    <n v="4.9000000000000004"/>
    <n v="7"/>
    <s v="Téléphone"/>
    <n v="348.4"/>
    <n v="520"/>
    <n v="26"/>
    <n v="494"/>
    <n v="348.4"/>
    <n v="145.60000000000002"/>
    <n v="0.29473684210526319"/>
    <n v="2025"/>
    <n v="4"/>
    <s v="2025-04"/>
    <s v="T2"/>
    <s v="30-39"/>
    <s v="faible"/>
    <s v="Long"/>
    <s v="Faible"/>
  </r>
  <r>
    <s v="TX0000176"/>
    <d v="2025-12-03T00:00:00"/>
    <s v="CLI01997"/>
    <s v="PRD001"/>
    <s v="AG005"/>
    <s v="COM050"/>
    <n v="1"/>
    <n v="120"/>
    <n v="0.02"/>
    <s v="Mobile Money"/>
    <s v="Validée"/>
    <s v="Client 01997"/>
    <s v="Kisangani"/>
    <s v="Indépendant"/>
    <s v="Smartphone A1"/>
    <s v="Électronique"/>
    <s v="Entrée de gamme"/>
    <s v="Agence Matadi 1"/>
    <s v="Matadi"/>
    <s v="Commercial 050"/>
    <n v="53"/>
    <x v="1"/>
    <n v="8"/>
    <n v="7.8"/>
    <n v="2"/>
    <s v="Web"/>
    <n v="73.2"/>
    <n v="120"/>
    <n v="2.4"/>
    <n v="117.6"/>
    <n v="73.2"/>
    <n v="44.399999999999991"/>
    <n v="0.37755102040816318"/>
    <n v="2025"/>
    <n v="12"/>
    <s v="2025-12"/>
    <s v="T4"/>
    <s v="50+"/>
    <s v="bon"/>
    <s v="Rapide"/>
    <s v="Faible"/>
  </r>
  <r>
    <s v="TX0000177"/>
    <d v="2025-05-18T00:00:00"/>
    <s v="CLI01493"/>
    <s v="PRD014"/>
    <s v="AG006"/>
    <s v="COM035"/>
    <n v="1"/>
    <n v="65"/>
    <n v="0.02"/>
    <s v="Mobile Money"/>
    <s v="Validée"/>
    <s v="Client 01493"/>
    <s v="Kisangani"/>
    <s v="PME"/>
    <s v="Casque Pro"/>
    <s v="Électronique"/>
    <s v="Standard"/>
    <s v="Agence Kolwezi 1"/>
    <s v="Kolwezi"/>
    <s v="Commercial 035"/>
    <n v="32"/>
    <x v="1"/>
    <n v="38"/>
    <n v="8"/>
    <n v="2"/>
    <s v="WhatsApp"/>
    <n v="47.45"/>
    <n v="65"/>
    <n v="1.3"/>
    <n v="63.7"/>
    <n v="47.45"/>
    <n v="16.25"/>
    <n v="0.25510204081632654"/>
    <n v="2025"/>
    <n v="5"/>
    <s v="2025-05"/>
    <s v="T2"/>
    <s v="30-39"/>
    <s v="bon"/>
    <s v="Rapide"/>
    <s v="Faible"/>
  </r>
  <r>
    <s v="TX0000178"/>
    <d v="2025-12-30T00:00:00"/>
    <s v="CLI01449"/>
    <s v="PRD014"/>
    <s v="AG001"/>
    <s v="COM023"/>
    <n v="1"/>
    <n v="65"/>
    <n v="0"/>
    <s v="Virement"/>
    <s v="Validée"/>
    <s v="Client 01449"/>
    <s v="Kolwezi"/>
    <s v="Grande entreprise"/>
    <s v="Casque Pro"/>
    <s v="Électronique"/>
    <s v="Standard"/>
    <s v="Agence Kinshasa 1"/>
    <s v="Kinshasa"/>
    <s v="Commercial 023"/>
    <n v="27"/>
    <x v="1"/>
    <n v="25"/>
    <n v="6"/>
    <n v="6"/>
    <s v="Téléphone"/>
    <n v="47.45"/>
    <n v="65"/>
    <n v="0"/>
    <n v="65"/>
    <n v="47.45"/>
    <n v="17.549999999999997"/>
    <n v="0.26999999999999996"/>
    <n v="2025"/>
    <n v="12"/>
    <s v="2025-12"/>
    <s v="T4"/>
    <s v="22-29"/>
    <s v="moyen"/>
    <s v="Moyen"/>
    <s v="Faible"/>
  </r>
  <r>
    <s v="TX0000180"/>
    <d v="2025-10-09T00:00:00"/>
    <s v="CLI01089"/>
    <s v="PRD004"/>
    <s v="AG014"/>
    <s v="COM032"/>
    <n v="2"/>
    <n v="520"/>
    <n v="0.08"/>
    <s v="Carte"/>
    <s v="Validée"/>
    <s v="Client 01089"/>
    <s v="Kolwezi"/>
    <s v="ONG"/>
    <s v="Laptop Essential 15"/>
    <s v="Informatique"/>
    <s v="Standard"/>
    <s v="Agence Lubumbashi 3"/>
    <s v="Lubumbashi"/>
    <s v="Commercial 032"/>
    <n v="23"/>
    <x v="0"/>
    <n v="32"/>
    <n v="7.4"/>
    <n v="4"/>
    <s v="Téléphone"/>
    <n v="348.4"/>
    <n v="1040"/>
    <n v="83.2"/>
    <n v="956.8"/>
    <n v="696.8"/>
    <n v="260"/>
    <n v="0.27173913043478259"/>
    <n v="2025"/>
    <n v="10"/>
    <s v="2025-10"/>
    <s v="T4"/>
    <s v="22-29"/>
    <s v="bon"/>
    <s v="Moyen"/>
    <s v="Moyenne"/>
  </r>
  <r>
    <s v="TX0000181"/>
    <d v="2025-02-25T00:00:00"/>
    <s v="CLI01638"/>
    <s v="PRD013"/>
    <s v="AG005"/>
    <s v="COM008"/>
    <n v="4"/>
    <n v="110"/>
    <n v="0"/>
    <s v="Carte"/>
    <s v="Validée"/>
    <s v="Client 01638"/>
    <s v="Matadi"/>
    <s v="ONG"/>
    <s v="Disque SSD 1TB"/>
    <s v="Informatique"/>
    <s v="Premium"/>
    <s v="Agence Matadi 1"/>
    <s v="Matadi"/>
    <s v="Commercial 008"/>
    <n v="58"/>
    <x v="1"/>
    <n v="12"/>
    <n v="5.7"/>
    <n v="6"/>
    <s v="Web"/>
    <n v="72.599999999999994"/>
    <n v="440"/>
    <n v="0"/>
    <n v="440"/>
    <n v="290.39999999999998"/>
    <n v="149.60000000000002"/>
    <n v="0.34"/>
    <n v="2025"/>
    <n v="2"/>
    <s v="2025-02"/>
    <s v="T1"/>
    <s v="50+"/>
    <s v="moyen"/>
    <s v="Moyen"/>
    <s v="Faible"/>
  </r>
  <r>
    <s v="TX0000182"/>
    <d v="2025-06-25T00:00:00"/>
    <s v="CLI00056"/>
    <s v="PRD008"/>
    <s v="AG002"/>
    <s v="COM044"/>
    <n v="2"/>
    <n v="35"/>
    <n v="0.05"/>
    <s v="Cash"/>
    <s v="Validée"/>
    <s v="Client 00056"/>
    <s v="Kinshasa"/>
    <s v="Indépendant"/>
    <s v="Clavier Pro"/>
    <s v="Informatique"/>
    <s v="Entrée de gamme"/>
    <s v="Agence Lubumbashi 1"/>
    <s v="Lubumbashi"/>
    <s v="Commercial 044"/>
    <n v="41"/>
    <x v="0"/>
    <n v="12"/>
    <n v="6"/>
    <n v="6"/>
    <s v="Magasin"/>
    <n v="24.15"/>
    <n v="70"/>
    <n v="3.5"/>
    <n v="66.5"/>
    <n v="48.3"/>
    <n v="18.200000000000003"/>
    <n v="0.27368421052631581"/>
    <n v="2025"/>
    <n v="6"/>
    <s v="2025-06"/>
    <s v="T2"/>
    <s v="40-49"/>
    <s v="moyen"/>
    <s v="Moyen"/>
    <s v="Faible"/>
  </r>
  <r>
    <s v="TX0000183"/>
    <d v="2025-08-08T00:00:00"/>
    <s v="CLI01186"/>
    <s v="PRD010"/>
    <s v="AG016"/>
    <s v="COM006"/>
    <n v="1"/>
    <n v="95"/>
    <n v="0"/>
    <s v="Carte"/>
    <s v="Validée"/>
    <s v="Client 01186"/>
    <s v="Matadi"/>
    <s v="ONG"/>
    <s v="Routeur Business"/>
    <s v="Réseau"/>
    <s v="Standard"/>
    <s v="Agence Kisangani 3"/>
    <s v="Kisangani"/>
    <s v="Commercial 006"/>
    <n v="43"/>
    <x v="1"/>
    <n v="23"/>
    <n v="5.5"/>
    <n v="6"/>
    <s v="Magasin"/>
    <n v="70.3"/>
    <n v="95"/>
    <n v="0"/>
    <n v="95"/>
    <n v="70.3"/>
    <n v="24.700000000000003"/>
    <n v="0.26"/>
    <n v="2025"/>
    <n v="8"/>
    <s v="2025-08"/>
    <s v="T3"/>
    <s v="40-49"/>
    <s v="moyen"/>
    <s v="Moyen"/>
    <s v="Faible"/>
  </r>
  <r>
    <s v="TX0000184"/>
    <d v="2025-08-08T00:00:00"/>
    <s v="CLI00472"/>
    <s v="PRD009"/>
    <s v="AG008"/>
    <s v="COM043"/>
    <n v="1"/>
    <n v="22"/>
    <n v="0.08"/>
    <s v="Cash"/>
    <s v="Validée"/>
    <s v="Client 00472"/>
    <s v="Kolwezi"/>
    <s v="Indépendant"/>
    <s v="Souris Wireless"/>
    <s v="Informatique"/>
    <s v="Entrée de gamme"/>
    <s v="Agence Lubumbashi 2"/>
    <s v="Lubumbashi"/>
    <s v="Commercial 043"/>
    <n v="33"/>
    <x v="1"/>
    <n v="50"/>
    <n v="3.1"/>
    <n v="9"/>
    <s v="Téléphone"/>
    <n v="14.96"/>
    <n v="22"/>
    <n v="1.76"/>
    <n v="20.239999999999998"/>
    <n v="14.96"/>
    <n v="5.2799999999999976"/>
    <n v="0.26086956521739119"/>
    <n v="2025"/>
    <n v="8"/>
    <s v="2025-08"/>
    <s v="T3"/>
    <s v="30-39"/>
    <s v="faible"/>
    <s v="Long"/>
    <s v="Faible"/>
  </r>
  <r>
    <s v="TX0000185"/>
    <d v="2025-10-30T00:00:00"/>
    <s v="CLI02058"/>
    <s v="PRD006"/>
    <s v="AG007"/>
    <s v="COM055"/>
    <n v="3"/>
    <n v="190"/>
    <n v="0"/>
    <s v="Carte"/>
    <s v="Validée"/>
    <s v="Client 02058"/>
    <s v="Kolwezi"/>
    <s v="ONG"/>
    <s v="Imprimante Office"/>
    <s v="Bureautique"/>
    <s v="Standard"/>
    <s v="Agence Kinshasa 2"/>
    <s v="Kinshasa"/>
    <s v="Commercial 055"/>
    <n v="47"/>
    <x v="0"/>
    <n v="5"/>
    <n v="8.1999999999999993"/>
    <n v="1"/>
    <s v="Téléphone"/>
    <n v="148.19999999999999"/>
    <n v="570"/>
    <n v="0"/>
    <n v="570"/>
    <n v="444.59999999999997"/>
    <n v="125.40000000000003"/>
    <n v="0.22000000000000006"/>
    <n v="2025"/>
    <n v="10"/>
    <s v="2025-10"/>
    <s v="T4"/>
    <s v="40-49"/>
    <s v="bon"/>
    <s v="Rapide"/>
    <s v="Moyenne"/>
  </r>
  <r>
    <s v="TX0000186"/>
    <d v="2025-03-16T00:00:00"/>
    <s v="CLI01644"/>
    <s v="PRD002"/>
    <s v="AG009"/>
    <s v="COM013"/>
    <n v="2"/>
    <n v="350"/>
    <n v="0.05"/>
    <s v="Carte"/>
    <s v="Validée"/>
    <s v="Client 01644"/>
    <s v="Kinshasa"/>
    <s v="Grande entreprise"/>
    <s v="Smartphone Pro X"/>
    <s v="Électronique"/>
    <s v="Premium"/>
    <s v="Agence Goma 2"/>
    <s v="Goma"/>
    <s v="Commercial 013"/>
    <n v="29"/>
    <x v="0"/>
    <n v="14"/>
    <n v="3.1"/>
    <n v="9"/>
    <s v="Magasin"/>
    <n v="213.5"/>
    <n v="700"/>
    <n v="35"/>
    <n v="665"/>
    <n v="427"/>
    <n v="238"/>
    <n v="0.35789473684210527"/>
    <n v="2025"/>
    <n v="3"/>
    <s v="2025-03"/>
    <s v="T1"/>
    <s v="22-29"/>
    <s v="faible"/>
    <s v="Long"/>
    <s v="Moyenne"/>
  </r>
  <r>
    <s v="TX0000187"/>
    <d v="2025-06-06T00:00:00"/>
    <s v="CLI00209"/>
    <s v="PRD013"/>
    <s v="AG014"/>
    <s v="COM034"/>
    <n v="4"/>
    <n v="110"/>
    <n v="0"/>
    <s v="Carte"/>
    <s v="Validée"/>
    <s v="Client 00209"/>
    <s v="Lubumbashi"/>
    <s v="PME"/>
    <s v="Disque SSD 1TB"/>
    <s v="Informatique"/>
    <s v="Premium"/>
    <s v="Agence Lubumbashi 3"/>
    <s v="Lubumbashi"/>
    <s v="Commercial 034"/>
    <n v="31"/>
    <x v="1"/>
    <n v="44"/>
    <n v="5.7"/>
    <n v="6"/>
    <s v="WhatsApp"/>
    <n v="72.599999999999994"/>
    <n v="440"/>
    <n v="0"/>
    <n v="440"/>
    <n v="290.39999999999998"/>
    <n v="149.60000000000002"/>
    <n v="0.34"/>
    <n v="2025"/>
    <n v="6"/>
    <s v="2025-06"/>
    <s v="T2"/>
    <s v="30-39"/>
    <s v="moyen"/>
    <s v="Moyen"/>
    <s v="Faible"/>
  </r>
  <r>
    <s v="TX0000188"/>
    <d v="2025-11-26T00:00:00"/>
    <s v="CLI01963"/>
    <s v="PRD002"/>
    <s v="AG017"/>
    <s v="COM028"/>
    <n v="1"/>
    <n v="350"/>
    <n v="0"/>
    <s v="Virement"/>
    <s v="Validée"/>
    <s v="Client 01963"/>
    <s v="Lubumbashi"/>
    <s v="ONG"/>
    <s v="Smartphone Pro X"/>
    <s v="Électronique"/>
    <s v="Premium"/>
    <s v="Agence Matadi 3"/>
    <s v="Matadi"/>
    <s v="Commercial 028"/>
    <n v="30"/>
    <x v="1"/>
    <n v="35"/>
    <n v="8.8000000000000007"/>
    <n v="1"/>
    <s v="Téléphone"/>
    <n v="213.5"/>
    <n v="350"/>
    <n v="0"/>
    <n v="350"/>
    <n v="213.5"/>
    <n v="136.5"/>
    <n v="0.39"/>
    <n v="2025"/>
    <n v="11"/>
    <s v="2025-11"/>
    <s v="T4"/>
    <s v="30-39"/>
    <s v="bon"/>
    <s v="Rapide"/>
    <s v="Faible"/>
  </r>
  <r>
    <s v="TX0000189"/>
    <d v="2025-01-25T00:00:00"/>
    <s v="CLI01438"/>
    <s v="PRD014"/>
    <s v="AG008"/>
    <s v="COM021"/>
    <n v="1"/>
    <n v="65"/>
    <n v="0"/>
    <s v="Cash"/>
    <s v="Validée"/>
    <s v="Client 01438"/>
    <s v="Kinshasa"/>
    <s v="PME"/>
    <s v="Casque Pro"/>
    <s v="Électronique"/>
    <s v="Standard"/>
    <s v="Agence Lubumbashi 2"/>
    <s v="Lubumbashi"/>
    <s v="Commercial 021"/>
    <n v="47"/>
    <x v="0"/>
    <n v="33"/>
    <n v="8.6"/>
    <n v="1"/>
    <s v="Téléphone"/>
    <n v="47.45"/>
    <n v="65"/>
    <n v="0"/>
    <n v="65"/>
    <n v="47.45"/>
    <n v="17.549999999999997"/>
    <n v="0.26999999999999996"/>
    <n v="2025"/>
    <n v="1"/>
    <s v="2025-01"/>
    <s v="T1"/>
    <s v="40-49"/>
    <s v="bon"/>
    <s v="Rapide"/>
    <s v="Faible"/>
  </r>
  <r>
    <s v="TX0000190"/>
    <d v="2025-05-24T00:00:00"/>
    <s v="CLI01318"/>
    <s v="PRD007"/>
    <s v="AG010"/>
    <s v="COM031"/>
    <n v="6"/>
    <n v="145"/>
    <n v="0"/>
    <s v="Mobile Money"/>
    <s v="Validée"/>
    <s v="Client 01318"/>
    <s v="Lubumbashi"/>
    <s v="Grande entreprise"/>
    <s v="Écran 24 pouces"/>
    <s v="Informatique"/>
    <s v="Standard"/>
    <s v="Agence Kisangani 2"/>
    <s v="Kisangani"/>
    <s v="Commercial 031"/>
    <n v="40"/>
    <x v="1"/>
    <n v="72"/>
    <n v="8.6"/>
    <n v="1"/>
    <s v="Téléphone"/>
    <n v="97.15"/>
    <n v="870"/>
    <n v="0"/>
    <n v="870"/>
    <n v="582.90000000000009"/>
    <n v="287.09999999999991"/>
    <n v="0.3299999999999999"/>
    <n v="2025"/>
    <n v="5"/>
    <s v="2025-05"/>
    <s v="T2"/>
    <s v="40-49"/>
    <s v="bon"/>
    <s v="Rapide"/>
    <s v="Moyenne"/>
  </r>
  <r>
    <s v="TX0000191"/>
    <d v="2025-02-27T00:00:00"/>
    <s v="CLI02013"/>
    <s v="PRD012"/>
    <s v="AG011"/>
    <s v="COM020"/>
    <n v="1"/>
    <n v="180"/>
    <n v="0"/>
    <s v="Carte"/>
    <s v="Validée"/>
    <s v="Client 02013"/>
    <s v="Kolwezi"/>
    <s v="ONG"/>
    <s v="Onduleur 1200VA"/>
    <s v="Énergie"/>
    <s v="Standard"/>
    <s v="Agence Matadi 2"/>
    <s v="Matadi"/>
    <s v="Commercial 020"/>
    <n v="38"/>
    <x v="1"/>
    <n v="14"/>
    <n v="3.6"/>
    <n v="9"/>
    <s v="Téléphone"/>
    <n v="129.6"/>
    <n v="180"/>
    <n v="0"/>
    <n v="180"/>
    <n v="129.6"/>
    <n v="50.400000000000006"/>
    <n v="0.28000000000000003"/>
    <n v="2025"/>
    <n v="2"/>
    <s v="2025-02"/>
    <s v="T1"/>
    <s v="30-39"/>
    <s v="faible"/>
    <s v="Long"/>
    <s v="Faible"/>
  </r>
  <r>
    <s v="TX0000192"/>
    <d v="2025-05-22T00:00:00"/>
    <s v="CLI01481"/>
    <s v="PRD012"/>
    <s v="AG008"/>
    <s v="COM042"/>
    <n v="1"/>
    <n v="180"/>
    <n v="0.02"/>
    <s v="Cash"/>
    <s v="Validée"/>
    <s v="Client 01481"/>
    <s v="Lubumbashi"/>
    <s v="PME"/>
    <s v="Onduleur 1200VA"/>
    <s v="Énergie"/>
    <s v="Standard"/>
    <s v="Agence Lubumbashi 2"/>
    <s v="Lubumbashi"/>
    <s v="Commercial 042"/>
    <n v="53"/>
    <x v="1"/>
    <n v="30"/>
    <n v="5.3"/>
    <n v="6"/>
    <s v="Web"/>
    <n v="129.6"/>
    <n v="180"/>
    <n v="3.6"/>
    <n v="176.4"/>
    <n v="129.6"/>
    <n v="46.800000000000011"/>
    <n v="0.26530612244897966"/>
    <n v="2025"/>
    <n v="5"/>
    <s v="2025-05"/>
    <s v="T2"/>
    <s v="50+"/>
    <s v="moyen"/>
    <s v="Moyen"/>
    <s v="Faible"/>
  </r>
  <r>
    <s v="TX0000194"/>
    <d v="2025-08-31T00:00:00"/>
    <s v="CLI00307"/>
    <s v="PRD011"/>
    <s v="AG010"/>
    <s v="COM047"/>
    <n v="20"/>
    <n v="240"/>
    <n v="0"/>
    <s v="Carte"/>
    <s v="Validée"/>
    <s v="Client 00307"/>
    <s v="Kinshasa"/>
    <s v="Grande entreprise"/>
    <s v="Switch 24 Ports"/>
    <s v="Réseau"/>
    <s v="Premium"/>
    <s v="Agence Kisangani 2"/>
    <s v="Kisangani"/>
    <s v="Commercial 047"/>
    <n v="54"/>
    <x v="0"/>
    <n v="44"/>
    <n v="5.6"/>
    <n v="7"/>
    <s v="Web"/>
    <n v="177.6"/>
    <n v="4800"/>
    <n v="0"/>
    <n v="4800"/>
    <n v="3552"/>
    <n v="1248"/>
    <n v="0.26"/>
    <n v="2025"/>
    <n v="8"/>
    <s v="2025-08"/>
    <s v="T3"/>
    <s v="50+"/>
    <s v="moyen"/>
    <s v="Long"/>
    <s v="Elevée"/>
  </r>
  <r>
    <s v="TX0000195"/>
    <d v="2025-05-10T00:00:00"/>
    <s v="CLI00786"/>
    <s v="PRD014"/>
    <s v="AG018"/>
    <s v="COM046"/>
    <n v="5"/>
    <n v="65"/>
    <n v="0.1"/>
    <s v="Virement"/>
    <s v="Validée"/>
    <s v="Client 00786"/>
    <s v="Kisangani"/>
    <s v="Indépendant"/>
    <s v="Casque Pro"/>
    <s v="Électronique"/>
    <s v="Standard"/>
    <s v="Agence Kolwezi 3"/>
    <s v="Kolwezi"/>
    <s v="Commercial 046"/>
    <n v="60"/>
    <x v="1"/>
    <n v="55"/>
    <n v="8.4"/>
    <n v="1"/>
    <s v="Magasin"/>
    <n v="47.45"/>
    <n v="325"/>
    <n v="32.5"/>
    <n v="292.5"/>
    <n v="237.25"/>
    <n v="55.25"/>
    <n v="0.18888888888888888"/>
    <n v="2025"/>
    <n v="5"/>
    <s v="2025-05"/>
    <s v="T2"/>
    <s v="50+"/>
    <s v="bon"/>
    <s v="Rapide"/>
    <s v="Faible"/>
  </r>
  <r>
    <s v="TX0000196"/>
    <d v="2025-09-05T00:00:00"/>
    <s v="CLI01837"/>
    <s v="PRD004"/>
    <s v="AG014"/>
    <s v="COM005"/>
    <n v="2"/>
    <n v="520"/>
    <n v="0.05"/>
    <s v="Cash"/>
    <s v="Validée"/>
    <s v="Client 01837"/>
    <s v="Kolwezi"/>
    <s v="Grande entreprise"/>
    <s v="Laptop Essential 15"/>
    <s v="Informatique"/>
    <s v="Standard"/>
    <s v="Agence Lubumbashi 3"/>
    <s v="Lubumbashi"/>
    <s v="Commercial 005"/>
    <n v="41"/>
    <x v="0"/>
    <n v="36"/>
    <n v="5"/>
    <n v="8"/>
    <s v="Web"/>
    <n v="348.4"/>
    <n v="1040"/>
    <n v="52"/>
    <n v="988"/>
    <n v="696.8"/>
    <n v="291.20000000000005"/>
    <n v="0.29473684210526319"/>
    <n v="2025"/>
    <n v="9"/>
    <s v="2025-09"/>
    <s v="T3"/>
    <s v="40-49"/>
    <s v="moyen"/>
    <s v="Long"/>
    <s v="Moyenne"/>
  </r>
  <r>
    <s v="TX0000197"/>
    <d v="2025-10-17T00:00:00"/>
    <s v="CLI01123"/>
    <s v="PRD005"/>
    <s v="AG010"/>
    <s v="COM003"/>
    <n v="1"/>
    <n v="260"/>
    <n v="0.08"/>
    <s v="Carte"/>
    <s v="Validée"/>
    <s v="Client 01123"/>
    <s v="Kisangani"/>
    <s v="PME"/>
    <s v="Tablette T10"/>
    <s v="Électronique"/>
    <s v="Standard"/>
    <s v="Agence Kisangani 2"/>
    <s v="Kisangani"/>
    <s v="Commercial 003"/>
    <n v="56"/>
    <x v="1"/>
    <n v="33"/>
    <n v="4.0999999999999996"/>
    <n v="7"/>
    <s v="Magasin"/>
    <n v="189.8"/>
    <n v="260"/>
    <n v="20.8"/>
    <n v="239.2"/>
    <n v="189.8"/>
    <n v="49.399999999999977"/>
    <n v="0.2065217391304347"/>
    <n v="2025"/>
    <n v="10"/>
    <s v="2025-10"/>
    <s v="T4"/>
    <s v="50+"/>
    <s v="faible"/>
    <s v="Long"/>
    <s v="Faible"/>
  </r>
  <r>
    <s v="TX0000198"/>
    <d v="2025-09-20T00:00:00"/>
    <s v="CLI01629"/>
    <s v="PRD016"/>
    <s v="AG018"/>
    <s v="COM056"/>
    <n v="10"/>
    <n v="420"/>
    <n v="0"/>
    <s v="Mobile Money"/>
    <s v="Validée"/>
    <s v="Client 01629"/>
    <s v="Kisangani"/>
    <s v="Institution"/>
    <s v="Projecteur HD"/>
    <s v="Bureautique"/>
    <s v="Premium"/>
    <s v="Agence Kolwezi 3"/>
    <s v="Kolwezi"/>
    <s v="Commercial 056"/>
    <n v="37"/>
    <x v="1"/>
    <n v="4"/>
    <n v="4.9000000000000004"/>
    <n v="7"/>
    <s v="Magasin"/>
    <n v="273"/>
    <n v="4200"/>
    <n v="0"/>
    <n v="4200"/>
    <n v="2730"/>
    <n v="1470"/>
    <n v="0.35"/>
    <n v="2025"/>
    <n v="9"/>
    <s v="2025-09"/>
    <s v="T3"/>
    <s v="30-39"/>
    <s v="faible"/>
    <s v="Long"/>
    <s v="Elevée"/>
  </r>
  <r>
    <s v="TX0000199"/>
    <d v="2025-05-20T00:00:00"/>
    <s v="CLI01574"/>
    <s v="PRD013"/>
    <s v="AG013"/>
    <s v="COM039"/>
    <n v="1"/>
    <n v="110"/>
    <n v="0"/>
    <s v="Carte"/>
    <s v="Validée"/>
    <s v="Client 01574"/>
    <s v="Goma"/>
    <s v="Grande entreprise"/>
    <s v="Disque SSD 1TB"/>
    <s v="Informatique"/>
    <s v="Premium"/>
    <s v="Agence Kinshasa 3"/>
    <s v="Kinshasa"/>
    <s v="Commercial 039"/>
    <n v="27"/>
    <x v="0"/>
    <n v="15"/>
    <n v="8.8000000000000007"/>
    <n v="1"/>
    <s v="Web"/>
    <n v="72.599999999999994"/>
    <n v="110"/>
    <n v="0"/>
    <n v="110"/>
    <n v="72.599999999999994"/>
    <n v="37.400000000000006"/>
    <n v="0.34"/>
    <n v="2025"/>
    <n v="5"/>
    <s v="2025-05"/>
    <s v="T2"/>
    <s v="22-29"/>
    <s v="bon"/>
    <s v="Rapide"/>
    <s v="Faible"/>
  </r>
  <r>
    <s v="TX0000200"/>
    <d v="2025-09-26T00:00:00"/>
    <s v="CLI00037"/>
    <s v="PRD015"/>
    <s v="AG017"/>
    <s v="COM046"/>
    <n v="1"/>
    <n v="48"/>
    <n v="0.1"/>
    <s v="Carte"/>
    <s v="Validée"/>
    <s v="Client 00037"/>
    <s v="Matadi"/>
    <s v="Grande entreprise"/>
    <s v="Webcam HD"/>
    <s v="Électronique"/>
    <s v="Entrée de gamme"/>
    <s v="Agence Matadi 3"/>
    <s v="Matadi"/>
    <s v="Commercial 046"/>
    <n v="30"/>
    <x v="1"/>
    <n v="9"/>
    <n v="3.4"/>
    <n v="9"/>
    <s v="WhatsApp"/>
    <n v="37.44"/>
    <n v="48"/>
    <n v="4.8000000000000007"/>
    <n v="43.2"/>
    <n v="37.44"/>
    <n v="5.7600000000000051"/>
    <n v="0.13333333333333344"/>
    <n v="2025"/>
    <n v="9"/>
    <s v="2025-09"/>
    <s v="T3"/>
    <s v="30-39"/>
    <s v="faible"/>
    <s v="Long"/>
    <s v="Faible"/>
  </r>
  <r>
    <s v="TX0000201"/>
    <d v="2025-01-24T00:00:00"/>
    <s v="CLI01100"/>
    <s v="PRD004"/>
    <s v="AG006"/>
    <s v="COM015"/>
    <n v="3"/>
    <n v="520"/>
    <n v="0"/>
    <s v="Cash"/>
    <s v="Validée"/>
    <s v="Client 01100"/>
    <s v="Kolwezi"/>
    <s v="Institution"/>
    <s v="Laptop Essential 15"/>
    <s v="Informatique"/>
    <s v="Standard"/>
    <s v="Agence Kolwezi 1"/>
    <s v="Kolwezi"/>
    <s v="Commercial 015"/>
    <n v="48"/>
    <x v="0"/>
    <n v="27"/>
    <n v="8.1999999999999993"/>
    <n v="1"/>
    <s v="Web"/>
    <n v="348.4"/>
    <n v="1560"/>
    <n v="0"/>
    <n v="1560"/>
    <n v="1045.1999999999998"/>
    <n v="514.80000000000018"/>
    <n v="0.33000000000000013"/>
    <n v="2025"/>
    <n v="1"/>
    <s v="2025-01"/>
    <s v="T1"/>
    <s v="40-49"/>
    <s v="bon"/>
    <s v="Rapide"/>
    <s v="Elevée"/>
  </r>
  <r>
    <s v="TX0000202"/>
    <d v="2025-01-27T00:00:00"/>
    <s v="CLI01138"/>
    <s v="PRD005"/>
    <s v="AG009"/>
    <s v="COM056"/>
    <n v="3"/>
    <n v="260"/>
    <n v="0"/>
    <s v="Carte"/>
    <s v="Validée"/>
    <s v="Client 01138"/>
    <s v="Kolwezi"/>
    <s v="ONG"/>
    <s v="Tablette T10"/>
    <s v="Électronique"/>
    <s v="Standard"/>
    <s v="Agence Goma 2"/>
    <s v="Goma"/>
    <s v="Commercial 056"/>
    <n v="32"/>
    <x v="1"/>
    <n v="43"/>
    <n v="5.8"/>
    <n v="6"/>
    <s v="Téléphone"/>
    <n v="189.8"/>
    <n v="780"/>
    <n v="0"/>
    <n v="780"/>
    <n v="569.40000000000009"/>
    <n v="210.59999999999991"/>
    <n v="0.26999999999999991"/>
    <n v="2025"/>
    <n v="1"/>
    <s v="2025-01"/>
    <s v="T1"/>
    <s v="30-39"/>
    <s v="moyen"/>
    <s v="Moyen"/>
    <s v="Moyenne"/>
  </r>
  <r>
    <s v="TX0000203"/>
    <d v="2025-02-12T00:00:00"/>
    <s v="CLI00006"/>
    <s v="PRD012"/>
    <s v="AG012"/>
    <s v="COM021"/>
    <n v="10"/>
    <n v="180"/>
    <n v="0.05"/>
    <s v="Virement"/>
    <s v="Validée"/>
    <s v="Client 00006"/>
    <s v="Kolwezi"/>
    <s v="Institution"/>
    <s v="Onduleur 1200VA"/>
    <s v="Énergie"/>
    <s v="Standard"/>
    <s v="Agence Kolwezi 2"/>
    <s v="Kolwezi"/>
    <s v="Commercial 021"/>
    <n v="24"/>
    <x v="1"/>
    <n v="45"/>
    <n v="7"/>
    <n v="3"/>
    <s v="Téléphone"/>
    <n v="129.6"/>
    <n v="1800"/>
    <n v="90"/>
    <n v="1710"/>
    <n v="1296"/>
    <n v="414"/>
    <n v="0.24210526315789474"/>
    <n v="2025"/>
    <n v="2"/>
    <s v="2025-02"/>
    <s v="T1"/>
    <s v="22-29"/>
    <s v="bon"/>
    <s v="Rapide"/>
    <s v="Elevée"/>
  </r>
  <r>
    <s v="TX0000204"/>
    <d v="2025-11-17T00:00:00"/>
    <s v="CLI01673"/>
    <s v="PRD010"/>
    <s v="AG011"/>
    <s v="COM004"/>
    <n v="4"/>
    <n v="95"/>
    <n v="0.1"/>
    <s v="Virement"/>
    <s v="Validée"/>
    <s v="Client 01673"/>
    <s v="Lubumbashi"/>
    <s v="PME"/>
    <s v="Routeur Business"/>
    <s v="Réseau"/>
    <s v="Standard"/>
    <s v="Agence Matadi 2"/>
    <s v="Matadi"/>
    <s v="Commercial 004"/>
    <n v="37"/>
    <x v="1"/>
    <n v="53"/>
    <n v="7.1"/>
    <n v="4"/>
    <s v="Téléphone"/>
    <n v="70.3"/>
    <n v="380"/>
    <n v="38"/>
    <n v="342"/>
    <n v="281.2"/>
    <n v="60.800000000000011"/>
    <n v="0.17777777777777781"/>
    <n v="2025"/>
    <n v="11"/>
    <s v="2025-11"/>
    <s v="T4"/>
    <s v="30-39"/>
    <s v="bon"/>
    <s v="Moyen"/>
    <s v="Faible"/>
  </r>
  <r>
    <s v="TX0000205"/>
    <d v="2025-10-03T00:00:00"/>
    <s v="CLI01146"/>
    <s v="PRD006"/>
    <s v="AG009"/>
    <s v="COM002"/>
    <n v="3"/>
    <n v="190"/>
    <n v="0.1"/>
    <s v="Cash"/>
    <s v="Validée"/>
    <s v="Client 01146"/>
    <s v="Kolwezi"/>
    <s v="Grande entreprise"/>
    <s v="Imprimante Office"/>
    <s v="Bureautique"/>
    <s v="Standard"/>
    <s v="Agence Goma 2"/>
    <s v="Goma"/>
    <s v="Commercial 002"/>
    <n v="22"/>
    <x v="1"/>
    <n v="34"/>
    <n v="6.4"/>
    <n v="4"/>
    <s v="Téléphone"/>
    <n v="148.19999999999999"/>
    <n v="570"/>
    <n v="57"/>
    <n v="513"/>
    <n v="444.59999999999997"/>
    <n v="68.400000000000034"/>
    <n v="0.13333333333333339"/>
    <n v="2025"/>
    <n v="10"/>
    <s v="2025-10"/>
    <s v="T4"/>
    <s v="22-29"/>
    <s v="moyen"/>
    <s v="Moyen"/>
    <s v="Moyenne"/>
  </r>
  <r>
    <s v="TX0000206"/>
    <d v="2025-08-15T00:00:00"/>
    <s v="CLI01565"/>
    <s v="PRD009"/>
    <s v="AG018"/>
    <s v="COM014"/>
    <n v="1"/>
    <n v="22"/>
    <n v="0"/>
    <s v="Carte"/>
    <s v="Validée"/>
    <s v="Client 01565"/>
    <s v="Lubumbashi"/>
    <s v="PME"/>
    <s v="Souris Wireless"/>
    <s v="Informatique"/>
    <s v="Entrée de gamme"/>
    <s v="Agence Kolwezi 3"/>
    <s v="Kolwezi"/>
    <s v="Commercial 014"/>
    <n v="60"/>
    <x v="1"/>
    <n v="7"/>
    <n v="3.3"/>
    <n v="9"/>
    <s v="Web"/>
    <n v="14.96"/>
    <n v="22"/>
    <n v="0"/>
    <n v="22"/>
    <n v="14.96"/>
    <n v="7.0399999999999991"/>
    <n v="0.31999999999999995"/>
    <n v="2025"/>
    <n v="8"/>
    <s v="2025-08"/>
    <s v="T3"/>
    <s v="50+"/>
    <s v="faible"/>
    <s v="Long"/>
    <s v="Faible"/>
  </r>
  <r>
    <s v="TX0000207"/>
    <d v="2025-08-11T00:00:00"/>
    <s v="CLI01620"/>
    <s v="PRD005"/>
    <s v="AG015"/>
    <s v="COM015"/>
    <n v="2"/>
    <n v="260"/>
    <n v="0.02"/>
    <s v="Cash"/>
    <s v="Validée"/>
    <s v="Client 01620"/>
    <s v="Kisangani"/>
    <s v="Grande entreprise"/>
    <s v="Tablette T10"/>
    <s v="Électronique"/>
    <s v="Standard"/>
    <s v="Agence Goma 3"/>
    <s v="Goma"/>
    <s v="Commercial 015"/>
    <n v="25"/>
    <x v="0"/>
    <n v="49"/>
    <n v="4.0999999999999996"/>
    <n v="7"/>
    <s v="WhatsApp"/>
    <n v="189.8"/>
    <n v="520"/>
    <n v="10.4"/>
    <n v="509.6"/>
    <n v="379.6"/>
    <n v="130"/>
    <n v="0.25510204081632654"/>
    <n v="2025"/>
    <n v="8"/>
    <s v="2025-08"/>
    <s v="T3"/>
    <s v="22-29"/>
    <s v="faible"/>
    <s v="Long"/>
    <s v="Moyenne"/>
  </r>
  <r>
    <s v="TX0000208"/>
    <d v="2025-10-19T00:00:00"/>
    <s v="CLI01882"/>
    <s v="PRD006"/>
    <s v="AG006"/>
    <s v="COM013"/>
    <n v="2"/>
    <n v="190"/>
    <n v="0.08"/>
    <s v="Carte"/>
    <s v="Validée"/>
    <s v="Client 01882"/>
    <s v="Kinshasa"/>
    <s v="Indépendant"/>
    <s v="Imprimante Office"/>
    <s v="Bureautique"/>
    <s v="Standard"/>
    <s v="Agence Kolwezi 1"/>
    <s v="Kolwezi"/>
    <s v="Commercial 013"/>
    <n v="24"/>
    <x v="0"/>
    <n v="48"/>
    <n v="6"/>
    <n v="6"/>
    <s v="Téléphone"/>
    <n v="148.19999999999999"/>
    <n v="380"/>
    <n v="30.400000000000002"/>
    <n v="349.6"/>
    <n v="296.39999999999998"/>
    <n v="53.200000000000045"/>
    <n v="0.15217391304347838"/>
    <n v="2025"/>
    <n v="10"/>
    <s v="2025-10"/>
    <s v="T4"/>
    <s v="22-29"/>
    <s v="moyen"/>
    <s v="Moyen"/>
    <s v="Faible"/>
  </r>
  <r>
    <s v="TX0000209"/>
    <d v="2025-04-01T00:00:00"/>
    <s v="CLI00087"/>
    <s v="PRD010"/>
    <s v="AG006"/>
    <s v="COM057"/>
    <n v="4"/>
    <n v="95"/>
    <n v="0.08"/>
    <s v="Carte"/>
    <s v="Validée"/>
    <s v="Client 00087"/>
    <s v="Kolwezi"/>
    <s v="ONG"/>
    <s v="Routeur Business"/>
    <s v="Réseau"/>
    <s v="Standard"/>
    <s v="Agence Kolwezi 1"/>
    <s v="Kolwezi"/>
    <s v="Commercial 057"/>
    <n v="49"/>
    <x v="1"/>
    <n v="51"/>
    <n v="8.8000000000000007"/>
    <n v="1"/>
    <s v="Téléphone"/>
    <n v="70.3"/>
    <n v="380"/>
    <n v="30.400000000000002"/>
    <n v="349.6"/>
    <n v="281.2"/>
    <n v="68.400000000000034"/>
    <n v="0.19565217391304357"/>
    <n v="2025"/>
    <n v="4"/>
    <s v="2025-04"/>
    <s v="T2"/>
    <s v="40-49"/>
    <s v="bon"/>
    <s v="Rapide"/>
    <s v="Faible"/>
  </r>
  <r>
    <s v="TX0000210"/>
    <d v="2025-11-27T00:00:00"/>
    <s v="CLI00296"/>
    <s v="PRD014"/>
    <s v="AG008"/>
    <s v="COM030"/>
    <n v="10"/>
    <n v="65"/>
    <n v="0"/>
    <s v="Carte"/>
    <s v="Validée"/>
    <s v="Client 00296"/>
    <s v="Kolwezi"/>
    <s v="ONG"/>
    <s v="Casque Pro"/>
    <s v="Électronique"/>
    <s v="Standard"/>
    <s v="Agence Lubumbashi 2"/>
    <s v="Lubumbashi"/>
    <s v="Commercial 030"/>
    <n v="37"/>
    <x v="1"/>
    <n v="71"/>
    <n v="7.4"/>
    <n v="4"/>
    <s v="Magasin"/>
    <n v="47.45"/>
    <n v="650"/>
    <n v="0"/>
    <n v="650"/>
    <n v="474.5"/>
    <n v="175.5"/>
    <n v="0.27"/>
    <n v="2025"/>
    <n v="11"/>
    <s v="2025-11"/>
    <s v="T4"/>
    <s v="30-39"/>
    <s v="bon"/>
    <s v="Moyen"/>
    <s v="Moyenne"/>
  </r>
  <r>
    <s v="TX0000211"/>
    <d v="2025-01-11T00:00:00"/>
    <s v="CLI00049"/>
    <s v="PRD004"/>
    <s v="AG013"/>
    <s v="COM025"/>
    <n v="1"/>
    <n v="520"/>
    <n v="0"/>
    <s v="Cash"/>
    <s v="Validée"/>
    <s v="Client 00049"/>
    <s v="Kinshasa"/>
    <s v="PME"/>
    <s v="Laptop Essential 15"/>
    <s v="Informatique"/>
    <s v="Standard"/>
    <s v="Agence Kinshasa 3"/>
    <s v="Kinshasa"/>
    <s v="Commercial 025"/>
    <n v="52"/>
    <x v="0"/>
    <n v="69"/>
    <n v="4.3"/>
    <n v="9"/>
    <s v="Web"/>
    <n v="348.4"/>
    <n v="520"/>
    <n v="0"/>
    <n v="520"/>
    <n v="348.4"/>
    <n v="171.60000000000002"/>
    <n v="0.33000000000000007"/>
    <n v="2025"/>
    <n v="1"/>
    <s v="2025-01"/>
    <s v="T1"/>
    <s v="50+"/>
    <s v="faible"/>
    <s v="Long"/>
    <s v="Moyenne"/>
  </r>
  <r>
    <s v="TX0000212"/>
    <d v="2025-11-04T00:00:00"/>
    <s v="CLI00343"/>
    <s v="PRD009"/>
    <s v="AG005"/>
    <s v="COM041"/>
    <n v="1"/>
    <n v="22"/>
    <n v="0"/>
    <s v="Cash"/>
    <s v="Validée"/>
    <s v="Client 00343"/>
    <s v="Matadi"/>
    <s v="Institution"/>
    <s v="Souris Wireless"/>
    <s v="Informatique"/>
    <s v="Entrée de gamme"/>
    <s v="Agence Matadi 1"/>
    <s v="Matadi"/>
    <s v="Commercial 041"/>
    <n v="28"/>
    <x v="0"/>
    <n v="49"/>
    <n v="4.9000000000000004"/>
    <n v="6"/>
    <s v="Web"/>
    <n v="14.96"/>
    <n v="22"/>
    <n v="0"/>
    <n v="22"/>
    <n v="14.96"/>
    <n v="7.0399999999999991"/>
    <n v="0.31999999999999995"/>
    <n v="2025"/>
    <n v="11"/>
    <s v="2025-11"/>
    <s v="T4"/>
    <s v="22-29"/>
    <s v="faible"/>
    <s v="Moyen"/>
    <s v="Faible"/>
  </r>
  <r>
    <s v="TX0000213"/>
    <d v="2025-09-03T00:00:00"/>
    <s v="CLI01387"/>
    <s v="PRD003"/>
    <s v="AG007"/>
    <s v="COM009"/>
    <n v="4"/>
    <n v="780"/>
    <n v="0.02"/>
    <s v="Carte"/>
    <s v="Validée"/>
    <s v="Client 01387"/>
    <s v="Lubumbashi"/>
    <s v="PME"/>
    <s v="Laptop Business 14"/>
    <s v="Informatique"/>
    <s v="Premium"/>
    <s v="Agence Kinshasa 2"/>
    <s v="Kinshasa"/>
    <s v="Commercial 009"/>
    <n v="41"/>
    <x v="0"/>
    <n v="70"/>
    <n v="7.2"/>
    <n v="2"/>
    <s v="WhatsApp"/>
    <n v="468"/>
    <n v="3120"/>
    <n v="62.4"/>
    <n v="3057.6"/>
    <n v="1872"/>
    <n v="1185.5999999999999"/>
    <n v="0.38775510204081631"/>
    <n v="2025"/>
    <n v="9"/>
    <s v="2025-09"/>
    <s v="T3"/>
    <s v="40-49"/>
    <s v="bon"/>
    <s v="Rapide"/>
    <s v="Elevée"/>
  </r>
  <r>
    <s v="TX0000214"/>
    <d v="2025-10-06T00:00:00"/>
    <s v="CLI01962"/>
    <s v="PRD005"/>
    <s v="AG008"/>
    <s v="COM004"/>
    <n v="3"/>
    <n v="260"/>
    <n v="0.08"/>
    <s v="Cash"/>
    <s v="Validée"/>
    <s v="Client 01962"/>
    <s v="Kisangani"/>
    <s v="Grande entreprise"/>
    <s v="Tablette T10"/>
    <s v="Électronique"/>
    <s v="Standard"/>
    <s v="Agence Lubumbashi 2"/>
    <s v="Lubumbashi"/>
    <s v="Commercial 004"/>
    <n v="42"/>
    <x v="0"/>
    <n v="13"/>
    <n v="6.6"/>
    <n v="3"/>
    <s v="WhatsApp"/>
    <n v="189.8"/>
    <n v="780"/>
    <n v="62.4"/>
    <n v="717.6"/>
    <n v="569.40000000000009"/>
    <n v="148.19999999999993"/>
    <n v="0.20652173913043467"/>
    <n v="2025"/>
    <n v="10"/>
    <s v="2025-10"/>
    <s v="T4"/>
    <s v="40-49"/>
    <s v="moyen"/>
    <s v="Rapide"/>
    <s v="Moyenne"/>
  </r>
  <r>
    <s v="TX0000215"/>
    <d v="2025-02-22T00:00:00"/>
    <s v="CLI00183"/>
    <s v="PRD004"/>
    <s v="AG018"/>
    <s v="COM019"/>
    <n v="2"/>
    <n v="520"/>
    <n v="0.1"/>
    <s v="Mobile Money"/>
    <s v="Validée"/>
    <s v="Client 00183"/>
    <s v="Matadi"/>
    <s v="Grande entreprise"/>
    <s v="Laptop Essential 15"/>
    <s v="Informatique"/>
    <s v="Standard"/>
    <s v="Agence Kolwezi 3"/>
    <s v="Kolwezi"/>
    <s v="Commercial 019"/>
    <n v="40"/>
    <x v="1"/>
    <n v="53"/>
    <n v="8.3000000000000007"/>
    <n v="2"/>
    <s v="Téléphone"/>
    <n v="348.4"/>
    <n v="1040"/>
    <n v="104"/>
    <n v="936"/>
    <n v="696.8"/>
    <n v="239.20000000000005"/>
    <n v="0.25555555555555559"/>
    <n v="2025"/>
    <n v="2"/>
    <s v="2025-02"/>
    <s v="T1"/>
    <s v="40-49"/>
    <s v="bon"/>
    <s v="Rapide"/>
    <s v="Moyenne"/>
  </r>
  <r>
    <s v="TX0000216"/>
    <d v="2025-07-17T00:00:00"/>
    <s v="CLI00919"/>
    <s v="PRD001"/>
    <s v="AG008"/>
    <s v="COM028"/>
    <n v="1"/>
    <n v="120"/>
    <n v="0.08"/>
    <s v="Virement"/>
    <s v="Validée"/>
    <s v="Client 00919"/>
    <s v="Lubumbashi"/>
    <s v="Grande entreprise"/>
    <s v="Smartphone A1"/>
    <s v="Électronique"/>
    <s v="Entrée de gamme"/>
    <s v="Agence Lubumbashi 2"/>
    <s v="Lubumbashi"/>
    <s v="Commercial 028"/>
    <n v="39"/>
    <x v="1"/>
    <n v="15"/>
    <n v="7.3"/>
    <n v="3"/>
    <s v="Web"/>
    <n v="73.2"/>
    <n v="120"/>
    <n v="9.6"/>
    <n v="110.4"/>
    <n v="73.2"/>
    <n v="37.200000000000003"/>
    <n v="0.33695652173913043"/>
    <n v="2025"/>
    <n v="7"/>
    <s v="2025-07"/>
    <s v="T3"/>
    <s v="30-39"/>
    <s v="bon"/>
    <s v="Rapide"/>
    <s v="Faible"/>
  </r>
  <r>
    <s v="TX0000217"/>
    <d v="2025-02-26T00:00:00"/>
    <s v="CLI01576"/>
    <s v="PRD004"/>
    <s v="AG016"/>
    <s v="COM011"/>
    <n v="1"/>
    <n v="520"/>
    <n v="0"/>
    <s v="Virement"/>
    <s v="Validée"/>
    <s v="Client 01576"/>
    <s v="Lubumbashi"/>
    <s v="Institution"/>
    <s v="Laptop Essential 15"/>
    <s v="Informatique"/>
    <s v="Standard"/>
    <s v="Agence Kisangani 3"/>
    <s v="Kisangani"/>
    <s v="Commercial 011"/>
    <n v="52"/>
    <x v="1"/>
    <n v="36"/>
    <n v="6"/>
    <n v="4"/>
    <s v="WhatsApp"/>
    <n v="348.4"/>
    <n v="520"/>
    <n v="0"/>
    <n v="520"/>
    <n v="348.4"/>
    <n v="171.60000000000002"/>
    <n v="0.33000000000000007"/>
    <n v="2025"/>
    <n v="2"/>
    <s v="2025-02"/>
    <s v="T1"/>
    <s v="50+"/>
    <s v="moyen"/>
    <s v="Moyen"/>
    <s v="Moyenne"/>
  </r>
  <r>
    <s v="TX0000218"/>
    <d v="2025-02-13T00:00:00"/>
    <s v="CLI01367"/>
    <s v="PRD004"/>
    <s v="AG012"/>
    <s v="COM060"/>
    <n v="5"/>
    <n v="520"/>
    <n v="0.05"/>
    <s v="Carte"/>
    <s v="Validée"/>
    <s v="Client 01367"/>
    <s v="Goma"/>
    <s v="PME"/>
    <s v="Laptop Essential 15"/>
    <s v="Informatique"/>
    <s v="Standard"/>
    <s v="Agence Kolwezi 2"/>
    <s v="Kolwezi"/>
    <s v="Commercial 060"/>
    <n v="22"/>
    <x v="1"/>
    <n v="19"/>
    <n v="5"/>
    <n v="8"/>
    <s v="WhatsApp"/>
    <n v="348.4"/>
    <n v="2600"/>
    <n v="130"/>
    <n v="2470"/>
    <n v="1742"/>
    <n v="728"/>
    <n v="0.29473684210526313"/>
    <n v="2025"/>
    <n v="2"/>
    <s v="2025-02"/>
    <s v="T1"/>
    <s v="22-29"/>
    <s v="moyen"/>
    <s v="Long"/>
    <s v="Elevée"/>
  </r>
  <r>
    <s v="TX0000219"/>
    <d v="2025-08-06T00:00:00"/>
    <s v="CLI02173"/>
    <s v="PRD011"/>
    <s v="AG006"/>
    <s v="COM044"/>
    <n v="1"/>
    <n v="240"/>
    <n v="0.08"/>
    <s v="Virement"/>
    <s v="Validée"/>
    <s v="Client 02173"/>
    <s v="Kisangani"/>
    <s v="Indépendant"/>
    <s v="Switch 24 Ports"/>
    <s v="Réseau"/>
    <s v="Premium"/>
    <s v="Agence Kolwezi 1"/>
    <s v="Kolwezi"/>
    <s v="Commercial 044"/>
    <n v="53"/>
    <x v="1"/>
    <n v="56"/>
    <n v="6.4"/>
    <n v="4"/>
    <s v="Téléphone"/>
    <n v="177.6"/>
    <n v="240"/>
    <n v="19.2"/>
    <n v="220.8"/>
    <n v="177.6"/>
    <n v="43.200000000000017"/>
    <n v="0.19565217391304354"/>
    <n v="2025"/>
    <n v="8"/>
    <s v="2025-08"/>
    <s v="T3"/>
    <s v="50+"/>
    <s v="moyen"/>
    <s v="Moyen"/>
    <s v="Faible"/>
  </r>
  <r>
    <s v="TX0000220"/>
    <d v="2025-09-13T00:00:00"/>
    <s v="CLI01176"/>
    <s v="PRD012"/>
    <s v="AG004"/>
    <s v="COM018"/>
    <n v="3"/>
    <n v="180"/>
    <n v="0"/>
    <s v="Cash"/>
    <s v="Validée"/>
    <s v="Client 01176"/>
    <s v="Lubumbashi"/>
    <s v="ONG"/>
    <s v="Onduleur 1200VA"/>
    <s v="Énergie"/>
    <s v="Standard"/>
    <s v="Agence Kisangani 1"/>
    <s v="Kisangani"/>
    <s v="Commercial 018"/>
    <n v="52"/>
    <x v="0"/>
    <n v="66"/>
    <n v="4.9000000000000004"/>
    <n v="6"/>
    <s v="Web"/>
    <n v="129.6"/>
    <n v="540"/>
    <n v="0"/>
    <n v="540"/>
    <n v="388.79999999999995"/>
    <n v="151.20000000000005"/>
    <n v="0.28000000000000008"/>
    <n v="2025"/>
    <n v="9"/>
    <s v="2025-09"/>
    <s v="T3"/>
    <s v="50+"/>
    <s v="faible"/>
    <s v="Moyen"/>
    <s v="Moyenne"/>
  </r>
  <r>
    <s v="TX0000221"/>
    <d v="2025-07-19T00:00:00"/>
    <s v="CLI00609"/>
    <s v="PRD005"/>
    <s v="AG011"/>
    <s v="COM010"/>
    <n v="2"/>
    <n v="260"/>
    <n v="0.1"/>
    <s v="Mobile Money"/>
    <s v="Validée"/>
    <s v="Client 00609"/>
    <s v="Kinshasa"/>
    <s v="Indépendant"/>
    <s v="Tablette T10"/>
    <s v="Électronique"/>
    <s v="Standard"/>
    <s v="Agence Matadi 2"/>
    <s v="Matadi"/>
    <s v="Commercial 010"/>
    <n v="56"/>
    <x v="0"/>
    <n v="46"/>
    <n v="5.2"/>
    <n v="7"/>
    <s v="Magasin"/>
    <n v="189.8"/>
    <n v="520"/>
    <n v="52"/>
    <n v="468"/>
    <n v="379.6"/>
    <n v="88.399999999999977"/>
    <n v="0.18888888888888883"/>
    <n v="2025"/>
    <n v="7"/>
    <s v="2025-07"/>
    <s v="T3"/>
    <s v="50+"/>
    <s v="moyen"/>
    <s v="Long"/>
    <s v="Faible"/>
  </r>
  <r>
    <s v="TX0000222"/>
    <d v="2025-02-16T00:00:00"/>
    <s v="CLI00464"/>
    <s v="PRD014"/>
    <s v="AG009"/>
    <s v="COM010"/>
    <n v="2"/>
    <n v="65"/>
    <n v="0"/>
    <s v="Carte"/>
    <s v="Validée"/>
    <s v="Client 00464"/>
    <s v="Kinshasa"/>
    <s v="Grande entreprise"/>
    <s v="Casque Pro"/>
    <s v="Électronique"/>
    <s v="Standard"/>
    <s v="Agence Goma 2"/>
    <s v="Goma"/>
    <s v="Commercial 010"/>
    <n v="30"/>
    <x v="0"/>
    <n v="8"/>
    <n v="7.4"/>
    <n v="4"/>
    <s v="Magasin"/>
    <n v="47.45"/>
    <n v="130"/>
    <n v="0"/>
    <n v="130"/>
    <n v="94.9"/>
    <n v="35.099999999999994"/>
    <n v="0.26999999999999996"/>
    <n v="2025"/>
    <n v="2"/>
    <s v="2025-02"/>
    <s v="T1"/>
    <s v="30-39"/>
    <s v="bon"/>
    <s v="Moyen"/>
    <s v="Faible"/>
  </r>
  <r>
    <s v="TX0000223"/>
    <d v="2025-09-04T00:00:00"/>
    <s v="CLI01445"/>
    <s v="PRD011"/>
    <s v="AG016"/>
    <s v="COM028"/>
    <n v="3"/>
    <n v="240"/>
    <n v="0.02"/>
    <s v="Virement"/>
    <s v="Validée"/>
    <s v="Client 01445"/>
    <s v="Lubumbashi"/>
    <s v="ONG"/>
    <s v="Switch 24 Ports"/>
    <s v="Réseau"/>
    <s v="Premium"/>
    <s v="Agence Kisangani 3"/>
    <s v="Kisangani"/>
    <s v="Commercial 028"/>
    <n v="49"/>
    <x v="0"/>
    <n v="6"/>
    <n v="4.2"/>
    <n v="8"/>
    <s v="WhatsApp"/>
    <n v="177.6"/>
    <n v="720"/>
    <n v="14.4"/>
    <n v="705.6"/>
    <n v="532.79999999999995"/>
    <n v="172.80000000000007"/>
    <n v="0.24489795918367355"/>
    <n v="2025"/>
    <n v="9"/>
    <s v="2025-09"/>
    <s v="T3"/>
    <s v="40-49"/>
    <s v="faible"/>
    <s v="Long"/>
    <s v="Moyenne"/>
  </r>
  <r>
    <s v="TX0000224"/>
    <d v="2025-09-12T00:00:00"/>
    <s v="CLI01008"/>
    <s v="PRD013"/>
    <s v="AG014"/>
    <s v="COM036"/>
    <n v="3"/>
    <n v="110"/>
    <n v="0.02"/>
    <s v="Carte"/>
    <s v="Validée"/>
    <s v="Client 01008"/>
    <s v="Goma"/>
    <s v="Indépendant"/>
    <s v="Disque SSD 1TB"/>
    <s v="Informatique"/>
    <s v="Premium"/>
    <s v="Agence Lubumbashi 3"/>
    <s v="Lubumbashi"/>
    <s v="Commercial 036"/>
    <n v="32"/>
    <x v="0"/>
    <n v="38"/>
    <n v="5.2"/>
    <n v="7"/>
    <s v="WhatsApp"/>
    <n v="72.599999999999994"/>
    <n v="330"/>
    <n v="6.6000000000000005"/>
    <n v="323.39999999999998"/>
    <n v="217.79999999999998"/>
    <n v="105.6"/>
    <n v="0.32653061224489799"/>
    <n v="2025"/>
    <n v="9"/>
    <s v="2025-09"/>
    <s v="T3"/>
    <s v="30-39"/>
    <s v="moyen"/>
    <s v="Long"/>
    <s v="Faible"/>
  </r>
  <r>
    <s v="TX0000225"/>
    <d v="2025-07-05T00:00:00"/>
    <s v="CLI01728"/>
    <s v="PRD008"/>
    <s v="AG003"/>
    <s v="COM016"/>
    <n v="1"/>
    <n v="35"/>
    <n v="0.1"/>
    <s v="Cash"/>
    <s v="Validée"/>
    <s v="Client 01728"/>
    <s v="Matadi"/>
    <s v="ONG"/>
    <s v="Clavier Pro"/>
    <s v="Informatique"/>
    <s v="Entrée de gamme"/>
    <s v="Agence Goma 1"/>
    <s v="Goma"/>
    <s v="Commercial 016"/>
    <n v="54"/>
    <x v="1"/>
    <n v="34"/>
    <n v="3.8"/>
    <n v="9"/>
    <s v="Magasin"/>
    <n v="24.15"/>
    <n v="35"/>
    <n v="3.5"/>
    <n v="31.5"/>
    <n v="24.15"/>
    <n v="7.3500000000000014"/>
    <n v="0.23333333333333336"/>
    <n v="2025"/>
    <n v="7"/>
    <s v="2025-07"/>
    <s v="T3"/>
    <s v="50+"/>
    <s v="faible"/>
    <s v="Long"/>
    <s v="Faible"/>
  </r>
  <r>
    <s v="TX0000226"/>
    <d v="2025-06-28T00:00:00"/>
    <s v="CLI01942"/>
    <s v="PRD005"/>
    <s v="AG004"/>
    <s v="COM004"/>
    <n v="2"/>
    <n v="260"/>
    <n v="0.1"/>
    <s v="Carte"/>
    <s v="Validée"/>
    <s v="Client 01942"/>
    <s v="Matadi"/>
    <s v="PME"/>
    <s v="Tablette T10"/>
    <s v="Électronique"/>
    <s v="Standard"/>
    <s v="Agence Kisangani 1"/>
    <s v="Kisangani"/>
    <s v="Commercial 004"/>
    <n v="42"/>
    <x v="1"/>
    <n v="17"/>
    <n v="6.6"/>
    <n v="3"/>
    <s v="Web"/>
    <n v="189.8"/>
    <n v="520"/>
    <n v="52"/>
    <n v="468"/>
    <n v="379.6"/>
    <n v="88.399999999999977"/>
    <n v="0.18888888888888883"/>
    <n v="2025"/>
    <n v="6"/>
    <s v="2025-06"/>
    <s v="T2"/>
    <s v="40-49"/>
    <s v="moyen"/>
    <s v="Rapide"/>
    <s v="Faible"/>
  </r>
  <r>
    <s v="TX0000228"/>
    <d v="2025-08-06T00:00:00"/>
    <s v="CLI00587"/>
    <s v="PRD013"/>
    <s v="AG001"/>
    <s v="COM045"/>
    <n v="2"/>
    <n v="110"/>
    <n v="0.08"/>
    <s v="Cash"/>
    <s v="Validée"/>
    <s v="Client 00587"/>
    <s v="Matadi"/>
    <s v="Grande entreprise"/>
    <s v="Disque SSD 1TB"/>
    <s v="Informatique"/>
    <s v="Premium"/>
    <s v="Agence Kinshasa 1"/>
    <s v="Kinshasa"/>
    <s v="Commercial 045"/>
    <n v="30"/>
    <x v="0"/>
    <n v="35"/>
    <n v="4.0999999999999996"/>
    <n v="8"/>
    <s v="Web"/>
    <n v="72.599999999999994"/>
    <n v="220"/>
    <n v="17.600000000000001"/>
    <n v="202.4"/>
    <n v="145.19999999999999"/>
    <n v="57.200000000000017"/>
    <n v="0.282608695652174"/>
    <n v="2025"/>
    <n v="8"/>
    <s v="2025-08"/>
    <s v="T3"/>
    <s v="30-39"/>
    <s v="faible"/>
    <s v="Long"/>
    <s v="Faible"/>
  </r>
  <r>
    <s v="TX0000229"/>
    <d v="2025-03-17T00:00:00"/>
    <s v="CLI00303"/>
    <s v="PRD016"/>
    <s v="AG006"/>
    <s v="COM002"/>
    <n v="2"/>
    <n v="420"/>
    <n v="0"/>
    <s v="Carte"/>
    <s v="Validée"/>
    <s v="Client 00303"/>
    <s v="Lubumbashi"/>
    <s v="Indépendant"/>
    <s v="Projecteur HD"/>
    <s v="Bureautique"/>
    <s v="Premium"/>
    <s v="Agence Kolwezi 1"/>
    <s v="Kolwezi"/>
    <s v="Commercial 002"/>
    <n v="33"/>
    <x v="1"/>
    <n v="6"/>
    <n v="3.1"/>
    <n v="9"/>
    <s v="Téléphone"/>
    <n v="273"/>
    <n v="840"/>
    <n v="0"/>
    <n v="840"/>
    <n v="546"/>
    <n v="294"/>
    <n v="0.35"/>
    <n v="2025"/>
    <n v="3"/>
    <s v="2025-03"/>
    <s v="T1"/>
    <s v="30-39"/>
    <s v="faible"/>
    <s v="Long"/>
    <s v="Moyenne"/>
  </r>
  <r>
    <s v="TX0000230"/>
    <d v="2025-03-13T00:00:00"/>
    <s v="CLI01706"/>
    <s v="PRD005"/>
    <s v="AG006"/>
    <s v="COM031"/>
    <n v="4"/>
    <n v="260"/>
    <n v="0.08"/>
    <s v="Virement"/>
    <s v="Validée"/>
    <s v="Client 01706"/>
    <s v="Kinshasa"/>
    <s v="Grande entreprise"/>
    <s v="Tablette T10"/>
    <s v="Électronique"/>
    <s v="Standard"/>
    <s v="Agence Kolwezi 1"/>
    <s v="Kolwezi"/>
    <s v="Commercial 031"/>
    <n v="30"/>
    <x v="0"/>
    <n v="28"/>
    <n v="8.1"/>
    <n v="3"/>
    <s v="Web"/>
    <n v="189.8"/>
    <n v="1040"/>
    <n v="83.2"/>
    <n v="956.8"/>
    <n v="759.2"/>
    <n v="197.59999999999991"/>
    <n v="0.2065217391304347"/>
    <n v="2025"/>
    <n v="3"/>
    <s v="2025-03"/>
    <s v="T1"/>
    <s v="30-39"/>
    <s v="bon"/>
    <s v="Rapide"/>
    <s v="Moyenne"/>
  </r>
  <r>
    <s v="TX0000231"/>
    <d v="2025-02-26T00:00:00"/>
    <s v="CLI01382"/>
    <s v="PRD015"/>
    <s v="AG001"/>
    <s v="COM019"/>
    <n v="1"/>
    <n v="48"/>
    <n v="0.08"/>
    <s v="Cash"/>
    <s v="Validée"/>
    <s v="Client 01382"/>
    <s v="Kisangani"/>
    <s v="Grande entreprise"/>
    <s v="Webcam HD"/>
    <s v="Électronique"/>
    <s v="Entrée de gamme"/>
    <s v="Agence Kinshasa 1"/>
    <s v="Kinshasa"/>
    <s v="Commercial 019"/>
    <n v="26"/>
    <x v="0"/>
    <n v="20"/>
    <n v="3.6"/>
    <n v="9"/>
    <s v="Web"/>
    <n v="37.44"/>
    <n v="48"/>
    <n v="3.84"/>
    <n v="44.16"/>
    <n v="37.44"/>
    <n v="6.7199999999999989"/>
    <n v="0.15217391304347824"/>
    <n v="2025"/>
    <n v="2"/>
    <s v="2025-02"/>
    <s v="T1"/>
    <s v="22-29"/>
    <s v="faible"/>
    <s v="Long"/>
    <s v="Faible"/>
  </r>
  <r>
    <s v="TX0000234"/>
    <d v="2025-01-29T00:00:00"/>
    <s v="CLI00513"/>
    <s v="PRD007"/>
    <s v="AG013"/>
    <s v="COM040"/>
    <n v="1"/>
    <n v="145"/>
    <n v="0"/>
    <s v="Cash"/>
    <s v="Validée"/>
    <s v="Client 00513"/>
    <s v="Kisangani"/>
    <s v="Institution"/>
    <s v="Écran 24 pouces"/>
    <s v="Informatique"/>
    <s v="Standard"/>
    <s v="Agence Kinshasa 3"/>
    <s v="Kinshasa"/>
    <s v="Commercial 040"/>
    <n v="38"/>
    <x v="0"/>
    <n v="26"/>
    <n v="7.3"/>
    <n v="3"/>
    <s v="Web"/>
    <n v="97.15"/>
    <n v="145"/>
    <n v="0"/>
    <n v="145"/>
    <n v="97.15"/>
    <n v="47.849999999999994"/>
    <n v="0.32999999999999996"/>
    <n v="2025"/>
    <n v="1"/>
    <s v="2025-01"/>
    <s v="T1"/>
    <s v="30-39"/>
    <s v="bon"/>
    <s v="Rapide"/>
    <s v="Faible"/>
  </r>
  <r>
    <s v="TX0000235"/>
    <d v="2025-11-25T00:00:00"/>
    <s v="CLI01919"/>
    <s v="PRD016"/>
    <s v="AG011"/>
    <s v="COM042"/>
    <n v="2"/>
    <n v="420"/>
    <n v="0.02"/>
    <s v="Carte"/>
    <s v="Validée"/>
    <s v="Client 01919"/>
    <s v="Lubumbashi"/>
    <s v="Grande entreprise"/>
    <s v="Projecteur HD"/>
    <s v="Bureautique"/>
    <s v="Premium"/>
    <s v="Agence Matadi 2"/>
    <s v="Matadi"/>
    <s v="Commercial 042"/>
    <n v="25"/>
    <x v="0"/>
    <n v="28"/>
    <n v="4.4000000000000004"/>
    <n v="8"/>
    <s v="Web"/>
    <n v="273"/>
    <n v="840"/>
    <n v="16.8"/>
    <n v="823.2"/>
    <n v="546"/>
    <n v="277.20000000000005"/>
    <n v="0.33673469387755106"/>
    <n v="2025"/>
    <n v="11"/>
    <s v="2025-11"/>
    <s v="T4"/>
    <s v="22-29"/>
    <s v="faible"/>
    <s v="Long"/>
    <s v="Moyenne"/>
  </r>
  <r>
    <s v="TX0000236"/>
    <d v="2025-02-25T00:00:00"/>
    <s v="CLI01522"/>
    <s v="PRD014"/>
    <s v="AG007"/>
    <s v="COM018"/>
    <n v="1"/>
    <n v="65"/>
    <n v="0"/>
    <s v="Virement"/>
    <s v="Validée"/>
    <s v="Client 01522"/>
    <s v="Matadi"/>
    <s v="ONG"/>
    <s v="Casque Pro"/>
    <s v="Électronique"/>
    <s v="Standard"/>
    <s v="Agence Kinshasa 2"/>
    <s v="Kinshasa"/>
    <s v="Commercial 018"/>
    <n v="23"/>
    <x v="1"/>
    <n v="54"/>
    <n v="4.8"/>
    <n v="6"/>
    <s v="Web"/>
    <n v="47.45"/>
    <n v="65"/>
    <n v="0"/>
    <n v="65"/>
    <n v="47.45"/>
    <n v="17.549999999999997"/>
    <n v="0.26999999999999996"/>
    <n v="2025"/>
    <n v="2"/>
    <s v="2025-02"/>
    <s v="T1"/>
    <s v="22-29"/>
    <s v="faible"/>
    <s v="Moyen"/>
    <s v="Faible"/>
  </r>
  <r>
    <s v="TX0000237"/>
    <d v="2025-02-03T00:00:00"/>
    <s v="CLI01156"/>
    <s v="PRD006"/>
    <s v="AG018"/>
    <s v="COM007"/>
    <n v="1"/>
    <n v="190"/>
    <n v="0"/>
    <s v="Virement"/>
    <s v="Validée"/>
    <s v="Client 01156"/>
    <s v="Kisangani"/>
    <s v="Grande entreprise"/>
    <s v="Imprimante Office"/>
    <s v="Bureautique"/>
    <s v="Standard"/>
    <s v="Agence Kolwezi 3"/>
    <s v="Kolwezi"/>
    <s v="Commercial 007"/>
    <n v="53"/>
    <x v="0"/>
    <n v="50"/>
    <n v="7.5"/>
    <n v="3"/>
    <s v="Téléphone"/>
    <n v="148.19999999999999"/>
    <n v="190"/>
    <n v="0"/>
    <n v="190"/>
    <n v="148.19999999999999"/>
    <n v="41.800000000000011"/>
    <n v="0.22000000000000006"/>
    <n v="2025"/>
    <n v="2"/>
    <s v="2025-02"/>
    <s v="T1"/>
    <s v="50+"/>
    <s v="bon"/>
    <s v="Rapide"/>
    <s v="Faible"/>
  </r>
  <r>
    <s v="TX0000238"/>
    <d v="2025-02-13T00:00:00"/>
    <s v="CLI00827"/>
    <s v="PRD002"/>
    <s v="AG008"/>
    <s v="COM018"/>
    <n v="10"/>
    <n v="350"/>
    <n v="0.05"/>
    <s v="Cash"/>
    <s v="Validée"/>
    <s v="Client 00827"/>
    <s v="Matadi"/>
    <s v="ONG"/>
    <s v="Smartphone Pro X"/>
    <s v="Électronique"/>
    <s v="Premium"/>
    <s v="Agence Lubumbashi 2"/>
    <s v="Lubumbashi"/>
    <s v="Commercial 018"/>
    <n v="28"/>
    <x v="0"/>
    <n v="24"/>
    <n v="5.3"/>
    <n v="6"/>
    <s v="Magasin"/>
    <n v="213.5"/>
    <n v="3500"/>
    <n v="175"/>
    <n v="3325"/>
    <n v="2135"/>
    <n v="1190"/>
    <n v="0.35789473684210527"/>
    <n v="2025"/>
    <n v="2"/>
    <s v="2025-02"/>
    <s v="T1"/>
    <s v="22-29"/>
    <s v="moyen"/>
    <s v="Moyen"/>
    <s v="Elevée"/>
  </r>
  <r>
    <s v="TX0000239"/>
    <d v="2025-02-17T00:00:00"/>
    <s v="CLI01982"/>
    <s v="PRD002"/>
    <s v="AG002"/>
    <s v="COM021"/>
    <n v="10"/>
    <n v="350"/>
    <n v="0"/>
    <s v="Virement"/>
    <s v="Validée"/>
    <s v="Client 01982"/>
    <s v="Kinshasa"/>
    <s v="Grande entreprise"/>
    <s v="Smartphone Pro X"/>
    <s v="Électronique"/>
    <s v="Premium"/>
    <s v="Agence Lubumbashi 1"/>
    <s v="Lubumbashi"/>
    <s v="Commercial 021"/>
    <n v="33"/>
    <x v="1"/>
    <n v="21"/>
    <n v="8.6999999999999993"/>
    <n v="2"/>
    <s v="WhatsApp"/>
    <n v="213.5"/>
    <n v="3500"/>
    <n v="0"/>
    <n v="3500"/>
    <n v="2135"/>
    <n v="1365"/>
    <n v="0.39"/>
    <n v="2025"/>
    <n v="2"/>
    <s v="2025-02"/>
    <s v="T1"/>
    <s v="30-39"/>
    <s v="bon"/>
    <s v="Rapide"/>
    <s v="Elevée"/>
  </r>
  <r>
    <s v="TX0000240"/>
    <d v="2025-07-20T00:00:00"/>
    <s v="CLI01631"/>
    <s v="PRD007"/>
    <s v="AG011"/>
    <s v="COM049"/>
    <n v="4"/>
    <n v="145"/>
    <n v="0"/>
    <s v="Cash"/>
    <s v="Validée"/>
    <s v="Client 01631"/>
    <s v="Kinshasa"/>
    <s v="Institution"/>
    <s v="Écran 24 pouces"/>
    <s v="Informatique"/>
    <s v="Standard"/>
    <s v="Agence Matadi 2"/>
    <s v="Matadi"/>
    <s v="Commercial 049"/>
    <n v="41"/>
    <x v="0"/>
    <n v="22"/>
    <n v="4.0999999999999996"/>
    <n v="8"/>
    <s v="Web"/>
    <n v="97.15"/>
    <n v="580"/>
    <n v="0"/>
    <n v="580"/>
    <n v="388.6"/>
    <n v="191.39999999999998"/>
    <n v="0.32999999999999996"/>
    <n v="2025"/>
    <n v="7"/>
    <s v="2025-07"/>
    <s v="T3"/>
    <s v="40-49"/>
    <s v="faible"/>
    <s v="Long"/>
    <s v="Moyenne"/>
  </r>
  <r>
    <s v="TX0000241"/>
    <d v="2025-03-18T00:00:00"/>
    <s v="CLI02063"/>
    <s v="PRD004"/>
    <s v="AG017"/>
    <s v="COM052"/>
    <n v="1"/>
    <n v="520"/>
    <n v="0.1"/>
    <s v="Mobile Money"/>
    <s v="Validée"/>
    <s v="Client 02063"/>
    <s v="Matadi"/>
    <s v="PME"/>
    <s v="Laptop Essential 15"/>
    <s v="Informatique"/>
    <s v="Standard"/>
    <s v="Agence Matadi 3"/>
    <s v="Matadi"/>
    <s v="Commercial 052"/>
    <n v="34"/>
    <x v="1"/>
    <n v="37"/>
    <n v="7.4"/>
    <n v="4"/>
    <s v="WhatsApp"/>
    <n v="348.4"/>
    <n v="520"/>
    <n v="52"/>
    <n v="468"/>
    <n v="348.4"/>
    <n v="119.60000000000002"/>
    <n v="0.25555555555555559"/>
    <n v="2025"/>
    <n v="3"/>
    <s v="2025-03"/>
    <s v="T1"/>
    <s v="30-39"/>
    <s v="bon"/>
    <s v="Moyen"/>
    <s v="Faible"/>
  </r>
  <r>
    <s v="TX0000243"/>
    <d v="2025-03-24T00:00:00"/>
    <s v="CLI00949"/>
    <s v="PRD007"/>
    <s v="AG005"/>
    <s v="COM050"/>
    <n v="20"/>
    <n v="145"/>
    <n v="0.05"/>
    <s v="Virement"/>
    <s v="Validée"/>
    <s v="Client 00949"/>
    <s v="Kisangani"/>
    <s v="PME"/>
    <s v="Écran 24 pouces"/>
    <s v="Informatique"/>
    <s v="Standard"/>
    <s v="Agence Matadi 1"/>
    <s v="Matadi"/>
    <s v="Commercial 050"/>
    <n v="60"/>
    <x v="1"/>
    <n v="29"/>
    <n v="6.2"/>
    <n v="4"/>
    <s v="WhatsApp"/>
    <n v="97.15"/>
    <n v="2900"/>
    <n v="145"/>
    <n v="2755"/>
    <n v="1943"/>
    <n v="812"/>
    <n v="0.29473684210526313"/>
    <n v="2025"/>
    <n v="3"/>
    <s v="2025-03"/>
    <s v="T1"/>
    <s v="50+"/>
    <s v="moyen"/>
    <s v="Moyen"/>
    <s v="Elevée"/>
  </r>
  <r>
    <s v="TX0000244"/>
    <d v="2025-11-16T00:00:00"/>
    <s v="CLI00538"/>
    <s v="PRD011"/>
    <s v="AG010"/>
    <s v="COM024"/>
    <n v="5"/>
    <n v="240"/>
    <n v="0.02"/>
    <s v="Cash"/>
    <s v="Validée"/>
    <s v="Client 00538"/>
    <s v="Lubumbashi"/>
    <s v="Grande entreprise"/>
    <s v="Switch 24 Ports"/>
    <s v="Réseau"/>
    <s v="Premium"/>
    <s v="Agence Kisangani 2"/>
    <s v="Kisangani"/>
    <s v="Commercial 024"/>
    <n v="25"/>
    <x v="1"/>
    <n v="25"/>
    <n v="5.6"/>
    <n v="5"/>
    <s v="WhatsApp"/>
    <n v="177.6"/>
    <n v="1200"/>
    <n v="24"/>
    <n v="1176"/>
    <n v="888"/>
    <n v="288"/>
    <n v="0.24489795918367346"/>
    <n v="2025"/>
    <n v="11"/>
    <s v="2025-11"/>
    <s v="T4"/>
    <s v="22-29"/>
    <s v="moyen"/>
    <s v="Moyen"/>
    <s v="Elevée"/>
  </r>
  <r>
    <s v="TX0000245"/>
    <d v="2025-11-07T00:00:00"/>
    <s v="CLI01588"/>
    <s v="PRD008"/>
    <s v="AG007"/>
    <s v="COM040"/>
    <n v="1"/>
    <n v="35"/>
    <n v="0"/>
    <s v="Mobile Money"/>
    <s v="Validée"/>
    <s v="Client 01588"/>
    <s v="Lubumbashi"/>
    <s v="Institution"/>
    <s v="Clavier Pro"/>
    <s v="Informatique"/>
    <s v="Entrée de gamme"/>
    <s v="Agence Kinshasa 2"/>
    <s v="Kinshasa"/>
    <s v="Commercial 040"/>
    <n v="60"/>
    <x v="0"/>
    <n v="11"/>
    <n v="5.6"/>
    <n v="5"/>
    <s v="Téléphone"/>
    <n v="24.15"/>
    <n v="35"/>
    <n v="0"/>
    <n v="35"/>
    <n v="24.15"/>
    <n v="10.850000000000001"/>
    <n v="0.31000000000000005"/>
    <n v="2025"/>
    <n v="11"/>
    <s v="2025-11"/>
    <s v="T4"/>
    <s v="50+"/>
    <s v="moyen"/>
    <s v="Moyen"/>
    <s v="Faible"/>
  </r>
  <r>
    <s v="TX0000246"/>
    <d v="2025-02-14T00:00:00"/>
    <s v="CLI00062"/>
    <s v="PRD005"/>
    <s v="AG010"/>
    <s v="COM036"/>
    <n v="2"/>
    <n v="260"/>
    <n v="0.02"/>
    <s v="Virement"/>
    <s v="Validée"/>
    <s v="Client 00062"/>
    <s v="Lubumbashi"/>
    <s v="Indépendant"/>
    <s v="Tablette T10"/>
    <s v="Électronique"/>
    <s v="Standard"/>
    <s v="Agence Kisangani 2"/>
    <s v="Kisangani"/>
    <s v="Commercial 036"/>
    <n v="47"/>
    <x v="1"/>
    <n v="14"/>
    <n v="7"/>
    <n v="3"/>
    <s v="WhatsApp"/>
    <n v="189.8"/>
    <n v="520"/>
    <n v="10.4"/>
    <n v="509.6"/>
    <n v="379.6"/>
    <n v="130"/>
    <n v="0.25510204081632654"/>
    <n v="2025"/>
    <n v="2"/>
    <s v="2025-02"/>
    <s v="T1"/>
    <s v="40-49"/>
    <s v="bon"/>
    <s v="Rapide"/>
    <s v="Moyenne"/>
  </r>
  <r>
    <s v="TX0000247"/>
    <d v="2025-10-23T00:00:00"/>
    <s v="CLI01211"/>
    <s v="PRD006"/>
    <s v="AG003"/>
    <s v="COM018"/>
    <n v="2"/>
    <n v="190"/>
    <n v="0"/>
    <s v="Cash"/>
    <s v="Validée"/>
    <s v="Client 01211"/>
    <s v="Kinshasa"/>
    <s v="Institution"/>
    <s v="Imprimante Office"/>
    <s v="Bureautique"/>
    <s v="Standard"/>
    <s v="Agence Goma 1"/>
    <s v="Goma"/>
    <s v="Commercial 018"/>
    <n v="22"/>
    <x v="0"/>
    <n v="47"/>
    <n v="5.4"/>
    <n v="7"/>
    <s v="Téléphone"/>
    <n v="148.19999999999999"/>
    <n v="380"/>
    <n v="0"/>
    <n v="380"/>
    <n v="296.39999999999998"/>
    <n v="83.600000000000023"/>
    <n v="0.22000000000000006"/>
    <n v="2025"/>
    <n v="10"/>
    <s v="2025-10"/>
    <s v="T4"/>
    <s v="22-29"/>
    <s v="moyen"/>
    <s v="Long"/>
    <s v="Faible"/>
  </r>
  <r>
    <s v="TX0000249"/>
    <d v="2025-05-27T00:00:00"/>
    <s v="CLI02000"/>
    <s v="PRD002"/>
    <s v="AG012"/>
    <s v="COM055"/>
    <n v="2"/>
    <n v="350"/>
    <n v="0.1"/>
    <s v="Carte"/>
    <s v="Validée"/>
    <s v="Client 02000"/>
    <s v="Lubumbashi"/>
    <s v="Indépendant"/>
    <s v="Smartphone Pro X"/>
    <s v="Électronique"/>
    <s v="Premium"/>
    <s v="Agence Kolwezi 2"/>
    <s v="Kolwezi"/>
    <s v="Commercial 055"/>
    <n v="59"/>
    <x v="1"/>
    <n v="38"/>
    <n v="5"/>
    <n v="8"/>
    <s v="WhatsApp"/>
    <n v="213.5"/>
    <n v="700"/>
    <n v="70"/>
    <n v="630"/>
    <n v="427"/>
    <n v="203"/>
    <n v="0.32222222222222224"/>
    <n v="2025"/>
    <n v="5"/>
    <s v="2025-05"/>
    <s v="T2"/>
    <s v="50+"/>
    <s v="moyen"/>
    <s v="Long"/>
    <s v="Moyenne"/>
  </r>
  <r>
    <s v="TX0000250"/>
    <d v="2025-12-16T00:00:00"/>
    <s v="CLI02100"/>
    <s v="PRD011"/>
    <s v="AG012"/>
    <s v="COM006"/>
    <n v="2"/>
    <n v="240"/>
    <n v="0.02"/>
    <s v="Virement"/>
    <s v="Validée"/>
    <s v="Client 02100"/>
    <s v="Kinshasa"/>
    <s v="Indépendant"/>
    <s v="Switch 24 Ports"/>
    <s v="Réseau"/>
    <s v="Premium"/>
    <s v="Agence Kolwezi 2"/>
    <s v="Kolwezi"/>
    <s v="Commercial 006"/>
    <n v="40"/>
    <x v="0"/>
    <n v="65"/>
    <n v="5.2"/>
    <n v="7"/>
    <s v="Téléphone"/>
    <n v="177.6"/>
    <n v="480"/>
    <n v="9.6"/>
    <n v="470.4"/>
    <n v="355.2"/>
    <n v="115.19999999999999"/>
    <n v="0.24489795918367346"/>
    <n v="2025"/>
    <n v="12"/>
    <s v="2025-12"/>
    <s v="T4"/>
    <s v="40-49"/>
    <s v="moyen"/>
    <s v="Long"/>
    <s v="Faible"/>
  </r>
  <r>
    <s v="TX0000251"/>
    <d v="2025-10-15T00:00:00"/>
    <s v="CLI00175"/>
    <s v="PRD002"/>
    <s v="AG008"/>
    <s v="COM045"/>
    <n v="1"/>
    <n v="350"/>
    <n v="0.1"/>
    <s v="Cash"/>
    <s v="Validée"/>
    <s v="Client 00175"/>
    <s v="Kisangani"/>
    <s v="Institution"/>
    <s v="Smartphone Pro X"/>
    <s v="Électronique"/>
    <s v="Premium"/>
    <s v="Agence Lubumbashi 2"/>
    <s v="Lubumbashi"/>
    <s v="Commercial 045"/>
    <n v="33"/>
    <x v="1"/>
    <n v="44"/>
    <n v="7.3"/>
    <n v="4"/>
    <s v="WhatsApp"/>
    <n v="213.5"/>
    <n v="350"/>
    <n v="35"/>
    <n v="315"/>
    <n v="213.5"/>
    <n v="101.5"/>
    <n v="0.32222222222222224"/>
    <n v="2025"/>
    <n v="10"/>
    <s v="2025-10"/>
    <s v="T4"/>
    <s v="30-39"/>
    <s v="bon"/>
    <s v="Moyen"/>
    <s v="Faible"/>
  </r>
  <r>
    <s v="TX0000252"/>
    <d v="2025-07-18T00:00:00"/>
    <s v="CLI00649"/>
    <s v="PRD013"/>
    <s v="AG003"/>
    <s v="COM015"/>
    <n v="5"/>
    <n v="110"/>
    <n v="0.08"/>
    <s v="Cash"/>
    <s v="Validée"/>
    <s v="Client 00649"/>
    <s v="Lubumbashi"/>
    <s v="Institution"/>
    <s v="Disque SSD 1TB"/>
    <s v="Informatique"/>
    <s v="Premium"/>
    <s v="Agence Goma 1"/>
    <s v="Goma"/>
    <s v="Commercial 015"/>
    <n v="57"/>
    <x v="1"/>
    <n v="10"/>
    <n v="6.8"/>
    <n v="5"/>
    <s v="Téléphone"/>
    <n v="72.599999999999994"/>
    <n v="550"/>
    <n v="44"/>
    <n v="506"/>
    <n v="363"/>
    <n v="143"/>
    <n v="0.28260869565217389"/>
    <n v="2025"/>
    <n v="7"/>
    <s v="2025-07"/>
    <s v="T3"/>
    <s v="50+"/>
    <s v="moyen"/>
    <s v="Moyen"/>
    <s v="Moyenne"/>
  </r>
  <r>
    <s v="TX0000253"/>
    <d v="2025-04-03T00:00:00"/>
    <s v="CLI01919"/>
    <s v="PRD015"/>
    <s v="AG004"/>
    <s v="COM006"/>
    <n v="4"/>
    <n v="48"/>
    <n v="0.02"/>
    <s v="Mobile Money"/>
    <s v="Validée"/>
    <s v="Client 01919"/>
    <s v="Lubumbashi"/>
    <s v="Grande entreprise"/>
    <s v="Webcam HD"/>
    <s v="Électronique"/>
    <s v="Entrée de gamme"/>
    <s v="Agence Kisangani 1"/>
    <s v="Kisangani"/>
    <s v="Commercial 006"/>
    <n v="25"/>
    <x v="0"/>
    <n v="28"/>
    <n v="6.3"/>
    <n v="5"/>
    <s v="WhatsApp"/>
    <n v="37.44"/>
    <n v="192"/>
    <n v="3.84"/>
    <n v="188.16"/>
    <n v="149.76"/>
    <n v="38.400000000000006"/>
    <n v="0.20408163265306126"/>
    <n v="2025"/>
    <n v="4"/>
    <s v="2025-04"/>
    <s v="T2"/>
    <s v="22-29"/>
    <s v="moyen"/>
    <s v="Moyen"/>
    <s v="Faible"/>
  </r>
  <r>
    <s v="TX0000254"/>
    <d v="2025-11-06T00:00:00"/>
    <s v="CLI01347"/>
    <s v="PRD003"/>
    <s v="AG011"/>
    <s v="COM022"/>
    <n v="2"/>
    <n v="780"/>
    <n v="0.08"/>
    <s v="Mobile Money"/>
    <s v="Validée"/>
    <s v="Client 01347"/>
    <s v="Goma"/>
    <s v="ONG"/>
    <s v="Laptop Business 14"/>
    <s v="Informatique"/>
    <s v="Premium"/>
    <s v="Agence Matadi 2"/>
    <s v="Matadi"/>
    <s v="Commercial 022"/>
    <n v="25"/>
    <x v="1"/>
    <n v="46"/>
    <n v="7"/>
    <n v="3"/>
    <s v="WhatsApp"/>
    <n v="468"/>
    <n v="1560"/>
    <n v="124.8"/>
    <n v="1435.2"/>
    <n v="936"/>
    <n v="499.20000000000005"/>
    <n v="0.34782608695652178"/>
    <n v="2025"/>
    <n v="11"/>
    <s v="2025-11"/>
    <s v="T4"/>
    <s v="22-29"/>
    <s v="bon"/>
    <s v="Rapide"/>
    <s v="Elevée"/>
  </r>
  <r>
    <s v="TX0000255"/>
    <d v="2025-08-29T00:00:00"/>
    <s v="CLI01862"/>
    <s v="PRD002"/>
    <s v="AG018"/>
    <s v="COM010"/>
    <n v="1"/>
    <n v="350"/>
    <n v="0"/>
    <s v="Virement"/>
    <s v="Validée"/>
    <s v="Client 01862"/>
    <s v="Lubumbashi"/>
    <s v="PME"/>
    <s v="Smartphone Pro X"/>
    <s v="Électronique"/>
    <s v="Premium"/>
    <s v="Agence Kolwezi 3"/>
    <s v="Kolwezi"/>
    <s v="Commercial 010"/>
    <n v="27"/>
    <x v="1"/>
    <n v="28"/>
    <n v="8.8000000000000007"/>
    <n v="1"/>
    <s v="Web"/>
    <n v="213.5"/>
    <n v="350"/>
    <n v="0"/>
    <n v="350"/>
    <n v="213.5"/>
    <n v="136.5"/>
    <n v="0.39"/>
    <n v="2025"/>
    <n v="8"/>
    <s v="2025-08"/>
    <s v="T3"/>
    <s v="22-29"/>
    <s v="bon"/>
    <s v="Rapide"/>
    <s v="Faible"/>
  </r>
  <r>
    <s v="TX0000256"/>
    <d v="2025-08-09T00:00:00"/>
    <s v="CLI01558"/>
    <s v="PRD002"/>
    <s v="AG012"/>
    <s v="COM051"/>
    <n v="10"/>
    <n v="350"/>
    <n v="0"/>
    <s v="Cash"/>
    <s v="Validée"/>
    <s v="Client 01558"/>
    <s v="Kolwezi"/>
    <s v="PME"/>
    <s v="Smartphone Pro X"/>
    <s v="Électronique"/>
    <s v="Premium"/>
    <s v="Agence Kolwezi 2"/>
    <s v="Kolwezi"/>
    <s v="Commercial 051"/>
    <n v="40"/>
    <x v="1"/>
    <n v="70"/>
    <n v="7"/>
    <n v="3"/>
    <s v="Web"/>
    <n v="213.5"/>
    <n v="3500"/>
    <n v="0"/>
    <n v="3500"/>
    <n v="2135"/>
    <n v="1365"/>
    <n v="0.39"/>
    <n v="2025"/>
    <n v="8"/>
    <s v="2025-08"/>
    <s v="T3"/>
    <s v="40-49"/>
    <s v="bon"/>
    <s v="Rapide"/>
    <s v="Elevée"/>
  </r>
  <r>
    <s v="TX0000257"/>
    <d v="2025-11-22T00:00:00"/>
    <s v="CLI00094"/>
    <s v="PRD014"/>
    <s v="AG009"/>
    <s v="COM017"/>
    <n v="1"/>
    <n v="65"/>
    <n v="0"/>
    <s v="Cash"/>
    <s v="Validée"/>
    <s v="Client 00094"/>
    <s v="Kinshasa"/>
    <s v="ONG"/>
    <s v="Casque Pro"/>
    <s v="Électronique"/>
    <s v="Standard"/>
    <s v="Agence Goma 2"/>
    <s v="Goma"/>
    <s v="Commercial 017"/>
    <n v="46"/>
    <x v="0"/>
    <n v="60"/>
    <n v="6.5"/>
    <n v="4"/>
    <s v="Magasin"/>
    <n v="47.45"/>
    <n v="65"/>
    <n v="0"/>
    <n v="65"/>
    <n v="47.45"/>
    <n v="17.549999999999997"/>
    <n v="0.26999999999999996"/>
    <n v="2025"/>
    <n v="11"/>
    <s v="2025-11"/>
    <s v="T4"/>
    <s v="40-49"/>
    <s v="moyen"/>
    <s v="Moyen"/>
    <s v="Faible"/>
  </r>
  <r>
    <s v="TX0000258"/>
    <d v="2025-08-03T00:00:00"/>
    <s v="CLI00335"/>
    <s v="PRD010"/>
    <s v="AG015"/>
    <s v="COM056"/>
    <n v="3"/>
    <n v="95"/>
    <n v="0.08"/>
    <s v="Virement"/>
    <s v="Validée"/>
    <s v="Client 00335"/>
    <s v="Lubumbashi"/>
    <s v="Institution"/>
    <s v="Routeur Business"/>
    <s v="Réseau"/>
    <s v="Standard"/>
    <s v="Agence Goma 3"/>
    <s v="Goma"/>
    <s v="Commercial 056"/>
    <n v="32"/>
    <x v="1"/>
    <n v="31"/>
    <n v="4.3"/>
    <n v="9"/>
    <s v="WhatsApp"/>
    <n v="70.3"/>
    <n v="285"/>
    <n v="22.8"/>
    <n v="262.2"/>
    <n v="210.89999999999998"/>
    <n v="51.300000000000011"/>
    <n v="0.19565217391304354"/>
    <n v="2025"/>
    <n v="8"/>
    <s v="2025-08"/>
    <s v="T3"/>
    <s v="30-39"/>
    <s v="faible"/>
    <s v="Long"/>
    <s v="Faible"/>
  </r>
  <r>
    <s v="TX0000259"/>
    <d v="2025-06-02T00:00:00"/>
    <s v="CLI00221"/>
    <s v="PRD003"/>
    <s v="AG014"/>
    <s v="COM022"/>
    <n v="1"/>
    <n v="780"/>
    <n v="0"/>
    <s v="Mobile Money"/>
    <s v="Validée"/>
    <s v="Client 00221"/>
    <s v="Kinshasa"/>
    <s v="Grande entreprise"/>
    <s v="Laptop Business 14"/>
    <s v="Informatique"/>
    <s v="Premium"/>
    <s v="Agence Lubumbashi 3"/>
    <s v="Lubumbashi"/>
    <s v="Commercial 022"/>
    <n v="59"/>
    <x v="0"/>
    <n v="56"/>
    <n v="7.3"/>
    <n v="4"/>
    <s v="WhatsApp"/>
    <n v="468"/>
    <n v="780"/>
    <n v="0"/>
    <n v="780"/>
    <n v="468"/>
    <n v="312"/>
    <n v="0.4"/>
    <n v="2025"/>
    <n v="6"/>
    <s v="2025-06"/>
    <s v="T2"/>
    <s v="50+"/>
    <s v="bon"/>
    <s v="Moyen"/>
    <s v="Moyenne"/>
  </r>
  <r>
    <s v="TX0000260"/>
    <d v="2025-12-21T00:00:00"/>
    <s v="CLI02194"/>
    <s v="PRD006"/>
    <s v="AG014"/>
    <s v="COM023"/>
    <n v="3"/>
    <n v="190"/>
    <n v="0.1"/>
    <s v="Cash"/>
    <s v="Validée"/>
    <s v="Client 02194"/>
    <s v="Goma"/>
    <s v="ONG"/>
    <s v="Imprimante Office"/>
    <s v="Bureautique"/>
    <s v="Standard"/>
    <s v="Agence Lubumbashi 3"/>
    <s v="Lubumbashi"/>
    <s v="Commercial 023"/>
    <n v="40"/>
    <x v="1"/>
    <n v="58"/>
    <n v="7.5"/>
    <n v="3"/>
    <s v="Web"/>
    <n v="148.19999999999999"/>
    <n v="570"/>
    <n v="57"/>
    <n v="513"/>
    <n v="444.59999999999997"/>
    <n v="68.400000000000034"/>
    <n v="0.13333333333333339"/>
    <n v="2025"/>
    <n v="12"/>
    <s v="2025-12"/>
    <s v="T4"/>
    <s v="40-49"/>
    <s v="bon"/>
    <s v="Rapide"/>
    <s v="Moyenne"/>
  </r>
  <r>
    <s v="TX0000261"/>
    <d v="2025-12-07T00:00:00"/>
    <s v="CLI00814"/>
    <s v="PRD003"/>
    <s v="AG005"/>
    <s v="COM021"/>
    <n v="20"/>
    <n v="780"/>
    <n v="0.08"/>
    <s v="Virement"/>
    <s v="Validée"/>
    <s v="Client 00814"/>
    <s v="Kisangani"/>
    <s v="PME"/>
    <s v="Laptop Business 14"/>
    <s v="Informatique"/>
    <s v="Premium"/>
    <s v="Agence Matadi 1"/>
    <s v="Matadi"/>
    <s v="Commercial 021"/>
    <n v="58"/>
    <x v="0"/>
    <n v="14"/>
    <n v="3.3"/>
    <n v="9"/>
    <s v="Téléphone"/>
    <n v="468"/>
    <n v="15600"/>
    <n v="1248"/>
    <n v="14352"/>
    <n v="9360"/>
    <n v="4992"/>
    <n v="0.34782608695652173"/>
    <n v="2025"/>
    <n v="12"/>
    <s v="2025-12"/>
    <s v="T4"/>
    <s v="50+"/>
    <s v="faible"/>
    <s v="Long"/>
    <s v="Elevée"/>
  </r>
  <r>
    <s v="TX0000262"/>
    <d v="2025-06-12T00:00:00"/>
    <s v="CLI01879"/>
    <s v="PRD005"/>
    <s v="AG016"/>
    <s v="COM056"/>
    <n v="1"/>
    <n v="260"/>
    <n v="0.08"/>
    <s v="Mobile Money"/>
    <s v="Validée"/>
    <s v="Client 01879"/>
    <s v="Goma"/>
    <s v="PME"/>
    <s v="Tablette T10"/>
    <s v="Électronique"/>
    <s v="Standard"/>
    <s v="Agence Kisangani 3"/>
    <s v="Kisangani"/>
    <s v="Commercial 056"/>
    <n v="60"/>
    <x v="0"/>
    <n v="65"/>
    <n v="6.8"/>
    <n v="3"/>
    <s v="Web"/>
    <n v="189.8"/>
    <n v="260"/>
    <n v="20.8"/>
    <n v="239.2"/>
    <n v="189.8"/>
    <n v="49.399999999999977"/>
    <n v="0.2065217391304347"/>
    <n v="2025"/>
    <n v="6"/>
    <s v="2025-06"/>
    <s v="T2"/>
    <s v="50+"/>
    <s v="moyen"/>
    <s v="Rapide"/>
    <s v="Faible"/>
  </r>
  <r>
    <s v="TX0000263"/>
    <d v="2025-08-19T00:00:00"/>
    <s v="CLI00016"/>
    <s v="PRD015"/>
    <s v="AG005"/>
    <s v="COM041"/>
    <n v="3"/>
    <n v="48"/>
    <n v="0.05"/>
    <s v="Cash"/>
    <s v="Validée"/>
    <s v="Client 00016"/>
    <s v="Lubumbashi"/>
    <s v="PME"/>
    <s v="Webcam HD"/>
    <s v="Électronique"/>
    <s v="Entrée de gamme"/>
    <s v="Agence Matadi 1"/>
    <s v="Matadi"/>
    <s v="Commercial 041"/>
    <n v="22"/>
    <x v="0"/>
    <n v="28"/>
    <n v="8.3000000000000007"/>
    <n v="2"/>
    <s v="Téléphone"/>
    <n v="37.44"/>
    <n v="144"/>
    <n v="7.2"/>
    <n v="136.80000000000001"/>
    <n v="112.32"/>
    <n v="24.480000000000018"/>
    <n v="0.17894736842105274"/>
    <n v="2025"/>
    <n v="8"/>
    <s v="2025-08"/>
    <s v="T3"/>
    <s v="22-29"/>
    <s v="bon"/>
    <s v="Rapide"/>
    <s v="Faible"/>
  </r>
  <r>
    <s v="TX0000264"/>
    <d v="2025-03-27T00:00:00"/>
    <s v="CLI00769"/>
    <s v="PRD014"/>
    <s v="AG018"/>
    <s v="COM050"/>
    <n v="3"/>
    <n v="65"/>
    <n v="0"/>
    <s v="Virement"/>
    <s v="Validée"/>
    <s v="Client 00769"/>
    <s v="Goma"/>
    <s v="Institution"/>
    <s v="Casque Pro"/>
    <s v="Électronique"/>
    <s v="Standard"/>
    <s v="Agence Kolwezi 3"/>
    <s v="Kolwezi"/>
    <s v="Commercial 050"/>
    <n v="45"/>
    <x v="1"/>
    <n v="5"/>
    <n v="6.8"/>
    <n v="3"/>
    <s v="WhatsApp"/>
    <n v="47.45"/>
    <n v="195"/>
    <n v="0"/>
    <n v="195"/>
    <n v="142.35000000000002"/>
    <n v="52.649999999999977"/>
    <n v="0.26999999999999991"/>
    <n v="2025"/>
    <n v="3"/>
    <s v="2025-03"/>
    <s v="T1"/>
    <s v="40-49"/>
    <s v="moyen"/>
    <s v="Rapide"/>
    <s v="Faible"/>
  </r>
  <r>
    <s v="TX0000265"/>
    <d v="2025-07-06T00:00:00"/>
    <s v="CLI00783"/>
    <s v="PRD001"/>
    <s v="AG012"/>
    <s v="COM053"/>
    <n v="1"/>
    <n v="120"/>
    <n v="0"/>
    <s v="Cash"/>
    <s v="Validée"/>
    <s v="Client 00783"/>
    <s v="Kisangani"/>
    <s v="ONG"/>
    <s v="Smartphone A1"/>
    <s v="Électronique"/>
    <s v="Entrée de gamme"/>
    <s v="Agence Kolwezi 2"/>
    <s v="Kolwezi"/>
    <s v="Commercial 053"/>
    <n v="53"/>
    <x v="1"/>
    <n v="28"/>
    <n v="5.4"/>
    <n v="5"/>
    <s v="WhatsApp"/>
    <n v="73.2"/>
    <n v="120"/>
    <n v="0"/>
    <n v="120"/>
    <n v="73.2"/>
    <n v="46.8"/>
    <n v="0.38999999999999996"/>
    <n v="2025"/>
    <n v="7"/>
    <s v="2025-07"/>
    <s v="T3"/>
    <s v="50+"/>
    <s v="moyen"/>
    <s v="Moyen"/>
    <s v="Faible"/>
  </r>
  <r>
    <s v="TX0000266"/>
    <d v="2025-06-30T00:00:00"/>
    <s v="CLI01868"/>
    <s v="PRD014"/>
    <s v="AG014"/>
    <s v="COM023"/>
    <n v="5"/>
    <n v="65"/>
    <n v="0.02"/>
    <s v="Virement"/>
    <s v="Validée"/>
    <s v="Client 01868"/>
    <s v="Matadi"/>
    <s v="Grande entreprise"/>
    <s v="Casque Pro"/>
    <s v="Électronique"/>
    <s v="Standard"/>
    <s v="Agence Lubumbashi 3"/>
    <s v="Lubumbashi"/>
    <s v="Commercial 023"/>
    <n v="24"/>
    <x v="1"/>
    <n v="26"/>
    <n v="4.3"/>
    <n v="9"/>
    <s v="Magasin"/>
    <n v="47.45"/>
    <n v="325"/>
    <n v="6.5"/>
    <n v="318.5"/>
    <n v="237.25"/>
    <n v="81.25"/>
    <n v="0.25510204081632654"/>
    <n v="2025"/>
    <n v="6"/>
    <s v="2025-06"/>
    <s v="T2"/>
    <s v="22-29"/>
    <s v="faible"/>
    <s v="Long"/>
    <s v="Faible"/>
  </r>
  <r>
    <s v="TX0000267"/>
    <d v="2025-04-01T00:00:00"/>
    <s v="CLI00721"/>
    <s v="PRD015"/>
    <s v="AG014"/>
    <s v="COM024"/>
    <n v="3"/>
    <n v="48"/>
    <n v="0"/>
    <s v="Mobile Money"/>
    <s v="Validée"/>
    <s v="Client 00721"/>
    <s v="Goma"/>
    <s v="Grande entreprise"/>
    <s v="Webcam HD"/>
    <s v="Électronique"/>
    <s v="Entrée de gamme"/>
    <s v="Agence Lubumbashi 3"/>
    <s v="Lubumbashi"/>
    <s v="Commercial 024"/>
    <n v="38"/>
    <x v="1"/>
    <n v="68"/>
    <n v="8.6"/>
    <n v="1"/>
    <s v="Téléphone"/>
    <n v="37.44"/>
    <n v="144"/>
    <n v="0"/>
    <n v="144"/>
    <n v="112.32"/>
    <n v="31.680000000000007"/>
    <n v="0.22000000000000006"/>
    <n v="2025"/>
    <n v="4"/>
    <s v="2025-04"/>
    <s v="T2"/>
    <s v="30-39"/>
    <s v="bon"/>
    <s v="Rapide"/>
    <s v="Faible"/>
  </r>
  <r>
    <s v="TX0000268"/>
    <d v="2025-02-23T00:00:00"/>
    <s v="CLI01792"/>
    <s v="PRD010"/>
    <s v="AG004"/>
    <s v="COM006"/>
    <n v="1"/>
    <n v="95"/>
    <n v="0"/>
    <s v="Mobile Money"/>
    <s v="Validée"/>
    <s v="Client 01792"/>
    <s v="Kolwezi"/>
    <s v="ONG"/>
    <s v="Routeur Business"/>
    <s v="Réseau"/>
    <s v="Standard"/>
    <s v="Agence Kisangani 1"/>
    <s v="Kisangani"/>
    <s v="Commercial 006"/>
    <n v="29"/>
    <x v="1"/>
    <n v="17"/>
    <n v="9.1"/>
    <n v="1"/>
    <s v="Web"/>
    <n v="70.3"/>
    <n v="95"/>
    <n v="0"/>
    <n v="95"/>
    <n v="70.3"/>
    <n v="24.700000000000003"/>
    <n v="0.26"/>
    <n v="2025"/>
    <n v="2"/>
    <s v="2025-02"/>
    <s v="T1"/>
    <s v="22-29"/>
    <s v="excellent"/>
    <s v="Rapide"/>
    <s v="Faible"/>
  </r>
  <r>
    <s v="TX0000269"/>
    <d v="2025-01-17T00:00:00"/>
    <s v="CLI00409"/>
    <s v="PRD015"/>
    <s v="AG017"/>
    <s v="COM038"/>
    <n v="3"/>
    <n v="48"/>
    <n v="0.1"/>
    <s v="Mobile Money"/>
    <s v="Validée"/>
    <s v="Client 00409"/>
    <s v="Kolwezi"/>
    <s v="Grande entreprise"/>
    <s v="Webcam HD"/>
    <s v="Électronique"/>
    <s v="Entrée de gamme"/>
    <s v="Agence Matadi 3"/>
    <s v="Matadi"/>
    <s v="Commercial 038"/>
    <n v="35"/>
    <x v="1"/>
    <n v="63"/>
    <n v="7.1"/>
    <n v="4"/>
    <s v="Téléphone"/>
    <n v="37.44"/>
    <n v="144"/>
    <n v="14.4"/>
    <n v="129.6"/>
    <n v="112.32"/>
    <n v="17.28"/>
    <n v="0.13333333333333336"/>
    <n v="2025"/>
    <n v="1"/>
    <s v="2025-01"/>
    <s v="T1"/>
    <s v="30-39"/>
    <s v="bon"/>
    <s v="Moyen"/>
    <s v="Faible"/>
  </r>
  <r>
    <s v="TX0000270"/>
    <d v="2025-08-29T00:00:00"/>
    <s v="CLI01863"/>
    <s v="PRD013"/>
    <s v="AG004"/>
    <s v="COM013"/>
    <n v="10"/>
    <n v="110"/>
    <n v="0"/>
    <s v="Mobile Money"/>
    <s v="Validée"/>
    <s v="Client 01863"/>
    <s v="Kinshasa"/>
    <s v="PME"/>
    <s v="Disque SSD 1TB"/>
    <s v="Informatique"/>
    <s v="Premium"/>
    <s v="Agence Kisangani 1"/>
    <s v="Kisangani"/>
    <s v="Commercial 013"/>
    <n v="50"/>
    <x v="1"/>
    <n v="19"/>
    <n v="4.5999999999999996"/>
    <n v="8"/>
    <s v="Téléphone"/>
    <n v="72.599999999999994"/>
    <n v="1100"/>
    <n v="0"/>
    <n v="1100"/>
    <n v="726"/>
    <n v="374"/>
    <n v="0.34"/>
    <n v="2025"/>
    <n v="8"/>
    <s v="2025-08"/>
    <s v="T3"/>
    <s v="50+"/>
    <s v="faible"/>
    <s v="Long"/>
    <s v="Elevée"/>
  </r>
  <r>
    <s v="TX0000271"/>
    <d v="2025-04-25T00:00:00"/>
    <s v="CLI01622"/>
    <s v="PRD001"/>
    <s v="AG012"/>
    <s v="COM051"/>
    <n v="2"/>
    <n v="120"/>
    <n v="0"/>
    <s v="Virement"/>
    <s v="Validée"/>
    <s v="Client 01622"/>
    <s v="Lubumbashi"/>
    <s v="Indépendant"/>
    <s v="Smartphone A1"/>
    <s v="Électronique"/>
    <s v="Entrée de gamme"/>
    <s v="Agence Kolwezi 2"/>
    <s v="Kolwezi"/>
    <s v="Commercial 051"/>
    <n v="60"/>
    <x v="0"/>
    <n v="43"/>
    <n v="8.8000000000000007"/>
    <n v="1"/>
    <s v="WhatsApp"/>
    <n v="73.2"/>
    <n v="240"/>
    <n v="0"/>
    <n v="240"/>
    <n v="146.4"/>
    <n v="93.6"/>
    <n v="0.38999999999999996"/>
    <n v="2025"/>
    <n v="4"/>
    <s v="2025-04"/>
    <s v="T2"/>
    <s v="50+"/>
    <s v="bon"/>
    <s v="Rapide"/>
    <s v="Faible"/>
  </r>
  <r>
    <s v="TX0000272"/>
    <d v="2025-08-01T00:00:00"/>
    <s v="CLI01699"/>
    <s v="PRD008"/>
    <s v="AG001"/>
    <s v="COM058"/>
    <n v="1"/>
    <n v="35"/>
    <n v="0"/>
    <s v="Carte"/>
    <s v="Validée"/>
    <s v="Client 01699"/>
    <s v="Kinshasa"/>
    <s v="Institution"/>
    <s v="Clavier Pro"/>
    <s v="Informatique"/>
    <s v="Entrée de gamme"/>
    <s v="Agence Kinshasa 1"/>
    <s v="Kinshasa"/>
    <s v="Commercial 058"/>
    <n v="43"/>
    <x v="1"/>
    <n v="10"/>
    <n v="6.7"/>
    <n v="4"/>
    <s v="WhatsApp"/>
    <n v="24.15"/>
    <n v="35"/>
    <n v="0"/>
    <n v="35"/>
    <n v="24.15"/>
    <n v="10.850000000000001"/>
    <n v="0.31000000000000005"/>
    <n v="2025"/>
    <n v="8"/>
    <s v="2025-08"/>
    <s v="T3"/>
    <s v="40-49"/>
    <s v="moyen"/>
    <s v="Moyen"/>
    <s v="Faible"/>
  </r>
  <r>
    <s v="TX0000273"/>
    <d v="2025-10-20T00:00:00"/>
    <s v="CLI02126"/>
    <s v="PRD011"/>
    <s v="AG011"/>
    <s v="COM011"/>
    <n v="20"/>
    <n v="240"/>
    <n v="0"/>
    <s v="Mobile Money"/>
    <s v="Validée"/>
    <s v="Client 02126"/>
    <s v="Lubumbashi"/>
    <s v="Indépendant"/>
    <s v="Switch 24 Ports"/>
    <s v="Réseau"/>
    <s v="Premium"/>
    <s v="Agence Matadi 2"/>
    <s v="Matadi"/>
    <s v="Commercial 011"/>
    <n v="31"/>
    <x v="0"/>
    <n v="41"/>
    <n v="8.3000000000000007"/>
    <n v="2"/>
    <s v="WhatsApp"/>
    <n v="177.6"/>
    <n v="4800"/>
    <n v="0"/>
    <n v="4800"/>
    <n v="3552"/>
    <n v="1248"/>
    <n v="0.26"/>
    <n v="2025"/>
    <n v="10"/>
    <s v="2025-10"/>
    <s v="T4"/>
    <s v="30-39"/>
    <s v="bon"/>
    <s v="Rapide"/>
    <s v="Elevée"/>
  </r>
  <r>
    <s v="TX0000274"/>
    <d v="2025-11-22T00:00:00"/>
    <s v="CLI01612"/>
    <s v="PRD002"/>
    <s v="AG014"/>
    <s v="COM009"/>
    <n v="2"/>
    <n v="350"/>
    <n v="0.08"/>
    <s v="Carte"/>
    <s v="Validée"/>
    <s v="Client 01612"/>
    <s v="Kinshasa"/>
    <s v="Institution"/>
    <s v="Smartphone Pro X"/>
    <s v="Électronique"/>
    <s v="Premium"/>
    <s v="Agence Lubumbashi 3"/>
    <s v="Lubumbashi"/>
    <s v="Commercial 009"/>
    <n v="31"/>
    <x v="0"/>
    <n v="58"/>
    <n v="3.8"/>
    <n v="9"/>
    <s v="Téléphone"/>
    <n v="213.5"/>
    <n v="700"/>
    <n v="56"/>
    <n v="644"/>
    <n v="427"/>
    <n v="217"/>
    <n v="0.33695652173913043"/>
    <n v="2025"/>
    <n v="11"/>
    <s v="2025-11"/>
    <s v="T4"/>
    <s v="30-39"/>
    <s v="faible"/>
    <s v="Long"/>
    <s v="Moyenne"/>
  </r>
  <r>
    <s v="TX0000275"/>
    <d v="2025-02-20T00:00:00"/>
    <s v="CLI01304"/>
    <s v="PRD006"/>
    <s v="AG014"/>
    <s v="COM015"/>
    <n v="4"/>
    <n v="190"/>
    <n v="0"/>
    <s v="Cash"/>
    <s v="Validée"/>
    <s v="Client 01304"/>
    <s v="Goma"/>
    <s v="ONG"/>
    <s v="Imprimante Office"/>
    <s v="Bureautique"/>
    <s v="Standard"/>
    <s v="Agence Lubumbashi 3"/>
    <s v="Lubumbashi"/>
    <s v="Commercial 015"/>
    <n v="24"/>
    <x v="0"/>
    <n v="49"/>
    <n v="8"/>
    <n v="1"/>
    <s v="WhatsApp"/>
    <n v="148.19999999999999"/>
    <n v="760"/>
    <n v="0"/>
    <n v="760"/>
    <n v="592.79999999999995"/>
    <n v="167.20000000000005"/>
    <n v="0.22000000000000006"/>
    <n v="2025"/>
    <n v="2"/>
    <s v="2025-02"/>
    <s v="T1"/>
    <s v="22-29"/>
    <s v="bon"/>
    <s v="Rapide"/>
    <s v="Moyenne"/>
  </r>
  <r>
    <s v="TX0000276"/>
    <d v="2025-06-15T00:00:00"/>
    <s v="CLI01606"/>
    <s v="PRD009"/>
    <s v="AG018"/>
    <s v="COM011"/>
    <n v="1"/>
    <n v="22"/>
    <n v="0"/>
    <s v="Cash"/>
    <s v="Validée"/>
    <s v="Client 01606"/>
    <s v="Kinshasa"/>
    <s v="Grande entreprise"/>
    <s v="Souris Wireless"/>
    <s v="Informatique"/>
    <s v="Entrée de gamme"/>
    <s v="Agence Kolwezi 3"/>
    <s v="Kolwezi"/>
    <s v="Commercial 011"/>
    <n v="36"/>
    <x v="1"/>
    <n v="15"/>
    <n v="5"/>
    <n v="8"/>
    <s v="WhatsApp"/>
    <n v="14.96"/>
    <n v="22"/>
    <n v="0"/>
    <n v="22"/>
    <n v="14.96"/>
    <n v="7.0399999999999991"/>
    <n v="0.31999999999999995"/>
    <n v="2025"/>
    <n v="6"/>
    <s v="2025-06"/>
    <s v="T2"/>
    <s v="30-39"/>
    <s v="moyen"/>
    <s v="Long"/>
    <s v="Faible"/>
  </r>
  <r>
    <s v="TX0000278"/>
    <d v="2025-04-24T00:00:00"/>
    <s v="CLI01467"/>
    <s v="PRD006"/>
    <s v="AG008"/>
    <s v="COM042"/>
    <n v="2"/>
    <n v="190"/>
    <n v="0.05"/>
    <s v="Carte"/>
    <s v="Validée"/>
    <s v="Client 01467"/>
    <s v="Kolwezi"/>
    <s v="Grande entreprise"/>
    <s v="Imprimante Office"/>
    <s v="Bureautique"/>
    <s v="Standard"/>
    <s v="Agence Lubumbashi 2"/>
    <s v="Lubumbashi"/>
    <s v="Commercial 042"/>
    <n v="33"/>
    <x v="0"/>
    <n v="43"/>
    <n v="8.4"/>
    <n v="1"/>
    <s v="WhatsApp"/>
    <n v="148.19999999999999"/>
    <n v="380"/>
    <n v="19"/>
    <n v="361"/>
    <n v="296.39999999999998"/>
    <n v="64.600000000000023"/>
    <n v="0.17894736842105269"/>
    <n v="2025"/>
    <n v="4"/>
    <s v="2025-04"/>
    <s v="T2"/>
    <s v="30-39"/>
    <s v="bon"/>
    <s v="Rapide"/>
    <s v="Faible"/>
  </r>
  <r>
    <s v="TX0000279"/>
    <d v="2025-02-12T00:00:00"/>
    <s v="CLI01549"/>
    <s v="PRD009"/>
    <s v="AG002"/>
    <s v="COM018"/>
    <n v="6"/>
    <n v="22"/>
    <n v="0.08"/>
    <s v="Cash"/>
    <s v="Validée"/>
    <s v="Client 01549"/>
    <s v="Kolwezi"/>
    <s v="Grande entreprise"/>
    <s v="Souris Wireless"/>
    <s v="Informatique"/>
    <s v="Entrée de gamme"/>
    <s v="Agence Lubumbashi 1"/>
    <s v="Lubumbashi"/>
    <s v="Commercial 018"/>
    <n v="40"/>
    <x v="1"/>
    <n v="29"/>
    <n v="6"/>
    <n v="6"/>
    <s v="Web"/>
    <n v="14.96"/>
    <n v="132"/>
    <n v="10.56"/>
    <n v="121.44"/>
    <n v="89.76"/>
    <n v="31.679999999999993"/>
    <n v="0.26086956521739124"/>
    <n v="2025"/>
    <n v="2"/>
    <s v="2025-02"/>
    <s v="T1"/>
    <s v="40-49"/>
    <s v="moyen"/>
    <s v="Moyen"/>
    <s v="Faible"/>
  </r>
  <r>
    <s v="TX0000280"/>
    <d v="2025-11-02T00:00:00"/>
    <s v="CLI00424"/>
    <s v="PRD004"/>
    <s v="AG015"/>
    <s v="COM060"/>
    <n v="1"/>
    <n v="520"/>
    <n v="0"/>
    <s v="Virement"/>
    <s v="Validée"/>
    <s v="Client 00424"/>
    <s v="Lubumbashi"/>
    <s v="Grande entreprise"/>
    <s v="Laptop Essential 15"/>
    <s v="Informatique"/>
    <s v="Standard"/>
    <s v="Agence Goma 3"/>
    <s v="Goma"/>
    <s v="Commercial 060"/>
    <n v="29"/>
    <x v="1"/>
    <n v="54"/>
    <n v="8.1"/>
    <n v="2"/>
    <s v="WhatsApp"/>
    <n v="348.4"/>
    <n v="520"/>
    <n v="0"/>
    <n v="520"/>
    <n v="348.4"/>
    <n v="171.60000000000002"/>
    <n v="0.33000000000000007"/>
    <n v="2025"/>
    <n v="11"/>
    <s v="2025-11"/>
    <s v="T4"/>
    <s v="22-29"/>
    <s v="bon"/>
    <s v="Rapide"/>
    <s v="Moyenne"/>
  </r>
  <r>
    <s v="TX0000282"/>
    <d v="2025-11-17T00:00:00"/>
    <s v="CLI00090"/>
    <s v="PRD014"/>
    <s v="AG003"/>
    <s v="COM032"/>
    <n v="1"/>
    <n v="65"/>
    <n v="0.08"/>
    <s v="Mobile Money"/>
    <s v="Validée"/>
    <s v="Client 00090"/>
    <s v="Kolwezi"/>
    <s v="ONG"/>
    <s v="Casque Pro"/>
    <s v="Électronique"/>
    <s v="Standard"/>
    <s v="Agence Goma 1"/>
    <s v="Goma"/>
    <s v="Commercial 032"/>
    <n v="60"/>
    <x v="1"/>
    <n v="32"/>
    <n v="6.3"/>
    <n v="5"/>
    <s v="Magasin"/>
    <n v="47.45"/>
    <n v="65"/>
    <n v="5.2"/>
    <n v="59.8"/>
    <n v="47.45"/>
    <n v="12.349999999999994"/>
    <n v="0.2065217391304347"/>
    <n v="2025"/>
    <n v="11"/>
    <s v="2025-11"/>
    <s v="T4"/>
    <s v="50+"/>
    <s v="moyen"/>
    <s v="Moyen"/>
    <s v="Faible"/>
  </r>
  <r>
    <s v="TX0000283"/>
    <d v="2025-06-02T00:00:00"/>
    <s v="CLI01285"/>
    <s v="PRD015"/>
    <s v="AG006"/>
    <s v="COM012"/>
    <n v="1"/>
    <n v="48"/>
    <n v="0"/>
    <s v="Cash"/>
    <s v="Validée"/>
    <s v="Client 01285"/>
    <s v="Kisangani"/>
    <s v="Institution"/>
    <s v="Webcam HD"/>
    <s v="Électronique"/>
    <s v="Entrée de gamme"/>
    <s v="Agence Kolwezi 1"/>
    <s v="Kolwezi"/>
    <s v="Commercial 012"/>
    <n v="51"/>
    <x v="1"/>
    <n v="37"/>
    <n v="6.6"/>
    <n v="3"/>
    <s v="Téléphone"/>
    <n v="37.44"/>
    <n v="48"/>
    <n v="0"/>
    <n v="48"/>
    <n v="37.44"/>
    <n v="10.560000000000002"/>
    <n v="0.22000000000000006"/>
    <n v="2025"/>
    <n v="6"/>
    <s v="2025-06"/>
    <s v="T2"/>
    <s v="50+"/>
    <s v="moyen"/>
    <s v="Rapide"/>
    <s v="Faible"/>
  </r>
  <r>
    <s v="TX0000285"/>
    <d v="2025-09-23T00:00:00"/>
    <s v="CLI00790"/>
    <s v="PRD001"/>
    <s v="AG018"/>
    <s v="COM002"/>
    <n v="2"/>
    <n v="120"/>
    <n v="0"/>
    <s v="Carte"/>
    <s v="Validée"/>
    <s v="Client 00790"/>
    <s v="Kinshasa"/>
    <s v="Indépendant"/>
    <s v="Smartphone A1"/>
    <s v="Électronique"/>
    <s v="Entrée de gamme"/>
    <s v="Agence Kolwezi 3"/>
    <s v="Kolwezi"/>
    <s v="Commercial 002"/>
    <n v="52"/>
    <x v="1"/>
    <n v="64"/>
    <n v="8.8000000000000007"/>
    <n v="1"/>
    <s v="Web"/>
    <n v="73.2"/>
    <n v="240"/>
    <n v="0"/>
    <n v="240"/>
    <n v="146.4"/>
    <n v="93.6"/>
    <n v="0.38999999999999996"/>
    <n v="2025"/>
    <n v="9"/>
    <s v="2025-09"/>
    <s v="T3"/>
    <s v="50+"/>
    <s v="bon"/>
    <s v="Rapide"/>
    <s v="Faible"/>
  </r>
  <r>
    <s v="TX0000286"/>
    <d v="2025-03-12T00:00:00"/>
    <s v="CLI00471"/>
    <s v="PRD007"/>
    <s v="AG001"/>
    <s v="COM021"/>
    <n v="1"/>
    <n v="145"/>
    <n v="0.08"/>
    <s v="Carte"/>
    <s v="Validée"/>
    <s v="Client 00471"/>
    <s v="Matadi"/>
    <s v="PME"/>
    <s v="Écran 24 pouces"/>
    <s v="Informatique"/>
    <s v="Standard"/>
    <s v="Agence Kinshasa 1"/>
    <s v="Kinshasa"/>
    <s v="Commercial 021"/>
    <n v="57"/>
    <x v="0"/>
    <n v="61"/>
    <n v="5.9"/>
    <n v="5"/>
    <s v="Web"/>
    <n v="97.15"/>
    <n v="145"/>
    <n v="11.6"/>
    <n v="133.4"/>
    <n v="97.15"/>
    <n v="36.25"/>
    <n v="0.27173913043478259"/>
    <n v="2025"/>
    <n v="3"/>
    <s v="2025-03"/>
    <s v="T1"/>
    <s v="50+"/>
    <s v="moyen"/>
    <s v="Moyen"/>
    <s v="Faible"/>
  </r>
  <r>
    <s v="TX0000287"/>
    <d v="2025-12-29T00:00:00"/>
    <s v="CLI01973"/>
    <s v="PRD007"/>
    <s v="AG003"/>
    <s v="COM023"/>
    <n v="3"/>
    <n v="145"/>
    <n v="0"/>
    <s v="Mobile Money"/>
    <s v="Validée"/>
    <s v="Client 01973"/>
    <s v="Goma"/>
    <s v="PME"/>
    <s v="Écran 24 pouces"/>
    <s v="Informatique"/>
    <s v="Standard"/>
    <s v="Agence Goma 1"/>
    <s v="Goma"/>
    <s v="Commercial 023"/>
    <n v="26"/>
    <x v="1"/>
    <n v="9"/>
    <n v="7.7"/>
    <n v="3"/>
    <s v="Magasin"/>
    <n v="97.15"/>
    <n v="435"/>
    <n v="0"/>
    <n v="435"/>
    <n v="291.45000000000005"/>
    <n v="143.54999999999995"/>
    <n v="0.3299999999999999"/>
    <n v="2025"/>
    <n v="12"/>
    <s v="2025-12"/>
    <s v="T4"/>
    <s v="22-29"/>
    <s v="bon"/>
    <s v="Rapide"/>
    <s v="Faible"/>
  </r>
  <r>
    <s v="TX0000289"/>
    <d v="2025-04-16T00:00:00"/>
    <s v="CLI00422"/>
    <s v="PRD010"/>
    <s v="AG006"/>
    <s v="COM051"/>
    <n v="10"/>
    <n v="95"/>
    <n v="0.02"/>
    <s v="Mobile Money"/>
    <s v="Validée"/>
    <s v="Client 00422"/>
    <s v="Kisangani"/>
    <s v="PME"/>
    <s v="Routeur Business"/>
    <s v="Réseau"/>
    <s v="Standard"/>
    <s v="Agence Kolwezi 1"/>
    <s v="Kolwezi"/>
    <s v="Commercial 051"/>
    <n v="23"/>
    <x v="0"/>
    <n v="63"/>
    <n v="7.4"/>
    <n v="4"/>
    <s v="Web"/>
    <n v="70.3"/>
    <n v="950"/>
    <n v="19"/>
    <n v="931"/>
    <n v="703"/>
    <n v="228"/>
    <n v="0.24489795918367346"/>
    <n v="2025"/>
    <n v="4"/>
    <s v="2025-04"/>
    <s v="T2"/>
    <s v="22-29"/>
    <s v="bon"/>
    <s v="Moyen"/>
    <s v="Moyenne"/>
  </r>
  <r>
    <s v="TX0000290"/>
    <d v="2025-02-25T00:00:00"/>
    <s v="CLI01736"/>
    <s v="PRD009"/>
    <s v="AG011"/>
    <s v="COM040"/>
    <n v="3"/>
    <n v="22"/>
    <n v="0.02"/>
    <s v="Carte"/>
    <s v="Validée"/>
    <s v="Client 01736"/>
    <s v="Lubumbashi"/>
    <s v="Grande entreprise"/>
    <s v="Souris Wireless"/>
    <s v="Informatique"/>
    <s v="Entrée de gamme"/>
    <s v="Agence Matadi 2"/>
    <s v="Matadi"/>
    <s v="Commercial 040"/>
    <n v="36"/>
    <x v="0"/>
    <n v="53"/>
    <n v="4.5999999999999996"/>
    <n v="8"/>
    <s v="WhatsApp"/>
    <n v="14.96"/>
    <n v="66"/>
    <n v="1.32"/>
    <n v="64.680000000000007"/>
    <n v="44.88"/>
    <n v="19.800000000000004"/>
    <n v="0.30612244897959184"/>
    <n v="2025"/>
    <n v="2"/>
    <s v="2025-02"/>
    <s v="T1"/>
    <s v="30-39"/>
    <s v="faible"/>
    <s v="Long"/>
    <s v="Faible"/>
  </r>
  <r>
    <s v="TX0000291"/>
    <d v="2025-01-18T00:00:00"/>
    <s v="CLI01532"/>
    <s v="PRD003"/>
    <s v="AG015"/>
    <s v="COM011"/>
    <n v="10"/>
    <n v="780"/>
    <n v="0"/>
    <s v="Mobile Money"/>
    <s v="Validée"/>
    <s v="Client 01532"/>
    <s v="Matadi"/>
    <s v="Institution"/>
    <s v="Laptop Business 14"/>
    <s v="Informatique"/>
    <s v="Premium"/>
    <s v="Agence Goma 3"/>
    <s v="Goma"/>
    <s v="Commercial 011"/>
    <n v="58"/>
    <x v="1"/>
    <n v="23"/>
    <n v="9.1"/>
    <n v="1"/>
    <s v="WhatsApp"/>
    <n v="468"/>
    <n v="7800"/>
    <n v="0"/>
    <n v="7800"/>
    <n v="4680"/>
    <n v="3120"/>
    <n v="0.4"/>
    <n v="2025"/>
    <n v="1"/>
    <s v="2025-01"/>
    <s v="T1"/>
    <s v="50+"/>
    <s v="excellent"/>
    <s v="Rapide"/>
    <s v="Elevée"/>
  </r>
  <r>
    <s v="TX0000292"/>
    <d v="2025-02-28T00:00:00"/>
    <s v="CLI02173"/>
    <s v="PRD012"/>
    <s v="AG013"/>
    <s v="COM002"/>
    <n v="1"/>
    <n v="180"/>
    <n v="0"/>
    <s v="Mobile Money"/>
    <s v="Validée"/>
    <s v="Client 02173"/>
    <s v="Kisangani"/>
    <s v="Indépendant"/>
    <s v="Onduleur 1200VA"/>
    <s v="Énergie"/>
    <s v="Standard"/>
    <s v="Agence Kinshasa 3"/>
    <s v="Kinshasa"/>
    <s v="Commercial 002"/>
    <n v="53"/>
    <x v="1"/>
    <n v="56"/>
    <n v="8.1"/>
    <n v="2"/>
    <s v="WhatsApp"/>
    <n v="129.6"/>
    <n v="180"/>
    <n v="0"/>
    <n v="180"/>
    <n v="129.6"/>
    <n v="50.400000000000006"/>
    <n v="0.28000000000000003"/>
    <n v="2025"/>
    <n v="2"/>
    <s v="2025-02"/>
    <s v="T1"/>
    <s v="50+"/>
    <s v="bon"/>
    <s v="Rapide"/>
    <s v="Faible"/>
  </r>
  <r>
    <s v="TX0000293"/>
    <d v="2025-12-03T00:00:00"/>
    <s v="CLI01466"/>
    <s v="PRD008"/>
    <s v="AG003"/>
    <s v="COM014"/>
    <n v="2"/>
    <n v="35"/>
    <n v="0"/>
    <s v="Virement"/>
    <s v="Validée"/>
    <s v="Client 01466"/>
    <s v="Kinshasa"/>
    <s v="Indépendant"/>
    <s v="Clavier Pro"/>
    <s v="Informatique"/>
    <s v="Entrée de gamme"/>
    <s v="Agence Goma 1"/>
    <s v="Goma"/>
    <s v="Commercial 014"/>
    <n v="37"/>
    <x v="0"/>
    <n v="41"/>
    <n v="4.5999999999999996"/>
    <n v="8"/>
    <s v="Magasin"/>
    <n v="24.15"/>
    <n v="70"/>
    <n v="0"/>
    <n v="70"/>
    <n v="48.3"/>
    <n v="21.700000000000003"/>
    <n v="0.31000000000000005"/>
    <n v="2025"/>
    <n v="12"/>
    <s v="2025-12"/>
    <s v="T4"/>
    <s v="30-39"/>
    <s v="faible"/>
    <s v="Long"/>
    <s v="Faible"/>
  </r>
  <r>
    <s v="TX0000294"/>
    <d v="2025-08-27T00:00:00"/>
    <s v="CLI01305"/>
    <s v="PRD001"/>
    <s v="AG011"/>
    <s v="COM014"/>
    <n v="3"/>
    <n v="120"/>
    <n v="0"/>
    <s v="Carte"/>
    <s v="Validée"/>
    <s v="Client 01305"/>
    <s v="Goma"/>
    <s v="Institution"/>
    <s v="Smartphone A1"/>
    <s v="Électronique"/>
    <s v="Entrée de gamme"/>
    <s v="Agence Matadi 2"/>
    <s v="Matadi"/>
    <s v="Commercial 014"/>
    <n v="59"/>
    <x v="0"/>
    <n v="30"/>
    <n v="3.7"/>
    <n v="8"/>
    <s v="WhatsApp"/>
    <n v="73.2"/>
    <n v="360"/>
    <n v="0"/>
    <n v="360"/>
    <n v="219.60000000000002"/>
    <n v="140.39999999999998"/>
    <n v="0.38999999999999996"/>
    <n v="2025"/>
    <n v="8"/>
    <s v="2025-08"/>
    <s v="T3"/>
    <s v="50+"/>
    <s v="faible"/>
    <s v="Long"/>
    <s v="Faible"/>
  </r>
  <r>
    <s v="TX0000295"/>
    <d v="2025-04-22T00:00:00"/>
    <s v="CLI01580"/>
    <s v="PRD010"/>
    <s v="AG007"/>
    <s v="COM034"/>
    <n v="1"/>
    <n v="95"/>
    <n v="0"/>
    <s v="Cash"/>
    <s v="Validée"/>
    <s v="Client 01580"/>
    <s v="Lubumbashi"/>
    <s v="PME"/>
    <s v="Routeur Business"/>
    <s v="Réseau"/>
    <s v="Standard"/>
    <s v="Agence Kinshasa 2"/>
    <s v="Kinshasa"/>
    <s v="Commercial 034"/>
    <n v="46"/>
    <x v="0"/>
    <n v="22"/>
    <n v="6"/>
    <n v="4"/>
    <s v="Téléphone"/>
    <n v="70.3"/>
    <n v="95"/>
    <n v="0"/>
    <n v="95"/>
    <n v="70.3"/>
    <n v="24.700000000000003"/>
    <n v="0.26"/>
    <n v="2025"/>
    <n v="4"/>
    <s v="2025-04"/>
    <s v="T2"/>
    <s v="40-49"/>
    <s v="moyen"/>
    <s v="Moyen"/>
    <s v="Faible"/>
  </r>
  <r>
    <s v="TX0000296"/>
    <d v="2025-06-13T00:00:00"/>
    <s v="CLI01728"/>
    <s v="PRD014"/>
    <s v="AG011"/>
    <s v="COM053"/>
    <n v="1"/>
    <n v="65"/>
    <n v="0"/>
    <s v="Mobile Money"/>
    <s v="Validée"/>
    <s v="Client 01728"/>
    <s v="Matadi"/>
    <s v="ONG"/>
    <s v="Casque Pro"/>
    <s v="Électronique"/>
    <s v="Standard"/>
    <s v="Agence Matadi 2"/>
    <s v="Matadi"/>
    <s v="Commercial 053"/>
    <n v="54"/>
    <x v="1"/>
    <n v="34"/>
    <n v="9.1"/>
    <n v="1"/>
    <s v="Téléphone"/>
    <n v="47.45"/>
    <n v="65"/>
    <n v="0"/>
    <n v="65"/>
    <n v="47.45"/>
    <n v="17.549999999999997"/>
    <n v="0.26999999999999996"/>
    <n v="2025"/>
    <n v="6"/>
    <s v="2025-06"/>
    <s v="T2"/>
    <s v="50+"/>
    <s v="excellent"/>
    <s v="Rapide"/>
    <s v="Faible"/>
  </r>
  <r>
    <s v="TX0000297"/>
    <d v="2025-08-20T00:00:00"/>
    <s v="CLI01125"/>
    <s v="PRD014"/>
    <s v="AG004"/>
    <s v="COM008"/>
    <n v="1"/>
    <n v="65"/>
    <n v="0"/>
    <s v="Mobile Money"/>
    <s v="Validée"/>
    <s v="Client 01125"/>
    <s v="Kinshasa"/>
    <s v="ONG"/>
    <s v="Casque Pro"/>
    <s v="Électronique"/>
    <s v="Standard"/>
    <s v="Agence Kisangani 1"/>
    <s v="Kisangani"/>
    <s v="Commercial 008"/>
    <n v="27"/>
    <x v="0"/>
    <n v="35"/>
    <n v="4.5"/>
    <n v="7"/>
    <s v="WhatsApp"/>
    <n v="47.45"/>
    <n v="65"/>
    <n v="0"/>
    <n v="65"/>
    <n v="47.45"/>
    <n v="17.549999999999997"/>
    <n v="0.26999999999999996"/>
    <n v="2025"/>
    <n v="8"/>
    <s v="2025-08"/>
    <s v="T3"/>
    <s v="22-29"/>
    <s v="faible"/>
    <s v="Long"/>
    <s v="Faible"/>
  </r>
  <r>
    <s v="TX0000298"/>
    <d v="2025-10-22T00:00:00"/>
    <s v="CLI00088"/>
    <s v="PRD010"/>
    <s v="AG001"/>
    <s v="COM042"/>
    <n v="20"/>
    <n v="95"/>
    <n v="0.02"/>
    <s v="Virement"/>
    <s v="Validée"/>
    <s v="Client 00088"/>
    <s v="Kinshasa"/>
    <s v="PME"/>
    <s v="Routeur Business"/>
    <s v="Réseau"/>
    <s v="Standard"/>
    <s v="Agence Kinshasa 1"/>
    <s v="Kinshasa"/>
    <s v="Commercial 042"/>
    <n v="28"/>
    <x v="1"/>
    <n v="31"/>
    <n v="5.6"/>
    <n v="5"/>
    <s v="WhatsApp"/>
    <n v="70.3"/>
    <n v="1900"/>
    <n v="38"/>
    <n v="1862"/>
    <n v="1406"/>
    <n v="456"/>
    <n v="0.24489795918367346"/>
    <n v="2025"/>
    <n v="10"/>
    <s v="2025-10"/>
    <s v="T4"/>
    <s v="22-29"/>
    <s v="moyen"/>
    <s v="Moyen"/>
    <s v="Elevée"/>
  </r>
  <r>
    <s v="TX0000299"/>
    <d v="2025-09-28T00:00:00"/>
    <s v="CLI01650"/>
    <s v="PRD002"/>
    <s v="AG018"/>
    <s v="COM059"/>
    <n v="1"/>
    <n v="350"/>
    <n v="0.08"/>
    <s v="Cash"/>
    <s v="Validée"/>
    <s v="Client 01650"/>
    <s v="Goma"/>
    <s v="PME"/>
    <s v="Smartphone Pro X"/>
    <s v="Électronique"/>
    <s v="Premium"/>
    <s v="Agence Kolwezi 3"/>
    <s v="Kolwezi"/>
    <s v="Commercial 059"/>
    <n v="55"/>
    <x v="0"/>
    <n v="55"/>
    <n v="4.8"/>
    <n v="8"/>
    <s v="WhatsApp"/>
    <n v="213.5"/>
    <n v="350"/>
    <n v="28"/>
    <n v="322"/>
    <n v="213.5"/>
    <n v="108.5"/>
    <n v="0.33695652173913043"/>
    <n v="2025"/>
    <n v="9"/>
    <s v="2025-09"/>
    <s v="T3"/>
    <s v="50+"/>
    <s v="faible"/>
    <s v="Long"/>
    <s v="Faible"/>
  </r>
  <r>
    <s v="TX0000300"/>
    <d v="2025-06-12T00:00:00"/>
    <s v="CLI00390"/>
    <s v="PRD014"/>
    <s v="AG010"/>
    <s v="COM018"/>
    <n v="4"/>
    <n v="65"/>
    <n v="0.02"/>
    <s v="Cash"/>
    <s v="Validée"/>
    <s v="Client 00390"/>
    <s v="Matadi"/>
    <s v="Institution"/>
    <s v="Casque Pro"/>
    <s v="Électronique"/>
    <s v="Standard"/>
    <s v="Agence Kisangani 2"/>
    <s v="Kisangani"/>
    <s v="Commercial 018"/>
    <n v="55"/>
    <x v="0"/>
    <n v="69"/>
    <n v="5.7"/>
    <n v="6"/>
    <s v="Téléphone"/>
    <n v="47.45"/>
    <n v="260"/>
    <n v="5.2"/>
    <n v="254.8"/>
    <n v="189.8"/>
    <n v="65"/>
    <n v="0.25510204081632654"/>
    <n v="2025"/>
    <n v="6"/>
    <s v="2025-06"/>
    <s v="T2"/>
    <s v="50+"/>
    <s v="moyen"/>
    <s v="Moyen"/>
    <s v="Faible"/>
  </r>
  <r>
    <s v="TX0000301"/>
    <d v="2025-06-02T00:00:00"/>
    <s v="CLI01283"/>
    <s v="PRD016"/>
    <s v="AG002"/>
    <s v="COM026"/>
    <n v="3"/>
    <n v="420"/>
    <n v="0.02"/>
    <s v="Mobile Money"/>
    <s v="Validée"/>
    <s v="Client 01283"/>
    <s v="Lubumbashi"/>
    <s v="Institution"/>
    <s v="Projecteur HD"/>
    <s v="Bureautique"/>
    <s v="Premium"/>
    <s v="Agence Lubumbashi 1"/>
    <s v="Lubumbashi"/>
    <s v="Commercial 026"/>
    <n v="36"/>
    <x v="0"/>
    <n v="29"/>
    <n v="5.8"/>
    <n v="6"/>
    <s v="Magasin"/>
    <n v="273"/>
    <n v="1260"/>
    <n v="25.2"/>
    <n v="1234.8"/>
    <n v="819"/>
    <n v="415.79999999999995"/>
    <n v="0.33673469387755101"/>
    <n v="2025"/>
    <n v="6"/>
    <s v="2025-06"/>
    <s v="T2"/>
    <s v="30-39"/>
    <s v="moyen"/>
    <s v="Moyen"/>
    <s v="Elevée"/>
  </r>
  <r>
    <s v="TX0000302"/>
    <d v="2025-04-25T00:00:00"/>
    <s v="CLI00498"/>
    <s v="PRD012"/>
    <s v="AG004"/>
    <s v="COM002"/>
    <n v="1"/>
    <n v="180"/>
    <n v="0"/>
    <s v="Carte"/>
    <s v="Validée"/>
    <s v="Client 00498"/>
    <s v="Matadi"/>
    <s v="PME"/>
    <s v="Onduleur 1200VA"/>
    <s v="Énergie"/>
    <s v="Standard"/>
    <s v="Agence Kisangani 1"/>
    <s v="Kisangani"/>
    <s v="Commercial 002"/>
    <n v="43"/>
    <x v="0"/>
    <n v="56"/>
    <n v="6.9"/>
    <n v="4"/>
    <s v="Téléphone"/>
    <n v="129.6"/>
    <n v="180"/>
    <n v="0"/>
    <n v="180"/>
    <n v="129.6"/>
    <n v="50.400000000000006"/>
    <n v="0.28000000000000003"/>
    <n v="2025"/>
    <n v="4"/>
    <s v="2025-04"/>
    <s v="T2"/>
    <s v="40-49"/>
    <s v="moyen"/>
    <s v="Moyen"/>
    <s v="Faible"/>
  </r>
  <r>
    <s v="TX0000303"/>
    <d v="2025-02-15T00:00:00"/>
    <s v="CLI01323"/>
    <s v="PRD014"/>
    <s v="AG008"/>
    <s v="COM011"/>
    <n v="1"/>
    <n v="65"/>
    <n v="0.1"/>
    <s v="Virement"/>
    <s v="Validée"/>
    <s v="Client 01323"/>
    <s v="Kolwezi"/>
    <s v="ONG"/>
    <s v="Casque Pro"/>
    <s v="Électronique"/>
    <s v="Standard"/>
    <s v="Agence Lubumbashi 2"/>
    <s v="Lubumbashi"/>
    <s v="Commercial 011"/>
    <n v="60"/>
    <x v="0"/>
    <n v="14"/>
    <n v="4.5"/>
    <n v="7"/>
    <s v="WhatsApp"/>
    <n v="47.45"/>
    <n v="65"/>
    <n v="6.5"/>
    <n v="58.5"/>
    <n v="47.45"/>
    <n v="11.049999999999997"/>
    <n v="0.18888888888888883"/>
    <n v="2025"/>
    <n v="2"/>
    <s v="2025-02"/>
    <s v="T1"/>
    <s v="50+"/>
    <s v="faible"/>
    <s v="Long"/>
    <s v="Faible"/>
  </r>
  <r>
    <s v="TX0000304"/>
    <d v="2025-01-23T00:00:00"/>
    <s v="CLI00021"/>
    <s v="PRD002"/>
    <s v="AG009"/>
    <s v="COM057"/>
    <n v="1"/>
    <n v="350"/>
    <n v="0"/>
    <s v="Cash"/>
    <s v="Validée"/>
    <s v="Client 00021"/>
    <s v="Lubumbashi"/>
    <s v="ONG"/>
    <s v="Smartphone Pro X"/>
    <s v="Électronique"/>
    <s v="Premium"/>
    <s v="Agence Goma 2"/>
    <s v="Goma"/>
    <s v="Commercial 057"/>
    <n v="26"/>
    <x v="0"/>
    <n v="61"/>
    <n v="7.2"/>
    <n v="2"/>
    <s v="Téléphone"/>
    <n v="213.5"/>
    <n v="350"/>
    <n v="0"/>
    <n v="350"/>
    <n v="213.5"/>
    <n v="136.5"/>
    <n v="0.39"/>
    <n v="2025"/>
    <n v="1"/>
    <s v="2025-01"/>
    <s v="T1"/>
    <s v="22-29"/>
    <s v="bon"/>
    <s v="Rapide"/>
    <s v="Faible"/>
  </r>
  <r>
    <s v="TX0000305"/>
    <d v="2025-03-12T00:00:00"/>
    <s v="CLI01555"/>
    <s v="PRD009"/>
    <s v="AG006"/>
    <s v="COM060"/>
    <n v="3"/>
    <n v="22"/>
    <n v="0"/>
    <s v="Carte"/>
    <s v="Validée"/>
    <s v="Client 01555"/>
    <s v="Goma"/>
    <s v="Indépendant"/>
    <s v="Souris Wireless"/>
    <s v="Informatique"/>
    <s v="Entrée de gamme"/>
    <s v="Agence Kolwezi 1"/>
    <s v="Kolwezi"/>
    <s v="Commercial 060"/>
    <n v="36"/>
    <x v="0"/>
    <n v="34"/>
    <n v="5.6"/>
    <n v="7"/>
    <s v="Téléphone"/>
    <n v="14.96"/>
    <n v="66"/>
    <n v="0"/>
    <n v="66"/>
    <n v="44.88"/>
    <n v="21.119999999999997"/>
    <n v="0.31999999999999995"/>
    <n v="2025"/>
    <n v="3"/>
    <s v="2025-03"/>
    <s v="T1"/>
    <s v="30-39"/>
    <s v="moyen"/>
    <s v="Long"/>
    <s v="Faible"/>
  </r>
  <r>
    <s v="TX0000306"/>
    <d v="2025-03-04T00:00:00"/>
    <s v="CLI00607"/>
    <s v="PRD014"/>
    <s v="AG015"/>
    <s v="COM043"/>
    <n v="3"/>
    <n v="65"/>
    <n v="0"/>
    <s v="Mobile Money"/>
    <s v="Validée"/>
    <s v="Client 00607"/>
    <s v="Lubumbashi"/>
    <s v="Grande entreprise"/>
    <s v="Casque Pro"/>
    <s v="Électronique"/>
    <s v="Standard"/>
    <s v="Agence Goma 3"/>
    <s v="Goma"/>
    <s v="Commercial 043"/>
    <n v="29"/>
    <x v="1"/>
    <n v="43"/>
    <n v="8"/>
    <n v="2"/>
    <s v="WhatsApp"/>
    <n v="47.45"/>
    <n v="195"/>
    <n v="0"/>
    <n v="195"/>
    <n v="142.35000000000002"/>
    <n v="52.649999999999977"/>
    <n v="0.26999999999999991"/>
    <n v="2025"/>
    <n v="3"/>
    <s v="2025-03"/>
    <s v="T1"/>
    <s v="22-29"/>
    <s v="bon"/>
    <s v="Rapide"/>
    <s v="Faible"/>
  </r>
  <r>
    <s v="TX0000307"/>
    <d v="2025-02-17T00:00:00"/>
    <s v="CLI01150"/>
    <s v="PRD011"/>
    <s v="AG016"/>
    <s v="COM015"/>
    <n v="1"/>
    <n v="240"/>
    <n v="0"/>
    <s v="Cash"/>
    <s v="Validée"/>
    <s v="Client 01150"/>
    <s v="Kisangani"/>
    <s v="Indépendant"/>
    <s v="Switch 24 Ports"/>
    <s v="Réseau"/>
    <s v="Premium"/>
    <s v="Agence Kisangani 3"/>
    <s v="Kisangani"/>
    <s v="Commercial 015"/>
    <n v="31"/>
    <x v="1"/>
    <n v="30"/>
    <n v="3.9"/>
    <n v="8"/>
    <s v="WhatsApp"/>
    <n v="177.6"/>
    <n v="240"/>
    <n v="0"/>
    <n v="240"/>
    <n v="177.6"/>
    <n v="62.400000000000006"/>
    <n v="0.26"/>
    <n v="2025"/>
    <n v="2"/>
    <s v="2025-02"/>
    <s v="T1"/>
    <s v="30-39"/>
    <s v="faible"/>
    <s v="Long"/>
    <s v="Faible"/>
  </r>
  <r>
    <s v="TX0000308"/>
    <d v="2025-09-11T00:00:00"/>
    <s v="CLI00993"/>
    <s v="PRD007"/>
    <s v="AG003"/>
    <s v="COM005"/>
    <n v="1"/>
    <n v="145"/>
    <n v="0"/>
    <s v="Carte"/>
    <s v="Validée"/>
    <s v="Client 00993"/>
    <s v="Kolwezi"/>
    <s v="PME"/>
    <s v="Écran 24 pouces"/>
    <s v="Informatique"/>
    <s v="Standard"/>
    <s v="Agence Goma 1"/>
    <s v="Goma"/>
    <s v="Commercial 005"/>
    <n v="56"/>
    <x v="0"/>
    <n v="9"/>
    <n v="6"/>
    <n v="4"/>
    <s v="WhatsApp"/>
    <n v="97.15"/>
    <n v="145"/>
    <n v="0"/>
    <n v="145"/>
    <n v="97.15"/>
    <n v="47.849999999999994"/>
    <n v="0.32999999999999996"/>
    <n v="2025"/>
    <n v="9"/>
    <s v="2025-09"/>
    <s v="T3"/>
    <s v="50+"/>
    <s v="moyen"/>
    <s v="Moyen"/>
    <s v="Faible"/>
  </r>
  <r>
    <s v="TX0000309"/>
    <d v="2025-06-24T00:00:00"/>
    <s v="CLI01578"/>
    <s v="PRD007"/>
    <s v="AG016"/>
    <s v="COM007"/>
    <n v="1"/>
    <n v="145"/>
    <n v="0.05"/>
    <s v="Virement"/>
    <s v="Validée"/>
    <s v="Client 01578"/>
    <s v="Matadi"/>
    <s v="Grande entreprise"/>
    <s v="Écran 24 pouces"/>
    <s v="Informatique"/>
    <s v="Standard"/>
    <s v="Agence Kisangani 3"/>
    <s v="Kisangani"/>
    <s v="Commercial 007"/>
    <n v="42"/>
    <x v="0"/>
    <n v="7"/>
    <n v="8.1"/>
    <n v="3"/>
    <s v="WhatsApp"/>
    <n v="97.15"/>
    <n v="145"/>
    <n v="7.25"/>
    <n v="137.75"/>
    <n v="97.15"/>
    <n v="40.599999999999994"/>
    <n v="0.29473684210526313"/>
    <n v="2025"/>
    <n v="6"/>
    <s v="2025-06"/>
    <s v="T2"/>
    <s v="40-49"/>
    <s v="bon"/>
    <s v="Rapide"/>
    <s v="Faible"/>
  </r>
  <r>
    <s v="TX0000311"/>
    <d v="2025-07-24T00:00:00"/>
    <s v="CLI01580"/>
    <s v="PRD015"/>
    <s v="AG017"/>
    <s v="COM013"/>
    <n v="1"/>
    <n v="48"/>
    <n v="0"/>
    <s v="Mobile Money"/>
    <s v="Validée"/>
    <s v="Client 01580"/>
    <s v="Lubumbashi"/>
    <s v="PME"/>
    <s v="Webcam HD"/>
    <s v="Électronique"/>
    <s v="Entrée de gamme"/>
    <s v="Agence Matadi 3"/>
    <s v="Matadi"/>
    <s v="Commercial 013"/>
    <n v="46"/>
    <x v="0"/>
    <n v="22"/>
    <n v="5.2"/>
    <n v="7"/>
    <s v="Téléphone"/>
    <n v="37.44"/>
    <n v="48"/>
    <n v="0"/>
    <n v="48"/>
    <n v="37.44"/>
    <n v="10.560000000000002"/>
    <n v="0.22000000000000006"/>
    <n v="2025"/>
    <n v="7"/>
    <s v="2025-07"/>
    <s v="T3"/>
    <s v="40-49"/>
    <s v="moyen"/>
    <s v="Long"/>
    <s v="Faible"/>
  </r>
  <r>
    <s v="TX0000312"/>
    <d v="2025-02-24T00:00:00"/>
    <s v="CLI01259"/>
    <s v="PRD004"/>
    <s v="AG005"/>
    <s v="COM030"/>
    <n v="4"/>
    <n v="520"/>
    <n v="0"/>
    <s v="Cash"/>
    <s v="Validée"/>
    <s v="Client 01259"/>
    <s v="Goma"/>
    <s v="Institution"/>
    <s v="Laptop Essential 15"/>
    <s v="Informatique"/>
    <s v="Standard"/>
    <s v="Agence Matadi 1"/>
    <s v="Matadi"/>
    <s v="Commercial 030"/>
    <n v="54"/>
    <x v="0"/>
    <n v="12"/>
    <n v="7.5"/>
    <n v="3"/>
    <s v="Web"/>
    <n v="348.4"/>
    <n v="2080"/>
    <n v="0"/>
    <n v="2080"/>
    <n v="1393.6"/>
    <n v="686.40000000000009"/>
    <n v="0.33000000000000007"/>
    <n v="2025"/>
    <n v="2"/>
    <s v="2025-02"/>
    <s v="T1"/>
    <s v="50+"/>
    <s v="bon"/>
    <s v="Rapide"/>
    <s v="Elevée"/>
  </r>
  <r>
    <s v="TX0000313"/>
    <d v="2025-12-05T00:00:00"/>
    <s v="CLI00767"/>
    <s v="PRD009"/>
    <s v="AG001"/>
    <s v="COM031"/>
    <n v="3"/>
    <n v="22"/>
    <n v="0"/>
    <s v="Virement"/>
    <s v="Validée"/>
    <s v="Client 00767"/>
    <s v="Goma"/>
    <s v="Institution"/>
    <s v="Souris Wireless"/>
    <s v="Informatique"/>
    <s v="Entrée de gamme"/>
    <s v="Agence Kinshasa 1"/>
    <s v="Kinshasa"/>
    <s v="Commercial 031"/>
    <n v="38"/>
    <x v="1"/>
    <n v="15"/>
    <n v="4.0999999999999996"/>
    <n v="8"/>
    <s v="Web"/>
    <n v="14.96"/>
    <n v="66"/>
    <n v="0"/>
    <n v="66"/>
    <n v="44.88"/>
    <n v="21.119999999999997"/>
    <n v="0.31999999999999995"/>
    <n v="2025"/>
    <n v="12"/>
    <s v="2025-12"/>
    <s v="T4"/>
    <s v="30-39"/>
    <s v="faible"/>
    <s v="Long"/>
    <s v="Faible"/>
  </r>
  <r>
    <s v="TX0000314"/>
    <d v="2025-03-19T00:00:00"/>
    <s v="CLI00345"/>
    <s v="PRD012"/>
    <s v="AG014"/>
    <s v="COM014"/>
    <n v="2"/>
    <n v="180"/>
    <n v="0.02"/>
    <s v="Virement"/>
    <s v="Validée"/>
    <s v="Client 00345"/>
    <s v="Goma"/>
    <s v="ONG"/>
    <s v="Onduleur 1200VA"/>
    <s v="Énergie"/>
    <s v="Standard"/>
    <s v="Agence Lubumbashi 3"/>
    <s v="Lubumbashi"/>
    <s v="Commercial 014"/>
    <n v="46"/>
    <x v="0"/>
    <n v="35"/>
    <n v="4.3"/>
    <n v="9"/>
    <s v="Web"/>
    <n v="129.6"/>
    <n v="360"/>
    <n v="7.2"/>
    <n v="352.8"/>
    <n v="259.2"/>
    <n v="93.600000000000023"/>
    <n v="0.26530612244897966"/>
    <n v="2025"/>
    <n v="3"/>
    <s v="2025-03"/>
    <s v="T1"/>
    <s v="40-49"/>
    <s v="faible"/>
    <s v="Long"/>
    <s v="Faible"/>
  </r>
  <r>
    <s v="TX0000315"/>
    <d v="2025-11-29T00:00:00"/>
    <s v="CLI01117"/>
    <s v="PRD012"/>
    <s v="AG004"/>
    <s v="COM004"/>
    <n v="2"/>
    <n v="180"/>
    <n v="0.02"/>
    <s v="Carte"/>
    <s v="Validée"/>
    <s v="Client 01117"/>
    <s v="Matadi"/>
    <s v="PME"/>
    <s v="Onduleur 1200VA"/>
    <s v="Énergie"/>
    <s v="Standard"/>
    <s v="Agence Kisangani 1"/>
    <s v="Kisangani"/>
    <s v="Commercial 004"/>
    <n v="40"/>
    <x v="0"/>
    <n v="23"/>
    <n v="7.3"/>
    <n v="3"/>
    <s v="WhatsApp"/>
    <n v="129.6"/>
    <n v="360"/>
    <n v="7.2"/>
    <n v="352.8"/>
    <n v="259.2"/>
    <n v="93.600000000000023"/>
    <n v="0.26530612244897966"/>
    <n v="2025"/>
    <n v="11"/>
    <s v="2025-11"/>
    <s v="T4"/>
    <s v="40-49"/>
    <s v="bon"/>
    <s v="Rapide"/>
    <s v="Faible"/>
  </r>
  <r>
    <s v="TX0000316"/>
    <d v="2025-11-08T00:00:00"/>
    <s v="CLI01650"/>
    <s v="PRD006"/>
    <s v="AG009"/>
    <s v="COM034"/>
    <n v="2"/>
    <n v="190"/>
    <n v="0.02"/>
    <s v="Cash"/>
    <s v="Validée"/>
    <s v="Client 01650"/>
    <s v="Goma"/>
    <s v="PME"/>
    <s v="Imprimante Office"/>
    <s v="Bureautique"/>
    <s v="Standard"/>
    <s v="Agence Goma 2"/>
    <s v="Goma"/>
    <s v="Commercial 034"/>
    <n v="55"/>
    <x v="0"/>
    <n v="55"/>
    <n v="6.6"/>
    <n v="5"/>
    <s v="Web"/>
    <n v="148.19999999999999"/>
    <n v="380"/>
    <n v="7.6000000000000005"/>
    <n v="372.4"/>
    <n v="296.39999999999998"/>
    <n v="76"/>
    <n v="0.20408163265306123"/>
    <n v="2025"/>
    <n v="11"/>
    <s v="2025-11"/>
    <s v="T4"/>
    <s v="50+"/>
    <s v="moyen"/>
    <s v="Moyen"/>
    <s v="Faible"/>
  </r>
  <r>
    <s v="TX0000317"/>
    <d v="2025-01-28T00:00:00"/>
    <s v="CLI01020"/>
    <s v="PRD004"/>
    <s v="AG008"/>
    <s v="COM008"/>
    <n v="5"/>
    <n v="520"/>
    <n v="0.05"/>
    <s v="Virement"/>
    <s v="Validée"/>
    <s v="Client 01020"/>
    <s v="Kisangani"/>
    <s v="PME"/>
    <s v="Laptop Essential 15"/>
    <s v="Informatique"/>
    <s v="Standard"/>
    <s v="Agence Lubumbashi 2"/>
    <s v="Lubumbashi"/>
    <s v="Commercial 008"/>
    <n v="43"/>
    <x v="0"/>
    <n v="49"/>
    <n v="8"/>
    <n v="1"/>
    <s v="Web"/>
    <n v="348.4"/>
    <n v="2600"/>
    <n v="130"/>
    <n v="2470"/>
    <n v="1742"/>
    <n v="728"/>
    <n v="0.29473684210526313"/>
    <n v="2025"/>
    <n v="1"/>
    <s v="2025-01"/>
    <s v="T1"/>
    <s v="40-49"/>
    <s v="bon"/>
    <s v="Rapide"/>
    <s v="Elevée"/>
  </r>
  <r>
    <s v="TX0000318"/>
    <d v="2025-11-14T00:00:00"/>
    <s v="CLI02180"/>
    <s v="PRD004"/>
    <s v="AG009"/>
    <s v="COM015"/>
    <n v="3"/>
    <n v="520"/>
    <n v="0.02"/>
    <s v="Mobile Money"/>
    <s v="Validée"/>
    <s v="Client 02180"/>
    <s v="Lubumbashi"/>
    <s v="Institution"/>
    <s v="Laptop Essential 15"/>
    <s v="Informatique"/>
    <s v="Standard"/>
    <s v="Agence Goma 2"/>
    <s v="Goma"/>
    <s v="Commercial 015"/>
    <n v="50"/>
    <x v="1"/>
    <n v="54"/>
    <n v="8.1999999999999993"/>
    <n v="1"/>
    <s v="Web"/>
    <n v="348.4"/>
    <n v="1560"/>
    <n v="31.2"/>
    <n v="1528.8"/>
    <n v="1045.1999999999998"/>
    <n v="483.60000000000014"/>
    <n v="0.31632653061224497"/>
    <n v="2025"/>
    <n v="11"/>
    <s v="2025-11"/>
    <s v="T4"/>
    <s v="50+"/>
    <s v="bon"/>
    <s v="Rapide"/>
    <s v="Elevée"/>
  </r>
  <r>
    <s v="TX0000319"/>
    <d v="2025-03-29T00:00:00"/>
    <s v="CLI00901"/>
    <s v="PRD009"/>
    <s v="AG016"/>
    <s v="COM014"/>
    <n v="4"/>
    <n v="22"/>
    <n v="0"/>
    <s v="Virement"/>
    <s v="Validée"/>
    <s v="Client 00901"/>
    <s v="Kinshasa"/>
    <s v="Institution"/>
    <s v="Souris Wireless"/>
    <s v="Informatique"/>
    <s v="Entrée de gamme"/>
    <s v="Agence Kisangani 3"/>
    <s v="Kisangani"/>
    <s v="Commercial 014"/>
    <n v="58"/>
    <x v="0"/>
    <n v="50"/>
    <n v="5.3"/>
    <n v="6"/>
    <s v="Web"/>
    <n v="14.96"/>
    <n v="88"/>
    <n v="0"/>
    <n v="88"/>
    <n v="59.84"/>
    <n v="28.159999999999997"/>
    <n v="0.31999999999999995"/>
    <n v="2025"/>
    <n v="3"/>
    <s v="2025-03"/>
    <s v="T1"/>
    <s v="50+"/>
    <s v="moyen"/>
    <s v="Moyen"/>
    <s v="Faible"/>
  </r>
  <r>
    <s v="TX0000320"/>
    <d v="2025-09-15T00:00:00"/>
    <s v="CLI01180"/>
    <s v="PRD001"/>
    <s v="AG004"/>
    <s v="COM012"/>
    <n v="6"/>
    <n v="120"/>
    <n v="0.05"/>
    <s v="Mobile Money"/>
    <s v="Validée"/>
    <s v="Client 01180"/>
    <s v="Matadi"/>
    <s v="Grande entreprise"/>
    <s v="Smartphone A1"/>
    <s v="Électronique"/>
    <s v="Entrée de gamme"/>
    <s v="Agence Kisangani 1"/>
    <s v="Kisangani"/>
    <s v="Commercial 012"/>
    <n v="38"/>
    <x v="1"/>
    <n v="25"/>
    <n v="7"/>
    <n v="3"/>
    <s v="Magasin"/>
    <n v="73.2"/>
    <n v="720"/>
    <n v="36"/>
    <n v="684"/>
    <n v="439.20000000000005"/>
    <n v="244.79999999999995"/>
    <n v="0.35789473684210521"/>
    <n v="2025"/>
    <n v="9"/>
    <s v="2025-09"/>
    <s v="T3"/>
    <s v="30-39"/>
    <s v="bon"/>
    <s v="Rapide"/>
    <s v="Moyenne"/>
  </r>
  <r>
    <s v="TX0000321"/>
    <d v="2025-02-05T00:00:00"/>
    <s v="CLI00978"/>
    <s v="PRD006"/>
    <s v="AG011"/>
    <s v="COM044"/>
    <n v="1"/>
    <n v="190"/>
    <n v="0"/>
    <s v="Mobile Money"/>
    <s v="Validée"/>
    <s v="Client 00978"/>
    <s v="Matadi"/>
    <s v="Indépendant"/>
    <s v="Imprimante Office"/>
    <s v="Bureautique"/>
    <s v="Standard"/>
    <s v="Agence Matadi 2"/>
    <s v="Matadi"/>
    <s v="Commercial 044"/>
    <n v="46"/>
    <x v="0"/>
    <n v="45"/>
    <n v="6.6"/>
    <n v="3"/>
    <s v="Magasin"/>
    <n v="148.19999999999999"/>
    <n v="190"/>
    <n v="0"/>
    <n v="190"/>
    <n v="148.19999999999999"/>
    <n v="41.800000000000011"/>
    <n v="0.22000000000000006"/>
    <n v="2025"/>
    <n v="2"/>
    <s v="2025-02"/>
    <s v="T1"/>
    <s v="40-49"/>
    <s v="moyen"/>
    <s v="Rapide"/>
    <s v="Faible"/>
  </r>
  <r>
    <s v="TX0000322"/>
    <d v="2025-01-11T00:00:00"/>
    <s v="CLI00053"/>
    <s v="PRD016"/>
    <s v="AG014"/>
    <s v="COM022"/>
    <n v="1"/>
    <n v="420"/>
    <n v="0"/>
    <s v="Cash"/>
    <s v="Validée"/>
    <s v="Client 00053"/>
    <s v="Kisangani"/>
    <s v="Indépendant"/>
    <s v="Projecteur HD"/>
    <s v="Bureautique"/>
    <s v="Premium"/>
    <s v="Agence Lubumbashi 3"/>
    <s v="Lubumbashi"/>
    <s v="Commercial 022"/>
    <n v="38"/>
    <x v="1"/>
    <n v="6"/>
    <n v="2.9"/>
    <n v="9"/>
    <s v="WhatsApp"/>
    <n v="273"/>
    <n v="420"/>
    <n v="0"/>
    <n v="420"/>
    <n v="273"/>
    <n v="147"/>
    <n v="0.35"/>
    <n v="2025"/>
    <n v="1"/>
    <s v="2025-01"/>
    <s v="T1"/>
    <s v="30-39"/>
    <s v="faible"/>
    <s v="Long"/>
    <s v="Faible"/>
  </r>
  <r>
    <s v="TX0000323"/>
    <d v="2025-01-01T00:00:00"/>
    <s v="CLI00040"/>
    <s v="PRD012"/>
    <s v="AG016"/>
    <s v="COM038"/>
    <n v="2"/>
    <n v="180"/>
    <n v="0"/>
    <s v="Mobile Money"/>
    <s v="Validée"/>
    <s v="Client 00040"/>
    <s v="Goma"/>
    <s v="Grande entreprise"/>
    <s v="Onduleur 1200VA"/>
    <s v="Énergie"/>
    <s v="Standard"/>
    <s v="Agence Kisangani 3"/>
    <s v="Kisangani"/>
    <s v="Commercial 038"/>
    <n v="56"/>
    <x v="1"/>
    <n v="28"/>
    <n v="3.9"/>
    <n v="8"/>
    <s v="Magasin"/>
    <n v="129.6"/>
    <n v="360"/>
    <n v="0"/>
    <n v="360"/>
    <n v="259.2"/>
    <n v="100.80000000000001"/>
    <n v="0.28000000000000003"/>
    <n v="2025"/>
    <n v="1"/>
    <s v="2025-01"/>
    <s v="T1"/>
    <s v="50+"/>
    <s v="faible"/>
    <s v="Long"/>
    <s v="Faible"/>
  </r>
  <r>
    <s v="TX0000324"/>
    <d v="2025-09-15T00:00:00"/>
    <s v="CLI00072"/>
    <s v="PRD010"/>
    <s v="AG008"/>
    <s v="COM034"/>
    <n v="1"/>
    <n v="95"/>
    <n v="0"/>
    <s v="Cash"/>
    <s v="Validée"/>
    <s v="Client 00072"/>
    <s v="Kisangani"/>
    <s v="PME"/>
    <s v="Routeur Business"/>
    <s v="Réseau"/>
    <s v="Standard"/>
    <s v="Agence Lubumbashi 2"/>
    <s v="Lubumbashi"/>
    <s v="Commercial 034"/>
    <n v="48"/>
    <x v="1"/>
    <n v="29"/>
    <n v="8.1999999999999993"/>
    <n v="1"/>
    <s v="Web"/>
    <n v="70.3"/>
    <n v="95"/>
    <n v="0"/>
    <n v="95"/>
    <n v="70.3"/>
    <n v="24.700000000000003"/>
    <n v="0.26"/>
    <n v="2025"/>
    <n v="9"/>
    <s v="2025-09"/>
    <s v="T3"/>
    <s v="40-49"/>
    <s v="bon"/>
    <s v="Rapide"/>
    <s v="Faible"/>
  </r>
  <r>
    <s v="TX0000325"/>
    <d v="2025-06-29T00:00:00"/>
    <s v="CLI01375"/>
    <s v="PRD015"/>
    <s v="AG016"/>
    <s v="COM048"/>
    <n v="20"/>
    <n v="48"/>
    <n v="0"/>
    <s v="Mobile Money"/>
    <s v="Validée"/>
    <s v="Client 01375"/>
    <s v="Matadi"/>
    <s v="ONG"/>
    <s v="Webcam HD"/>
    <s v="Électronique"/>
    <s v="Entrée de gamme"/>
    <s v="Agence Kisangani 3"/>
    <s v="Kisangani"/>
    <s v="Commercial 048"/>
    <n v="32"/>
    <x v="0"/>
    <n v="71"/>
    <n v="4.8"/>
    <n v="6"/>
    <s v="Web"/>
    <n v="37.44"/>
    <n v="960"/>
    <n v="0"/>
    <n v="960"/>
    <n v="748.8"/>
    <n v="211.20000000000005"/>
    <n v="0.22000000000000006"/>
    <n v="2025"/>
    <n v="6"/>
    <s v="2025-06"/>
    <s v="T2"/>
    <s v="30-39"/>
    <s v="faible"/>
    <s v="Moyen"/>
    <s v="Moyenne"/>
  </r>
  <r>
    <s v="TX0000326"/>
    <d v="2025-12-30T00:00:00"/>
    <s v="CLI01880"/>
    <s v="PRD001"/>
    <s v="AG012"/>
    <s v="COM020"/>
    <n v="2"/>
    <n v="120"/>
    <n v="0.05"/>
    <s v="Mobile Money"/>
    <s v="Validée"/>
    <s v="Client 01880"/>
    <s v="Lubumbashi"/>
    <s v="Indépendant"/>
    <s v="Smartphone A1"/>
    <s v="Électronique"/>
    <s v="Entrée de gamme"/>
    <s v="Agence Kolwezi 2"/>
    <s v="Kolwezi"/>
    <s v="Commercial 020"/>
    <n v="59"/>
    <x v="0"/>
    <n v="26"/>
    <n v="7.3"/>
    <n v="4"/>
    <s v="Téléphone"/>
    <n v="73.2"/>
    <n v="240"/>
    <n v="12"/>
    <n v="228"/>
    <n v="146.4"/>
    <n v="81.599999999999994"/>
    <n v="0.35789473684210527"/>
    <n v="2025"/>
    <n v="12"/>
    <s v="2025-12"/>
    <s v="T4"/>
    <s v="50+"/>
    <s v="bon"/>
    <s v="Moyen"/>
    <s v="Faible"/>
  </r>
  <r>
    <s v="TX0000327"/>
    <d v="2025-04-23T00:00:00"/>
    <s v="CLI02128"/>
    <s v="PRD001"/>
    <s v="AG005"/>
    <s v="COM027"/>
    <n v="3"/>
    <n v="120"/>
    <n v="0"/>
    <s v="Virement"/>
    <s v="Validée"/>
    <s v="Client 02128"/>
    <s v="Kolwezi"/>
    <s v="Institution"/>
    <s v="Smartphone A1"/>
    <s v="Électronique"/>
    <s v="Entrée de gamme"/>
    <s v="Agence Matadi 1"/>
    <s v="Matadi"/>
    <s v="Commercial 027"/>
    <n v="35"/>
    <x v="0"/>
    <n v="14"/>
    <n v="7.4"/>
    <n v="4"/>
    <s v="Magasin"/>
    <n v="73.2"/>
    <n v="360"/>
    <n v="0"/>
    <n v="360"/>
    <n v="219.60000000000002"/>
    <n v="140.39999999999998"/>
    <n v="0.38999999999999996"/>
    <n v="2025"/>
    <n v="4"/>
    <s v="2025-04"/>
    <s v="T2"/>
    <s v="30-39"/>
    <s v="bon"/>
    <s v="Moyen"/>
    <s v="Faible"/>
  </r>
  <r>
    <s v="TX0000329"/>
    <d v="2025-12-14T00:00:00"/>
    <s v="CLI01841"/>
    <s v="PRD006"/>
    <s v="AG009"/>
    <s v="COM059"/>
    <n v="2"/>
    <n v="190"/>
    <n v="0"/>
    <s v="Mobile Money"/>
    <s v="Validée"/>
    <s v="Client 01841"/>
    <s v="Goma"/>
    <s v="Institution"/>
    <s v="Imprimante Office"/>
    <s v="Bureautique"/>
    <s v="Standard"/>
    <s v="Agence Goma 2"/>
    <s v="Goma"/>
    <s v="Commercial 059"/>
    <n v="30"/>
    <x v="0"/>
    <n v="17"/>
    <n v="4.3"/>
    <n v="7"/>
    <s v="WhatsApp"/>
    <n v="148.19999999999999"/>
    <n v="380"/>
    <n v="0"/>
    <n v="380"/>
    <n v="296.39999999999998"/>
    <n v="83.600000000000023"/>
    <n v="0.22000000000000006"/>
    <n v="2025"/>
    <n v="12"/>
    <s v="2025-12"/>
    <s v="T4"/>
    <s v="30-39"/>
    <s v="faible"/>
    <s v="Long"/>
    <s v="Faible"/>
  </r>
  <r>
    <s v="TX0000330"/>
    <d v="2025-10-24T00:00:00"/>
    <s v="CLI01132"/>
    <s v="PRD010"/>
    <s v="AG007"/>
    <s v="COM003"/>
    <n v="3"/>
    <n v="95"/>
    <n v="0"/>
    <s v="Cash"/>
    <s v="Validée"/>
    <s v="Client 01132"/>
    <s v="Goma"/>
    <s v="Grande entreprise"/>
    <s v="Routeur Business"/>
    <s v="Réseau"/>
    <s v="Standard"/>
    <s v="Agence Kinshasa 2"/>
    <s v="Kinshasa"/>
    <s v="Commercial 003"/>
    <n v="42"/>
    <x v="1"/>
    <n v="7"/>
    <n v="5.7"/>
    <n v="6"/>
    <s v="Téléphone"/>
    <n v="70.3"/>
    <n v="285"/>
    <n v="0"/>
    <n v="285"/>
    <n v="210.89999999999998"/>
    <n v="74.100000000000023"/>
    <n v="0.26000000000000006"/>
    <n v="2025"/>
    <n v="10"/>
    <s v="2025-10"/>
    <s v="T4"/>
    <s v="40-49"/>
    <s v="moyen"/>
    <s v="Moyen"/>
    <s v="Faible"/>
  </r>
  <r>
    <s v="TX0000331"/>
    <d v="2025-01-05T00:00:00"/>
    <s v="CLI01864"/>
    <s v="PRD012"/>
    <s v="AG010"/>
    <s v="COM008"/>
    <n v="2"/>
    <n v="180"/>
    <n v="0.08"/>
    <s v="Carte"/>
    <s v="Validée"/>
    <s v="Client 01864"/>
    <s v="Kinshasa"/>
    <s v="Grande entreprise"/>
    <s v="Onduleur 1200VA"/>
    <s v="Énergie"/>
    <s v="Standard"/>
    <s v="Agence Kisangani 2"/>
    <s v="Kisangani"/>
    <s v="Commercial 008"/>
    <n v="51"/>
    <x v="1"/>
    <n v="51"/>
    <n v="6"/>
    <n v="4"/>
    <s v="Web"/>
    <n v="129.6"/>
    <n v="360"/>
    <n v="28.8"/>
    <n v="331.2"/>
    <n v="259.2"/>
    <n v="72"/>
    <n v="0.21739130434782608"/>
    <n v="2025"/>
    <n v="1"/>
    <s v="2025-01"/>
    <s v="T1"/>
    <s v="50+"/>
    <s v="moyen"/>
    <s v="Moyen"/>
    <s v="Faible"/>
  </r>
  <r>
    <s v="TX0000332"/>
    <d v="2025-03-25T00:00:00"/>
    <s v="CLI00616"/>
    <s v="PRD010"/>
    <s v="AG018"/>
    <s v="COM043"/>
    <n v="2"/>
    <n v="95"/>
    <n v="0"/>
    <s v="Cash"/>
    <s v="Validée"/>
    <s v="Client 00616"/>
    <s v="Kolwezi"/>
    <s v="ONG"/>
    <s v="Routeur Business"/>
    <s v="Réseau"/>
    <s v="Standard"/>
    <s v="Agence Kolwezi 3"/>
    <s v="Kolwezi"/>
    <s v="Commercial 043"/>
    <n v="48"/>
    <x v="1"/>
    <n v="4"/>
    <n v="7.2"/>
    <n v="2"/>
    <s v="Magasin"/>
    <n v="70.3"/>
    <n v="190"/>
    <n v="0"/>
    <n v="190"/>
    <n v="140.6"/>
    <n v="49.400000000000006"/>
    <n v="0.26"/>
    <n v="2025"/>
    <n v="3"/>
    <s v="2025-03"/>
    <s v="T1"/>
    <s v="40-49"/>
    <s v="bon"/>
    <s v="Rapide"/>
    <s v="Faible"/>
  </r>
  <r>
    <s v="TX0000333"/>
    <d v="2025-05-25T00:00:00"/>
    <s v="CLI00064"/>
    <s v="PRD015"/>
    <s v="AG002"/>
    <s v="COM014"/>
    <n v="5"/>
    <n v="48"/>
    <n v="0"/>
    <s v="Cash"/>
    <s v="Validée"/>
    <s v="Client 00064"/>
    <s v="Kisangani"/>
    <s v="ONG"/>
    <s v="Webcam HD"/>
    <s v="Électronique"/>
    <s v="Entrée de gamme"/>
    <s v="Agence Lubumbashi 1"/>
    <s v="Lubumbashi"/>
    <s v="Commercial 014"/>
    <n v="32"/>
    <x v="0"/>
    <n v="37"/>
    <n v="5.4"/>
    <n v="5"/>
    <s v="Téléphone"/>
    <n v="37.44"/>
    <n v="240"/>
    <n v="0"/>
    <n v="240"/>
    <n v="187.2"/>
    <n v="52.800000000000011"/>
    <n v="0.22000000000000006"/>
    <n v="2025"/>
    <n v="5"/>
    <s v="2025-05"/>
    <s v="T2"/>
    <s v="30-39"/>
    <s v="moyen"/>
    <s v="Moyen"/>
    <s v="Faible"/>
  </r>
  <r>
    <s v="TX0000334"/>
    <d v="2025-01-01T00:00:00"/>
    <s v="CLI00021"/>
    <s v="PRD014"/>
    <s v="AG012"/>
    <s v="COM043"/>
    <n v="1"/>
    <n v="65"/>
    <n v="0"/>
    <s v="Virement"/>
    <s v="Validée"/>
    <s v="Client 00021"/>
    <s v="Lubumbashi"/>
    <s v="ONG"/>
    <s v="Casque Pro"/>
    <s v="Électronique"/>
    <s v="Standard"/>
    <s v="Agence Kolwezi 2"/>
    <s v="Kolwezi"/>
    <s v="Commercial 043"/>
    <n v="26"/>
    <x v="0"/>
    <n v="61"/>
    <n v="7.4"/>
    <n v="2"/>
    <s v="Web"/>
    <n v="47.45"/>
    <n v="65"/>
    <n v="0"/>
    <n v="65"/>
    <n v="47.45"/>
    <n v="17.549999999999997"/>
    <n v="0.26999999999999996"/>
    <n v="2025"/>
    <n v="1"/>
    <s v="2025-01"/>
    <s v="T1"/>
    <s v="22-29"/>
    <s v="bon"/>
    <s v="Rapide"/>
    <s v="Faible"/>
  </r>
  <r>
    <s v="TX0000335"/>
    <d v="2025-05-19T00:00:00"/>
    <s v="CLI02057"/>
    <s v="PRD005"/>
    <s v="AG003"/>
    <s v="COM046"/>
    <n v="1"/>
    <n v="260"/>
    <n v="0.08"/>
    <s v="Carte"/>
    <s v="Validée"/>
    <s v="Client 02057"/>
    <s v="Kisangani"/>
    <s v="ONG"/>
    <s v="Tablette T10"/>
    <s v="Électronique"/>
    <s v="Standard"/>
    <s v="Agence Goma 1"/>
    <s v="Goma"/>
    <s v="Commercial 046"/>
    <n v="37"/>
    <x v="1"/>
    <n v="25"/>
    <n v="6.2"/>
    <n v="6"/>
    <s v="Téléphone"/>
    <n v="189.8"/>
    <n v="260"/>
    <n v="20.8"/>
    <n v="239.2"/>
    <n v="189.8"/>
    <n v="49.399999999999977"/>
    <n v="0.2065217391304347"/>
    <n v="2025"/>
    <n v="5"/>
    <s v="2025-05"/>
    <s v="T2"/>
    <s v="30-39"/>
    <s v="moyen"/>
    <s v="Moyen"/>
    <s v="Faible"/>
  </r>
  <r>
    <s v="TX0000336"/>
    <d v="2025-08-31T00:00:00"/>
    <s v="CLI00331"/>
    <s v="PRD010"/>
    <s v="AG008"/>
    <s v="COM003"/>
    <n v="6"/>
    <n v="95"/>
    <n v="0"/>
    <s v="Mobile Money"/>
    <s v="Validée"/>
    <s v="Client 00331"/>
    <s v="Goma"/>
    <s v="Indépendant"/>
    <s v="Routeur Business"/>
    <s v="Réseau"/>
    <s v="Standard"/>
    <s v="Agence Lubumbashi 2"/>
    <s v="Lubumbashi"/>
    <s v="Commercial 003"/>
    <n v="60"/>
    <x v="1"/>
    <n v="51"/>
    <n v="5"/>
    <n v="8"/>
    <s v="Magasin"/>
    <n v="70.3"/>
    <n v="570"/>
    <n v="0"/>
    <n v="570"/>
    <n v="421.79999999999995"/>
    <n v="148.20000000000005"/>
    <n v="0.26000000000000006"/>
    <n v="2025"/>
    <n v="8"/>
    <s v="2025-08"/>
    <s v="T3"/>
    <s v="50+"/>
    <s v="moyen"/>
    <s v="Long"/>
    <s v="Moyenne"/>
  </r>
  <r>
    <s v="TX0000337"/>
    <d v="2025-06-09T00:00:00"/>
    <s v="CLI00402"/>
    <s v="PRD009"/>
    <s v="AG010"/>
    <s v="COM039"/>
    <n v="1"/>
    <n v="22"/>
    <n v="0.02"/>
    <s v="Virement"/>
    <s v="Validée"/>
    <s v="Client 00402"/>
    <s v="Lubumbashi"/>
    <s v="Grande entreprise"/>
    <s v="Souris Wireless"/>
    <s v="Informatique"/>
    <s v="Entrée de gamme"/>
    <s v="Agence Kisangani 2"/>
    <s v="Kisangani"/>
    <s v="Commercial 039"/>
    <n v="51"/>
    <x v="1"/>
    <n v="32"/>
    <n v="4.9000000000000004"/>
    <n v="7"/>
    <s v="Magasin"/>
    <n v="14.96"/>
    <n v="22"/>
    <n v="0.44"/>
    <n v="21.56"/>
    <n v="14.96"/>
    <n v="6.5999999999999979"/>
    <n v="0.30612244897959173"/>
    <n v="2025"/>
    <n v="6"/>
    <s v="2025-06"/>
    <s v="T2"/>
    <s v="50+"/>
    <s v="faible"/>
    <s v="Long"/>
    <s v="Faible"/>
  </r>
  <r>
    <s v="TX0000338"/>
    <d v="2025-08-02T00:00:00"/>
    <s v="CLI00571"/>
    <s v="PRD007"/>
    <s v="AG009"/>
    <s v="COM009"/>
    <n v="3"/>
    <n v="145"/>
    <n v="0"/>
    <m/>
    <s v="Validée"/>
    <s v="Client 00571"/>
    <s v="Goma"/>
    <s v="Grande entreprise"/>
    <s v="Écran 24 pouces"/>
    <s v="Informatique"/>
    <s v="Standard"/>
    <s v="Agence Goma 2"/>
    <s v="Goma"/>
    <s v="Commercial 009"/>
    <n v="30"/>
    <x v="0"/>
    <n v="51"/>
    <n v="5.5"/>
    <n v="6"/>
    <s v="Téléphone"/>
    <n v="97.15"/>
    <n v="435"/>
    <n v="0"/>
    <n v="435"/>
    <n v="291.45000000000005"/>
    <n v="143.54999999999995"/>
    <n v="0.3299999999999999"/>
    <n v="2025"/>
    <n v="8"/>
    <s v="2025-08"/>
    <s v="T3"/>
    <s v="30-39"/>
    <s v="moyen"/>
    <s v="Moyen"/>
    <s v="Faible"/>
  </r>
  <r>
    <s v="TX0000339"/>
    <d v="2025-08-12T00:00:00"/>
    <s v="CLI01889"/>
    <s v="PRD006"/>
    <s v="AG013"/>
    <s v="COM051"/>
    <n v="1"/>
    <n v="190"/>
    <n v="0.05"/>
    <s v="Mobile Money"/>
    <s v="Validée"/>
    <s v="Client 01889"/>
    <s v="Kisangani"/>
    <s v="Institution"/>
    <s v="Imprimante Office"/>
    <s v="Bureautique"/>
    <s v="Standard"/>
    <s v="Agence Kinshasa 3"/>
    <s v="Kinshasa"/>
    <s v="Commercial 051"/>
    <n v="35"/>
    <x v="1"/>
    <n v="56"/>
    <n v="5.7"/>
    <n v="5"/>
    <s v="Téléphone"/>
    <n v="148.19999999999999"/>
    <n v="190"/>
    <n v="9.5"/>
    <n v="180.5"/>
    <n v="148.19999999999999"/>
    <n v="32.300000000000011"/>
    <n v="0.17894736842105269"/>
    <n v="2025"/>
    <n v="8"/>
    <s v="2025-08"/>
    <s v="T3"/>
    <s v="30-39"/>
    <s v="moyen"/>
    <s v="Moyen"/>
    <s v="Faible"/>
  </r>
  <r>
    <s v="TX0000340"/>
    <d v="2025-08-07T00:00:00"/>
    <s v="CLI02064"/>
    <s v="PRD012"/>
    <s v="AG015"/>
    <s v="COM023"/>
    <n v="2"/>
    <n v="180"/>
    <n v="0.02"/>
    <s v="Mobile Money"/>
    <s v="Validée"/>
    <s v="Client 02064"/>
    <s v="Lubumbashi"/>
    <s v="Grande entreprise"/>
    <s v="Onduleur 1200VA"/>
    <s v="Énergie"/>
    <s v="Standard"/>
    <s v="Agence Goma 3"/>
    <s v="Goma"/>
    <s v="Commercial 023"/>
    <n v="49"/>
    <x v="0"/>
    <n v="51"/>
    <n v="8.5"/>
    <n v="2"/>
    <s v="Magasin"/>
    <n v="129.6"/>
    <n v="360"/>
    <n v="7.2"/>
    <n v="352.8"/>
    <n v="259.2"/>
    <n v="93.600000000000023"/>
    <n v="0.26530612244897966"/>
    <n v="2025"/>
    <n v="8"/>
    <s v="2025-08"/>
    <s v="T3"/>
    <s v="40-49"/>
    <s v="bon"/>
    <s v="Rapide"/>
    <s v="Faible"/>
  </r>
  <r>
    <s v="TX0000341"/>
    <d v="2025-03-13T00:00:00"/>
    <s v="CLI00109"/>
    <s v="PRD014"/>
    <s v="AG003"/>
    <s v="COM049"/>
    <n v="3"/>
    <n v="65"/>
    <n v="0"/>
    <s v="Carte"/>
    <s v="Validée"/>
    <s v="Client 00109"/>
    <s v="Kolwezi"/>
    <s v="ONG"/>
    <s v="Casque Pro"/>
    <s v="Électronique"/>
    <s v="Standard"/>
    <s v="Agence Goma 1"/>
    <s v="Goma"/>
    <s v="Commercial 049"/>
    <n v="23"/>
    <x v="0"/>
    <n v="29"/>
    <n v="7.5"/>
    <n v="3"/>
    <s v="WhatsApp"/>
    <n v="47.45"/>
    <n v="195"/>
    <n v="0"/>
    <n v="195"/>
    <n v="142.35000000000002"/>
    <n v="52.649999999999977"/>
    <n v="0.26999999999999991"/>
    <n v="2025"/>
    <n v="3"/>
    <s v="2025-03"/>
    <s v="T1"/>
    <s v="22-29"/>
    <s v="bon"/>
    <s v="Rapide"/>
    <s v="Faible"/>
  </r>
  <r>
    <s v="TX0000342"/>
    <d v="2025-10-17T00:00:00"/>
    <s v="CLI01529"/>
    <s v="PRD005"/>
    <s v="AG018"/>
    <s v="COM058"/>
    <n v="5"/>
    <n v="260"/>
    <n v="0"/>
    <s v="Mobile Money"/>
    <s v="Validée"/>
    <s v="Client 01529"/>
    <s v="Goma"/>
    <s v="Indépendant"/>
    <s v="Tablette T10"/>
    <s v="Électronique"/>
    <s v="Standard"/>
    <s v="Agence Kolwezi 3"/>
    <s v="Kolwezi"/>
    <s v="Commercial 058"/>
    <n v="40"/>
    <x v="0"/>
    <n v="67"/>
    <n v="8.9"/>
    <n v="1"/>
    <s v="WhatsApp"/>
    <n v="189.8"/>
    <n v="1300"/>
    <n v="0"/>
    <n v="1300"/>
    <n v="949"/>
    <n v="351"/>
    <n v="0.27"/>
    <n v="2025"/>
    <n v="10"/>
    <s v="2025-10"/>
    <s v="T4"/>
    <s v="40-49"/>
    <s v="bon"/>
    <s v="Rapide"/>
    <s v="Elevée"/>
  </r>
  <r>
    <s v="TX0000343"/>
    <d v="2025-01-28T00:00:00"/>
    <s v="CLI00025"/>
    <s v="PRD015"/>
    <s v="AG017"/>
    <s v="COM030"/>
    <n v="1"/>
    <n v="48"/>
    <n v="0"/>
    <s v="Cash"/>
    <s v="Validée"/>
    <s v="Client 00025"/>
    <s v="Kisangani"/>
    <s v="Indépendant"/>
    <s v="Webcam HD"/>
    <s v="Électronique"/>
    <s v="Entrée de gamme"/>
    <s v="Agence Matadi 3"/>
    <s v="Matadi"/>
    <s v="Commercial 030"/>
    <n v="34"/>
    <x v="1"/>
    <n v="67"/>
    <n v="7.8"/>
    <n v="2"/>
    <s v="Web"/>
    <n v="37.44"/>
    <n v="48"/>
    <n v="0"/>
    <n v="48"/>
    <n v="37.44"/>
    <n v="10.560000000000002"/>
    <n v="0.22000000000000006"/>
    <n v="2025"/>
    <n v="1"/>
    <s v="2025-01"/>
    <s v="T1"/>
    <s v="30-39"/>
    <s v="bon"/>
    <s v="Rapide"/>
    <s v="Faible"/>
  </r>
  <r>
    <s v="TX0000344"/>
    <d v="2025-06-19T00:00:00"/>
    <s v="CLI00399"/>
    <s v="PRD010"/>
    <s v="AG016"/>
    <s v="COM045"/>
    <n v="5"/>
    <n v="95"/>
    <n v="0"/>
    <s v="Cash"/>
    <s v="Validée"/>
    <s v="Client 00399"/>
    <s v="Lubumbashi"/>
    <s v="Institution"/>
    <s v="Routeur Business"/>
    <s v="Réseau"/>
    <s v="Standard"/>
    <s v="Agence Kisangani 3"/>
    <s v="Kisangani"/>
    <s v="Commercial 045"/>
    <n v="41"/>
    <x v="0"/>
    <n v="27"/>
    <n v="7.7"/>
    <n v="3"/>
    <s v="WhatsApp"/>
    <n v="70.3"/>
    <n v="475"/>
    <n v="0"/>
    <n v="475"/>
    <n v="351.5"/>
    <n v="123.5"/>
    <n v="0.26"/>
    <n v="2025"/>
    <n v="6"/>
    <s v="2025-06"/>
    <s v="T2"/>
    <s v="40-49"/>
    <s v="bon"/>
    <s v="Rapide"/>
    <s v="Faible"/>
  </r>
  <r>
    <s v="TX0000345"/>
    <d v="2025-09-11T00:00:00"/>
    <s v="CLI02115"/>
    <s v="PRD005"/>
    <s v="AG018"/>
    <s v="COM048"/>
    <n v="1"/>
    <n v="260"/>
    <n v="0.08"/>
    <s v="Carte"/>
    <s v="Validée"/>
    <s v="Client 02115"/>
    <s v="Kolwezi"/>
    <s v="PME"/>
    <s v="Tablette T10"/>
    <s v="Électronique"/>
    <s v="Standard"/>
    <s v="Agence Kolwezi 3"/>
    <s v="Kolwezi"/>
    <s v="Commercial 048"/>
    <n v="39"/>
    <x v="0"/>
    <n v="72"/>
    <n v="5.4"/>
    <n v="7"/>
    <s v="Téléphone"/>
    <n v="189.8"/>
    <n v="260"/>
    <n v="20.8"/>
    <n v="239.2"/>
    <n v="189.8"/>
    <n v="49.399999999999977"/>
    <n v="0.2065217391304347"/>
    <n v="2025"/>
    <n v="9"/>
    <s v="2025-09"/>
    <s v="T3"/>
    <s v="30-39"/>
    <s v="moyen"/>
    <s v="Long"/>
    <s v="Faible"/>
  </r>
  <r>
    <s v="TX0000346"/>
    <d v="2025-12-19T00:00:00"/>
    <s v="CLI01274"/>
    <s v="PRD001"/>
    <s v="AG016"/>
    <s v="COM040"/>
    <n v="1"/>
    <n v="120"/>
    <n v="0"/>
    <s v="Cash"/>
    <s v="Validée"/>
    <s v="Client 01274"/>
    <s v="Goma"/>
    <s v="ONG"/>
    <s v="Smartphone A1"/>
    <s v="Électronique"/>
    <s v="Entrée de gamme"/>
    <s v="Agence Kisangani 3"/>
    <s v="Kisangani"/>
    <s v="Commercial 040"/>
    <n v="31"/>
    <x v="1"/>
    <n v="9"/>
    <n v="8"/>
    <n v="1"/>
    <s v="Magasin"/>
    <n v="73.2"/>
    <n v="120"/>
    <n v="0"/>
    <n v="120"/>
    <n v="73.2"/>
    <n v="46.8"/>
    <n v="0.38999999999999996"/>
    <n v="2025"/>
    <n v="12"/>
    <s v="2025-12"/>
    <s v="T4"/>
    <s v="30-39"/>
    <s v="bon"/>
    <s v="Rapide"/>
    <s v="Faible"/>
  </r>
  <r>
    <s v="TX0000347"/>
    <d v="2025-02-23T00:00:00"/>
    <s v="CLI00496"/>
    <s v="PRD004"/>
    <s v="AG008"/>
    <s v="COM014"/>
    <n v="2"/>
    <n v="520"/>
    <n v="0.1"/>
    <s v="Mobile Money"/>
    <s v="Validée"/>
    <s v="Client 00496"/>
    <s v="Kinshasa"/>
    <s v="PME"/>
    <s v="Laptop Essential 15"/>
    <s v="Informatique"/>
    <s v="Standard"/>
    <s v="Agence Lubumbashi 2"/>
    <s v="Lubumbashi"/>
    <s v="Commercial 014"/>
    <n v="28"/>
    <x v="0"/>
    <n v="34"/>
    <n v="8"/>
    <n v="1"/>
    <s v="Web"/>
    <n v="348.4"/>
    <n v="1040"/>
    <n v="104"/>
    <n v="936"/>
    <n v="696.8"/>
    <n v="239.20000000000005"/>
    <n v="0.25555555555555559"/>
    <n v="2025"/>
    <n v="2"/>
    <s v="2025-02"/>
    <s v="T1"/>
    <s v="22-29"/>
    <s v="bon"/>
    <s v="Rapide"/>
    <s v="Moyenne"/>
  </r>
  <r>
    <s v="TX0000348"/>
    <d v="2025-04-05T00:00:00"/>
    <s v="CLI00499"/>
    <s v="PRD010"/>
    <s v="AG013"/>
    <s v="COM031"/>
    <n v="5"/>
    <n v="95"/>
    <n v="0.1"/>
    <s v="Virement"/>
    <s v="Validée"/>
    <s v="Client 00499"/>
    <s v="Matadi"/>
    <s v="ONG"/>
    <s v="Routeur Business"/>
    <s v="Réseau"/>
    <s v="Standard"/>
    <s v="Agence Kinshasa 3"/>
    <s v="Kinshasa"/>
    <s v="Commercial 031"/>
    <n v="33"/>
    <x v="1"/>
    <n v="17"/>
    <n v="9.1"/>
    <n v="1"/>
    <s v="Téléphone"/>
    <n v="70.3"/>
    <n v="475"/>
    <n v="47.5"/>
    <n v="427.5"/>
    <n v="351.5"/>
    <n v="76"/>
    <n v="0.17777777777777778"/>
    <n v="2025"/>
    <n v="4"/>
    <s v="2025-04"/>
    <s v="T2"/>
    <s v="30-39"/>
    <s v="excellent"/>
    <s v="Rapide"/>
    <s v="Faible"/>
  </r>
  <r>
    <s v="TX0000349"/>
    <d v="2025-11-22T00:00:00"/>
    <s v="CLI01799"/>
    <s v="PRD004"/>
    <s v="AG014"/>
    <s v="COM010"/>
    <n v="1"/>
    <n v="520"/>
    <n v="0"/>
    <s v="Carte"/>
    <s v="Validée"/>
    <s v="Client 01799"/>
    <s v="Goma"/>
    <s v="Grande entreprise"/>
    <s v="Laptop Essential 15"/>
    <s v="Informatique"/>
    <s v="Standard"/>
    <s v="Agence Lubumbashi 3"/>
    <s v="Lubumbashi"/>
    <s v="Commercial 010"/>
    <n v="58"/>
    <x v="0"/>
    <n v="68"/>
    <n v="8.1999999999999993"/>
    <n v="1"/>
    <s v="Téléphone"/>
    <n v="348.4"/>
    <n v="520"/>
    <n v="0"/>
    <n v="520"/>
    <n v="348.4"/>
    <n v="171.60000000000002"/>
    <n v="0.33000000000000007"/>
    <n v="2025"/>
    <n v="11"/>
    <s v="2025-11"/>
    <s v="T4"/>
    <s v="50+"/>
    <s v="bon"/>
    <s v="Rapide"/>
    <s v="Moyenne"/>
  </r>
  <r>
    <s v="TX0000350"/>
    <d v="2025-05-29T00:00:00"/>
    <s v="CLI00821"/>
    <s v="PRD016"/>
    <s v="AG016"/>
    <s v="COM019"/>
    <n v="3"/>
    <n v="420"/>
    <n v="0.05"/>
    <s v="Mobile Money"/>
    <s v="Validée"/>
    <s v="Client 00821"/>
    <s v="Matadi"/>
    <s v="PME"/>
    <s v="Projecteur HD"/>
    <s v="Bureautique"/>
    <s v="Premium"/>
    <s v="Agence Kisangani 3"/>
    <s v="Kisangani"/>
    <s v="Commercial 019"/>
    <n v="27"/>
    <x v="1"/>
    <n v="40"/>
    <n v="5.3"/>
    <n v="6"/>
    <s v="Magasin"/>
    <n v="273"/>
    <n v="1260"/>
    <n v="63"/>
    <n v="1197"/>
    <n v="819"/>
    <n v="378"/>
    <n v="0.31578947368421051"/>
    <n v="2025"/>
    <n v="5"/>
    <s v="2025-05"/>
    <s v="T2"/>
    <s v="22-29"/>
    <s v="moyen"/>
    <s v="Moyen"/>
    <s v="Elevée"/>
  </r>
  <r>
    <s v="TX0000351"/>
    <d v="2025-02-24T00:00:00"/>
    <s v="CLI01128"/>
    <s v="PRD013"/>
    <s v="AG013"/>
    <s v="COM045"/>
    <n v="2"/>
    <n v="110"/>
    <n v="0.1"/>
    <s v="Mobile Money"/>
    <s v="Validée"/>
    <s v="Client 01128"/>
    <s v="Kisangani"/>
    <s v="Institution"/>
    <s v="Disque SSD 1TB"/>
    <s v="Informatique"/>
    <s v="Premium"/>
    <s v="Agence Kinshasa 3"/>
    <s v="Kinshasa"/>
    <s v="Commercial 045"/>
    <n v="47"/>
    <x v="1"/>
    <n v="14"/>
    <n v="3.3"/>
    <n v="9"/>
    <s v="Téléphone"/>
    <n v="72.599999999999994"/>
    <n v="220"/>
    <n v="22"/>
    <n v="198"/>
    <n v="145.19999999999999"/>
    <n v="52.800000000000011"/>
    <n v="0.26666666666666672"/>
    <n v="2025"/>
    <n v="2"/>
    <s v="2025-02"/>
    <s v="T1"/>
    <s v="40-49"/>
    <s v="faible"/>
    <s v="Long"/>
    <s v="Faible"/>
  </r>
  <r>
    <s v="TX0000352"/>
    <d v="2025-07-19T00:00:00"/>
    <s v="CLI01161"/>
    <s v="PRD015"/>
    <s v="AG004"/>
    <s v="COM037"/>
    <n v="1"/>
    <n v="48"/>
    <n v="0"/>
    <s v="Cash"/>
    <s v="Validée"/>
    <s v="Client 01161"/>
    <s v="Kisangani"/>
    <s v="Institution"/>
    <s v="Webcam HD"/>
    <s v="Électronique"/>
    <s v="Entrée de gamme"/>
    <s v="Agence Kisangani 1"/>
    <s v="Kisangani"/>
    <s v="Commercial 037"/>
    <n v="23"/>
    <x v="0"/>
    <n v="37"/>
    <n v="4.2"/>
    <n v="8"/>
    <s v="WhatsApp"/>
    <n v="37.44"/>
    <n v="48"/>
    <n v="0"/>
    <n v="48"/>
    <n v="37.44"/>
    <n v="10.560000000000002"/>
    <n v="0.22000000000000006"/>
    <n v="2025"/>
    <n v="7"/>
    <s v="2025-07"/>
    <s v="T3"/>
    <s v="22-29"/>
    <s v="faible"/>
    <s v="Long"/>
    <s v="Faible"/>
  </r>
  <r>
    <s v="TX0000353"/>
    <d v="2025-08-28T00:00:00"/>
    <s v="CLI01821"/>
    <s v="PRD002"/>
    <s v="AG012"/>
    <s v="COM009"/>
    <n v="5"/>
    <n v="350"/>
    <n v="0.02"/>
    <s v="Virement"/>
    <s v="Validée"/>
    <s v="Client 01821"/>
    <s v="Goma"/>
    <s v="Indépendant"/>
    <s v="Smartphone Pro X"/>
    <s v="Électronique"/>
    <s v="Premium"/>
    <s v="Agence Kolwezi 2"/>
    <s v="Kolwezi"/>
    <s v="Commercial 009"/>
    <n v="48"/>
    <x v="0"/>
    <n v="54"/>
    <n v="6.2"/>
    <n v="4"/>
    <s v="Magasin"/>
    <n v="213.5"/>
    <n v="1750"/>
    <n v="35"/>
    <n v="1715"/>
    <n v="1067.5"/>
    <n v="647.5"/>
    <n v="0.37755102040816324"/>
    <n v="2025"/>
    <n v="8"/>
    <s v="2025-08"/>
    <s v="T3"/>
    <s v="40-49"/>
    <s v="moyen"/>
    <s v="Moyen"/>
    <s v="Elevée"/>
  </r>
  <r>
    <s v="TX0000354"/>
    <d v="2025-09-15T00:00:00"/>
    <s v="CLI00649"/>
    <s v="PRD012"/>
    <s v="AG017"/>
    <s v="COM055"/>
    <n v="1"/>
    <n v="180"/>
    <n v="0.08"/>
    <s v="Mobile Money"/>
    <s v="Validée"/>
    <s v="Client 00649"/>
    <s v="Lubumbashi"/>
    <s v="Institution"/>
    <s v="Onduleur 1200VA"/>
    <s v="Énergie"/>
    <s v="Standard"/>
    <s v="Agence Matadi 3"/>
    <s v="Matadi"/>
    <s v="Commercial 055"/>
    <n v="57"/>
    <x v="1"/>
    <n v="10"/>
    <n v="8.1"/>
    <n v="2"/>
    <s v="Magasin"/>
    <n v="129.6"/>
    <n v="180"/>
    <n v="14.4"/>
    <n v="165.6"/>
    <n v="129.6"/>
    <n v="36"/>
    <n v="0.21739130434782608"/>
    <n v="2025"/>
    <n v="9"/>
    <s v="2025-09"/>
    <s v="T3"/>
    <s v="50+"/>
    <s v="bon"/>
    <s v="Rapide"/>
    <s v="Faible"/>
  </r>
  <r>
    <s v="TX0000355"/>
    <d v="2025-10-16T00:00:00"/>
    <s v="CLI00715"/>
    <s v="PRD005"/>
    <s v="AG012"/>
    <s v="COM042"/>
    <n v="2"/>
    <n v="260"/>
    <n v="0.08"/>
    <s v="Carte"/>
    <s v="Validée"/>
    <s v="Client 00715"/>
    <s v="Kisangani"/>
    <s v="Institution"/>
    <s v="Tablette T10"/>
    <s v="Électronique"/>
    <s v="Standard"/>
    <s v="Agence Kolwezi 2"/>
    <s v="Kolwezi"/>
    <s v="Commercial 042"/>
    <n v="35"/>
    <x v="1"/>
    <n v="51"/>
    <n v="4.3"/>
    <n v="9"/>
    <s v="Web"/>
    <n v="189.8"/>
    <n v="520"/>
    <n v="41.6"/>
    <n v="478.4"/>
    <n v="379.6"/>
    <n v="98.799999999999955"/>
    <n v="0.2065217391304347"/>
    <n v="2025"/>
    <n v="10"/>
    <s v="2025-10"/>
    <s v="T4"/>
    <s v="30-39"/>
    <s v="faible"/>
    <s v="Long"/>
    <s v="Faible"/>
  </r>
  <r>
    <s v="TX0000356"/>
    <d v="2025-11-27T00:00:00"/>
    <s v="CLI01241"/>
    <s v="PRD013"/>
    <s v="AG003"/>
    <s v="COM059"/>
    <n v="2"/>
    <n v="110"/>
    <n v="0.02"/>
    <s v="Carte"/>
    <s v="Validée"/>
    <s v="Client 01241"/>
    <s v="Kolwezi"/>
    <s v="Grande entreprise"/>
    <s v="Disque SSD 1TB"/>
    <s v="Informatique"/>
    <s v="Premium"/>
    <s v="Agence Goma 1"/>
    <s v="Goma"/>
    <s v="Commercial 059"/>
    <n v="39"/>
    <x v="0"/>
    <n v="49"/>
    <n v="7.9"/>
    <n v="3"/>
    <s v="Web"/>
    <n v="72.599999999999994"/>
    <n v="220"/>
    <n v="4.4000000000000004"/>
    <n v="215.6"/>
    <n v="145.19999999999999"/>
    <n v="70.400000000000006"/>
    <n v="0.32653061224489799"/>
    <n v="2025"/>
    <n v="11"/>
    <s v="2025-11"/>
    <s v="T4"/>
    <s v="30-39"/>
    <s v="bon"/>
    <s v="Rapide"/>
    <s v="Faible"/>
  </r>
  <r>
    <s v="TX0000357"/>
    <d v="2025-06-15T00:00:00"/>
    <s v="CLI02077"/>
    <s v="PRD009"/>
    <s v="AG005"/>
    <s v="COM045"/>
    <n v="3"/>
    <n v="22"/>
    <n v="0.05"/>
    <s v="Virement"/>
    <s v="Validée"/>
    <s v="Client 02077"/>
    <s v="Kolwezi"/>
    <s v="Grande entreprise"/>
    <s v="Souris Wireless"/>
    <s v="Informatique"/>
    <s v="Entrée de gamme"/>
    <s v="Agence Matadi 1"/>
    <s v="Matadi"/>
    <s v="Commercial 045"/>
    <n v="25"/>
    <x v="0"/>
    <n v="67"/>
    <n v="7.3"/>
    <n v="3"/>
    <s v="WhatsApp"/>
    <n v="14.96"/>
    <n v="66"/>
    <n v="3.3000000000000003"/>
    <n v="62.7"/>
    <n v="44.88"/>
    <n v="17.82"/>
    <n v="0.28421052631578947"/>
    <n v="2025"/>
    <n v="6"/>
    <s v="2025-06"/>
    <s v="T2"/>
    <s v="22-29"/>
    <s v="bon"/>
    <s v="Rapide"/>
    <s v="Faible"/>
  </r>
  <r>
    <s v="TX0000358"/>
    <d v="2025-03-23T00:00:00"/>
    <s v="CLI01654"/>
    <s v="PRD003"/>
    <s v="AG002"/>
    <s v="COM002"/>
    <n v="1"/>
    <n v="780"/>
    <n v="0.08"/>
    <s v="Cash"/>
    <s v="Validée"/>
    <s v="Client 01654"/>
    <s v="Kinshasa"/>
    <s v="ONG"/>
    <s v="Laptop Business 14"/>
    <s v="Informatique"/>
    <s v="Premium"/>
    <s v="Agence Lubumbashi 1"/>
    <s v="Lubumbashi"/>
    <s v="Commercial 002"/>
    <n v="30"/>
    <x v="0"/>
    <n v="42"/>
    <n v="5.8"/>
    <n v="6"/>
    <s v="Téléphone"/>
    <n v="468"/>
    <n v="780"/>
    <n v="62.4"/>
    <n v="717.6"/>
    <n v="468"/>
    <n v="249.60000000000002"/>
    <n v="0.34782608695652178"/>
    <n v="2025"/>
    <n v="3"/>
    <s v="2025-03"/>
    <s v="T1"/>
    <s v="30-39"/>
    <s v="moyen"/>
    <s v="Moyen"/>
    <s v="Moyenne"/>
  </r>
  <r>
    <s v="TX0000359"/>
    <d v="2025-05-02T00:00:00"/>
    <s v="CLI01952"/>
    <s v="PRD011"/>
    <s v="AG008"/>
    <s v="COM050"/>
    <n v="1"/>
    <n v="240"/>
    <n v="0"/>
    <s v="Mobile Money"/>
    <s v="Validée"/>
    <s v="Client 01952"/>
    <s v="Kolwezi"/>
    <s v="Institution"/>
    <s v="Switch 24 Ports"/>
    <s v="Réseau"/>
    <s v="Premium"/>
    <s v="Agence Lubumbashi 2"/>
    <s v="Lubumbashi"/>
    <s v="Commercial 050"/>
    <n v="58"/>
    <x v="0"/>
    <n v="49"/>
    <n v="7.6"/>
    <n v="2"/>
    <s v="Web"/>
    <n v="177.6"/>
    <n v="240"/>
    <n v="0"/>
    <n v="240"/>
    <n v="177.6"/>
    <n v="62.400000000000006"/>
    <n v="0.26"/>
    <n v="2025"/>
    <n v="5"/>
    <s v="2025-05"/>
    <s v="T2"/>
    <s v="50+"/>
    <s v="bon"/>
    <s v="Rapide"/>
    <s v="Faible"/>
  </r>
  <r>
    <s v="TX0000360"/>
    <d v="2025-05-09T00:00:00"/>
    <s v="CLI01721"/>
    <s v="PRD003"/>
    <s v="AG002"/>
    <s v="COM040"/>
    <n v="1"/>
    <n v="780"/>
    <n v="0.1"/>
    <s v="Cash"/>
    <s v="Validée"/>
    <s v="Client 01721"/>
    <s v="Goma"/>
    <s v="Indépendant"/>
    <s v="Laptop Business 14"/>
    <s v="Informatique"/>
    <s v="Premium"/>
    <s v="Agence Lubumbashi 1"/>
    <s v="Lubumbashi"/>
    <s v="Commercial 040"/>
    <n v="37"/>
    <x v="0"/>
    <n v="51"/>
    <n v="8.6999999999999993"/>
    <n v="2"/>
    <s v="WhatsApp"/>
    <n v="468"/>
    <n v="780"/>
    <n v="78"/>
    <n v="702"/>
    <n v="468"/>
    <n v="234"/>
    <n v="0.33333333333333331"/>
    <n v="2025"/>
    <n v="5"/>
    <s v="2025-05"/>
    <s v="T2"/>
    <s v="30-39"/>
    <s v="bon"/>
    <s v="Rapide"/>
    <s v="Moyenne"/>
  </r>
  <r>
    <s v="TX0000362"/>
    <d v="2025-08-13T00:00:00"/>
    <s v="CLI00819"/>
    <s v="PRD007"/>
    <s v="AG009"/>
    <s v="COM032"/>
    <n v="3"/>
    <n v="145"/>
    <n v="0"/>
    <s v="Carte"/>
    <s v="Validée"/>
    <s v="Client 00819"/>
    <s v="Goma"/>
    <s v="PME"/>
    <s v="Écran 24 pouces"/>
    <s v="Informatique"/>
    <s v="Standard"/>
    <s v="Agence Goma 2"/>
    <s v="Goma"/>
    <s v="Commercial 032"/>
    <n v="43"/>
    <x v="0"/>
    <n v="31"/>
    <n v="8.8000000000000007"/>
    <n v="1"/>
    <s v="Web"/>
    <n v="97.15"/>
    <n v="435"/>
    <n v="0"/>
    <n v="435"/>
    <n v="291.45000000000005"/>
    <n v="143.54999999999995"/>
    <n v="0.3299999999999999"/>
    <n v="2025"/>
    <n v="8"/>
    <s v="2025-08"/>
    <s v="T3"/>
    <s v="40-49"/>
    <s v="bon"/>
    <s v="Rapide"/>
    <s v="Faible"/>
  </r>
  <r>
    <s v="TX0000363"/>
    <d v="2025-01-13T00:00:00"/>
    <s v="CLI01778"/>
    <s v="PRD007"/>
    <s v="AG003"/>
    <s v="COM038"/>
    <n v="3"/>
    <n v="145"/>
    <n v="0.08"/>
    <s v="Cash"/>
    <s v="Validée"/>
    <s v="Client 01778"/>
    <s v="Kolwezi"/>
    <s v="Grande entreprise"/>
    <s v="Écran 24 pouces"/>
    <s v="Informatique"/>
    <s v="Standard"/>
    <s v="Agence Goma 1"/>
    <s v="Goma"/>
    <s v="Commercial 038"/>
    <n v="28"/>
    <x v="1"/>
    <n v="18"/>
    <n v="5.9"/>
    <n v="5"/>
    <s v="Web"/>
    <n v="97.15"/>
    <n v="435"/>
    <n v="34.800000000000004"/>
    <n v="400.2"/>
    <n v="291.45000000000005"/>
    <n v="108.74999999999994"/>
    <n v="0.27173913043478248"/>
    <n v="2025"/>
    <n v="1"/>
    <s v="2025-01"/>
    <s v="T1"/>
    <s v="22-29"/>
    <s v="moyen"/>
    <s v="Moyen"/>
    <s v="Faible"/>
  </r>
  <r>
    <s v="TX0000364"/>
    <d v="2025-07-28T00:00:00"/>
    <s v="CLI00576"/>
    <s v="PRD001"/>
    <s v="AG012"/>
    <s v="COM050"/>
    <n v="3"/>
    <n v="120"/>
    <n v="0.1"/>
    <s v="Cash"/>
    <s v="Validée"/>
    <s v="Client 00576"/>
    <s v="Kolwezi"/>
    <s v="PME"/>
    <s v="Smartphone A1"/>
    <s v="Électronique"/>
    <s v="Entrée de gamme"/>
    <s v="Agence Kolwezi 2"/>
    <s v="Kolwezi"/>
    <s v="Commercial 050"/>
    <n v="45"/>
    <x v="1"/>
    <n v="67"/>
    <n v="4.0999999999999996"/>
    <n v="7"/>
    <s v="Téléphone"/>
    <n v="73.2"/>
    <n v="360"/>
    <n v="36"/>
    <n v="324"/>
    <n v="219.60000000000002"/>
    <n v="104.39999999999998"/>
    <n v="0.32222222222222213"/>
    <n v="2025"/>
    <n v="7"/>
    <s v="2025-07"/>
    <s v="T3"/>
    <s v="40-49"/>
    <s v="faible"/>
    <s v="Long"/>
    <s v="Faible"/>
  </r>
  <r>
    <s v="TX0000365"/>
    <d v="2025-04-17T00:00:00"/>
    <s v="CLI02164"/>
    <s v="PRD016"/>
    <s v="AG007"/>
    <s v="COM054"/>
    <n v="3"/>
    <n v="420"/>
    <n v="0.02"/>
    <s v="Virement"/>
    <s v="Validée"/>
    <s v="Client 02164"/>
    <s v="Matadi"/>
    <s v="Grande entreprise"/>
    <s v="Projecteur HD"/>
    <s v="Bureautique"/>
    <s v="Premium"/>
    <s v="Agence Kinshasa 2"/>
    <s v="Kinshasa"/>
    <s v="Commercial 054"/>
    <n v="29"/>
    <x v="0"/>
    <n v="24"/>
    <n v="6.1"/>
    <n v="5"/>
    <s v="Téléphone"/>
    <n v="273"/>
    <n v="1260"/>
    <n v="25.2"/>
    <n v="1234.8"/>
    <n v="819"/>
    <n v="415.79999999999995"/>
    <n v="0.33673469387755101"/>
    <n v="2025"/>
    <n v="4"/>
    <s v="2025-04"/>
    <s v="T2"/>
    <s v="22-29"/>
    <s v="moyen"/>
    <s v="Moyen"/>
    <s v="Elevée"/>
  </r>
  <r>
    <s v="TX0000366"/>
    <d v="2025-11-17T00:00:00"/>
    <s v="CLI00565"/>
    <s v="PRD003"/>
    <s v="AG015"/>
    <s v="COM028"/>
    <n v="2"/>
    <n v="780"/>
    <n v="0"/>
    <s v="Cash"/>
    <s v="Validée"/>
    <s v="Client 00565"/>
    <s v="Kinshasa"/>
    <s v="Indépendant"/>
    <s v="Laptop Business 14"/>
    <s v="Informatique"/>
    <s v="Premium"/>
    <s v="Agence Goma 3"/>
    <s v="Goma"/>
    <s v="Commercial 028"/>
    <n v="56"/>
    <x v="0"/>
    <n v="63"/>
    <n v="4.0999999999999996"/>
    <n v="8"/>
    <s v="Web"/>
    <n v="468"/>
    <n v="1560"/>
    <n v="0"/>
    <n v="1560"/>
    <n v="936"/>
    <n v="624"/>
    <n v="0.4"/>
    <n v="2025"/>
    <n v="11"/>
    <s v="2025-11"/>
    <s v="T4"/>
    <s v="50+"/>
    <s v="faible"/>
    <s v="Long"/>
    <s v="Elevée"/>
  </r>
  <r>
    <s v="TX0000367"/>
    <d v="2025-09-13T00:00:00"/>
    <s v="CLI02119"/>
    <s v="PRD010"/>
    <s v="AG004"/>
    <s v="COM008"/>
    <n v="1"/>
    <n v="95"/>
    <n v="0.05"/>
    <s v="Virement"/>
    <s v="Validée"/>
    <s v="Client 02119"/>
    <s v="Lubumbashi"/>
    <s v="PME"/>
    <s v="Routeur Business"/>
    <s v="Réseau"/>
    <s v="Standard"/>
    <s v="Agence Kisangani 1"/>
    <s v="Kisangani"/>
    <s v="Commercial 008"/>
    <n v="25"/>
    <x v="1"/>
    <n v="71"/>
    <n v="4.0999999999999996"/>
    <n v="7"/>
    <s v="WhatsApp"/>
    <n v="70.3"/>
    <n v="95"/>
    <n v="4.75"/>
    <n v="90.25"/>
    <n v="70.3"/>
    <n v="19.950000000000003"/>
    <n v="0.22105263157894739"/>
    <n v="2025"/>
    <n v="9"/>
    <s v="2025-09"/>
    <s v="T3"/>
    <s v="22-29"/>
    <s v="faible"/>
    <s v="Long"/>
    <s v="Faible"/>
  </r>
  <r>
    <s v="TX0000369"/>
    <d v="2025-11-09T00:00:00"/>
    <s v="CLI00307"/>
    <s v="PRD008"/>
    <s v="AG017"/>
    <s v="COM060"/>
    <n v="2"/>
    <n v="35"/>
    <n v="0.02"/>
    <s v="Cash"/>
    <s v="Validée"/>
    <s v="Client 00307"/>
    <s v="Kinshasa"/>
    <s v="Grande entreprise"/>
    <s v="Clavier Pro"/>
    <s v="Informatique"/>
    <s v="Entrée de gamme"/>
    <s v="Agence Matadi 3"/>
    <s v="Matadi"/>
    <s v="Commercial 060"/>
    <n v="54"/>
    <x v="0"/>
    <n v="44"/>
    <n v="4.8"/>
    <n v="8"/>
    <s v="Magasin"/>
    <n v="24.15"/>
    <n v="70"/>
    <n v="1.4000000000000001"/>
    <n v="68.599999999999994"/>
    <n v="48.3"/>
    <n v="20.299999999999997"/>
    <n v="0.29591836734693877"/>
    <n v="2025"/>
    <n v="11"/>
    <s v="2025-11"/>
    <s v="T4"/>
    <s v="50+"/>
    <s v="faible"/>
    <s v="Long"/>
    <s v="Faible"/>
  </r>
  <r>
    <s v="TX0000370"/>
    <d v="2025-01-16T00:00:00"/>
    <s v="CLI00455"/>
    <s v="PRD016"/>
    <s v="AG009"/>
    <s v="COM042"/>
    <n v="1"/>
    <n v="420"/>
    <n v="0.02"/>
    <s v="Virement"/>
    <s v="Validée"/>
    <s v="Client 00455"/>
    <s v="Kolwezi"/>
    <s v="Indépendant"/>
    <s v="Projecteur HD"/>
    <s v="Bureautique"/>
    <s v="Premium"/>
    <s v="Agence Goma 2"/>
    <s v="Goma"/>
    <s v="Commercial 042"/>
    <n v="50"/>
    <x v="1"/>
    <n v="43"/>
    <n v="4.2"/>
    <n v="9"/>
    <s v="Magasin"/>
    <n v="273"/>
    <n v="420"/>
    <n v="8.4"/>
    <n v="411.6"/>
    <n v="273"/>
    <n v="138.60000000000002"/>
    <n v="0.33673469387755106"/>
    <n v="2025"/>
    <n v="1"/>
    <s v="2025-01"/>
    <s v="T1"/>
    <s v="50+"/>
    <s v="faible"/>
    <s v="Long"/>
    <s v="Faible"/>
  </r>
  <r>
    <s v="TX0000371"/>
    <d v="2025-06-18T00:00:00"/>
    <s v="CLI00244"/>
    <s v="PRD005"/>
    <s v="AG007"/>
    <s v="COM036"/>
    <n v="6"/>
    <n v="260"/>
    <n v="0.08"/>
    <s v="Cash"/>
    <s v="Validée"/>
    <s v="Client 00244"/>
    <s v="Kinshasa"/>
    <s v="ONG"/>
    <s v="Tablette T10"/>
    <s v="Électronique"/>
    <s v="Standard"/>
    <s v="Agence Kinshasa 2"/>
    <s v="Kinshasa"/>
    <s v="Commercial 036"/>
    <n v="56"/>
    <x v="1"/>
    <n v="34"/>
    <n v="3.5"/>
    <n v="8"/>
    <s v="Web"/>
    <n v="189.8"/>
    <n v="1560"/>
    <n v="124.8"/>
    <n v="1435.2"/>
    <n v="1138.8000000000002"/>
    <n v="296.39999999999986"/>
    <n v="0.20652173913043467"/>
    <n v="2025"/>
    <n v="6"/>
    <s v="2025-06"/>
    <s v="T2"/>
    <s v="50+"/>
    <s v="faible"/>
    <s v="Long"/>
    <s v="Elevée"/>
  </r>
  <r>
    <s v="TX0000372"/>
    <d v="2025-08-02T00:00:00"/>
    <s v="CLI00299"/>
    <s v="PRD002"/>
    <s v="AG012"/>
    <s v="COM005"/>
    <n v="3"/>
    <n v="350"/>
    <n v="0.05"/>
    <s v="Cash"/>
    <s v="Validée"/>
    <s v="Client 00299"/>
    <s v="Lubumbashi"/>
    <s v="Indépendant"/>
    <s v="Smartphone Pro X"/>
    <s v="Électronique"/>
    <s v="Premium"/>
    <s v="Agence Kolwezi 2"/>
    <s v="Kolwezi"/>
    <s v="Commercial 005"/>
    <n v="22"/>
    <x v="1"/>
    <n v="5"/>
    <n v="4.4000000000000004"/>
    <n v="8"/>
    <s v="Web"/>
    <n v="213.5"/>
    <n v="1050"/>
    <n v="52.5"/>
    <n v="997.5"/>
    <n v="640.5"/>
    <n v="357"/>
    <n v="0.35789473684210527"/>
    <n v="2025"/>
    <n v="8"/>
    <s v="2025-08"/>
    <s v="T3"/>
    <s v="22-29"/>
    <s v="faible"/>
    <s v="Long"/>
    <s v="Moyenne"/>
  </r>
  <r>
    <s v="TX0000373"/>
    <d v="2025-01-22T00:00:00"/>
    <s v="CLI01962"/>
    <s v="PRD005"/>
    <s v="AG009"/>
    <s v="COM047"/>
    <n v="1"/>
    <n v="260"/>
    <n v="0.02"/>
    <s v="Carte"/>
    <s v="Validée"/>
    <s v="Client 01962"/>
    <s v="Kisangani"/>
    <s v="Grande entreprise"/>
    <s v="Tablette T10"/>
    <s v="Électronique"/>
    <s v="Standard"/>
    <s v="Agence Goma 2"/>
    <s v="Goma"/>
    <s v="Commercial 047"/>
    <n v="42"/>
    <x v="0"/>
    <n v="13"/>
    <n v="3.3"/>
    <n v="9"/>
    <s v="Téléphone"/>
    <n v="189.8"/>
    <n v="260"/>
    <n v="5.2"/>
    <n v="254.8"/>
    <n v="189.8"/>
    <n v="65"/>
    <n v="0.25510204081632654"/>
    <n v="2025"/>
    <n v="1"/>
    <s v="2025-01"/>
    <s v="T1"/>
    <s v="40-49"/>
    <s v="faible"/>
    <s v="Long"/>
    <s v="Faible"/>
  </r>
  <r>
    <s v="TX0000374"/>
    <d v="2025-04-27T00:00:00"/>
    <s v="CLI01768"/>
    <s v="PRD016"/>
    <s v="AG010"/>
    <s v="COM051"/>
    <n v="1"/>
    <n v="420"/>
    <n v="0"/>
    <s v="Cash"/>
    <s v="Validée"/>
    <s v="Client 01768"/>
    <s v="Matadi"/>
    <s v="PME"/>
    <s v="Projecteur HD"/>
    <s v="Bureautique"/>
    <s v="Premium"/>
    <s v="Agence Kisangani 2"/>
    <s v="Kisangani"/>
    <s v="Commercial 051"/>
    <n v="43"/>
    <x v="0"/>
    <n v="6"/>
    <n v="8.6999999999999993"/>
    <n v="2"/>
    <s v="Téléphone"/>
    <n v="273"/>
    <n v="420"/>
    <n v="0"/>
    <n v="420"/>
    <n v="273"/>
    <n v="147"/>
    <n v="0.35"/>
    <n v="2025"/>
    <n v="4"/>
    <s v="2025-04"/>
    <s v="T2"/>
    <s v="40-49"/>
    <s v="bon"/>
    <s v="Rapide"/>
    <s v="Faible"/>
  </r>
  <r>
    <s v="TX0000375"/>
    <d v="2025-09-04T00:00:00"/>
    <s v="CLI00804"/>
    <s v="PRD013"/>
    <s v="AG001"/>
    <s v="COM036"/>
    <n v="1"/>
    <n v="110"/>
    <n v="0.1"/>
    <s v="Mobile Money"/>
    <s v="Validée"/>
    <s v="Client 00804"/>
    <s v="Matadi"/>
    <s v="Indépendant"/>
    <s v="Disque SSD 1TB"/>
    <s v="Informatique"/>
    <s v="Premium"/>
    <s v="Agence Kinshasa 1"/>
    <s v="Kinshasa"/>
    <s v="Commercial 036"/>
    <n v="57"/>
    <x v="0"/>
    <n v="33"/>
    <n v="7.8"/>
    <n v="2"/>
    <s v="Web"/>
    <n v="72.599999999999994"/>
    <n v="110"/>
    <n v="11"/>
    <n v="99"/>
    <n v="72.599999999999994"/>
    <n v="26.400000000000006"/>
    <n v="0.26666666666666672"/>
    <n v="2025"/>
    <n v="9"/>
    <s v="2025-09"/>
    <s v="T3"/>
    <s v="50+"/>
    <s v="bon"/>
    <s v="Rapide"/>
    <s v="Faible"/>
  </r>
  <r>
    <s v="TX0000376"/>
    <d v="2025-03-01T00:00:00"/>
    <s v="CLI01761"/>
    <s v="PRD014"/>
    <s v="AG018"/>
    <s v="COM009"/>
    <n v="2"/>
    <n v="65"/>
    <n v="0.05"/>
    <s v="Virement"/>
    <s v="Validée"/>
    <s v="Client 01761"/>
    <s v="Goma"/>
    <s v="ONG"/>
    <s v="Casque Pro"/>
    <s v="Électronique"/>
    <s v="Standard"/>
    <s v="Agence Kolwezi 3"/>
    <s v="Kolwezi"/>
    <s v="Commercial 009"/>
    <n v="53"/>
    <x v="1"/>
    <n v="15"/>
    <n v="5.6"/>
    <n v="7"/>
    <s v="Web"/>
    <n v="47.45"/>
    <n v="130"/>
    <n v="6.5"/>
    <n v="123.5"/>
    <n v="94.9"/>
    <n v="28.599999999999994"/>
    <n v="0.231578947368421"/>
    <n v="2025"/>
    <n v="3"/>
    <s v="2025-03"/>
    <s v="T1"/>
    <s v="50+"/>
    <s v="moyen"/>
    <s v="Long"/>
    <s v="Faible"/>
  </r>
  <r>
    <s v="TX0000377"/>
    <d v="2025-04-29T00:00:00"/>
    <s v="CLI01406"/>
    <s v="PRD014"/>
    <s v="AG002"/>
    <s v="COM016"/>
    <n v="1"/>
    <n v="65"/>
    <n v="0"/>
    <s v="Carte"/>
    <s v="Validée"/>
    <s v="Client 01406"/>
    <s v="Kolwezi"/>
    <s v="ONG"/>
    <s v="Casque Pro"/>
    <s v="Électronique"/>
    <s v="Standard"/>
    <s v="Agence Lubumbashi 1"/>
    <s v="Lubumbashi"/>
    <s v="Commercial 016"/>
    <n v="25"/>
    <x v="0"/>
    <n v="67"/>
    <n v="8.6999999999999993"/>
    <n v="2"/>
    <s v="WhatsApp"/>
    <n v="47.45"/>
    <n v="65"/>
    <n v="0"/>
    <n v="65"/>
    <n v="47.45"/>
    <n v="17.549999999999997"/>
    <n v="0.26999999999999996"/>
    <n v="2025"/>
    <n v="4"/>
    <s v="2025-04"/>
    <s v="T2"/>
    <s v="22-29"/>
    <s v="bon"/>
    <s v="Rapide"/>
    <s v="Faible"/>
  </r>
  <r>
    <s v="TX0000378"/>
    <d v="2025-05-08T00:00:00"/>
    <s v="CLI02197"/>
    <s v="PRD002"/>
    <s v="AG001"/>
    <s v="COM056"/>
    <n v="4"/>
    <n v="350"/>
    <n v="0"/>
    <s v="Cash"/>
    <s v="Validée"/>
    <s v="Client 02197"/>
    <s v="Kisangani"/>
    <s v="PME"/>
    <s v="Smartphone Pro X"/>
    <s v="Électronique"/>
    <s v="Premium"/>
    <s v="Agence Kinshasa 1"/>
    <s v="Kinshasa"/>
    <s v="Commercial 056"/>
    <n v="38"/>
    <x v="1"/>
    <n v="9"/>
    <n v="5.7"/>
    <n v="6"/>
    <s v="Web"/>
    <n v="213.5"/>
    <n v="1400"/>
    <n v="0"/>
    <n v="1400"/>
    <n v="854"/>
    <n v="546"/>
    <n v="0.39"/>
    <n v="2025"/>
    <n v="5"/>
    <s v="2025-05"/>
    <s v="T2"/>
    <s v="30-39"/>
    <s v="moyen"/>
    <s v="Moyen"/>
    <s v="Elevée"/>
  </r>
  <r>
    <s v="TX0000379"/>
    <d v="2025-06-29T00:00:00"/>
    <s v="CLI00740"/>
    <s v="PRD010"/>
    <s v="AG002"/>
    <s v="COM021"/>
    <n v="3"/>
    <n v="95"/>
    <n v="0"/>
    <s v="Virement"/>
    <s v="Validée"/>
    <s v="Client 00740"/>
    <s v="Matadi"/>
    <s v="ONG"/>
    <s v="Routeur Business"/>
    <s v="Réseau"/>
    <s v="Standard"/>
    <s v="Agence Lubumbashi 1"/>
    <s v="Lubumbashi"/>
    <s v="Commercial 021"/>
    <n v="51"/>
    <x v="1"/>
    <n v="27"/>
    <n v="6.6"/>
    <n v="3"/>
    <s v="Web"/>
    <n v="70.3"/>
    <n v="285"/>
    <n v="0"/>
    <n v="285"/>
    <n v="210.89999999999998"/>
    <n v="74.100000000000023"/>
    <n v="0.26000000000000006"/>
    <n v="2025"/>
    <n v="6"/>
    <s v="2025-06"/>
    <s v="T2"/>
    <s v="50+"/>
    <s v="moyen"/>
    <s v="Rapide"/>
    <s v="Faible"/>
  </r>
  <r>
    <s v="TX0000380"/>
    <d v="2025-02-09T00:00:00"/>
    <s v="CLI01630"/>
    <s v="PRD016"/>
    <s v="AG004"/>
    <s v="COM043"/>
    <n v="1"/>
    <n v="420"/>
    <n v="0.05"/>
    <s v="Carte"/>
    <s v="Validée"/>
    <s v="Client 01630"/>
    <s v="Kinshasa"/>
    <s v="Institution"/>
    <s v="Projecteur HD"/>
    <s v="Bureautique"/>
    <s v="Premium"/>
    <s v="Agence Kisangani 1"/>
    <s v="Kisangani"/>
    <s v="Commercial 043"/>
    <n v="29"/>
    <x v="0"/>
    <n v="14"/>
    <n v="3.5"/>
    <n v="8"/>
    <s v="Téléphone"/>
    <n v="273"/>
    <n v="420"/>
    <n v="21"/>
    <n v="399"/>
    <n v="273"/>
    <n v="126"/>
    <n v="0.31578947368421051"/>
    <n v="2025"/>
    <n v="2"/>
    <s v="2025-02"/>
    <s v="T1"/>
    <s v="22-29"/>
    <s v="faible"/>
    <s v="Long"/>
    <s v="Faible"/>
  </r>
  <r>
    <s v="TX0000381"/>
    <d v="2025-06-04T00:00:00"/>
    <s v="CLI01463"/>
    <s v="PRD008"/>
    <s v="AG015"/>
    <s v="COM046"/>
    <n v="10"/>
    <n v="35"/>
    <n v="0.1"/>
    <s v="Virement"/>
    <s v="Validée"/>
    <s v="Client 01463"/>
    <s v="Goma"/>
    <s v="PME"/>
    <s v="Clavier Pro"/>
    <s v="Informatique"/>
    <s v="Entrée de gamme"/>
    <s v="Agence Goma 3"/>
    <s v="Goma"/>
    <s v="Commercial 046"/>
    <n v="57"/>
    <x v="0"/>
    <n v="6"/>
    <n v="4.5999999999999996"/>
    <n v="8"/>
    <s v="Magasin"/>
    <n v="24.15"/>
    <n v="350"/>
    <n v="35"/>
    <n v="315"/>
    <n v="241.5"/>
    <n v="73.5"/>
    <n v="0.23333333333333334"/>
    <n v="2025"/>
    <n v="6"/>
    <s v="2025-06"/>
    <s v="T2"/>
    <s v="50+"/>
    <s v="faible"/>
    <s v="Long"/>
    <s v="Faible"/>
  </r>
  <r>
    <s v="TX0000382"/>
    <d v="2025-10-05T00:00:00"/>
    <s v="CLI01001"/>
    <s v="PRD009"/>
    <s v="AG011"/>
    <s v="COM045"/>
    <n v="2"/>
    <n v="22"/>
    <n v="0"/>
    <s v="Virement"/>
    <s v="Validée"/>
    <s v="Client 01001"/>
    <s v="Kolwezi"/>
    <s v="Grande entreprise"/>
    <s v="Souris Wireless"/>
    <s v="Informatique"/>
    <s v="Entrée de gamme"/>
    <s v="Agence Matadi 2"/>
    <s v="Matadi"/>
    <s v="Commercial 045"/>
    <n v="31"/>
    <x v="1"/>
    <n v="26"/>
    <n v="7.4"/>
    <n v="2"/>
    <s v="WhatsApp"/>
    <n v="14.96"/>
    <n v="44"/>
    <n v="0"/>
    <n v="44"/>
    <n v="29.92"/>
    <n v="14.079999999999998"/>
    <n v="0.31999999999999995"/>
    <n v="2025"/>
    <n v="10"/>
    <s v="2025-10"/>
    <s v="T4"/>
    <s v="30-39"/>
    <s v="bon"/>
    <s v="Rapide"/>
    <s v="Faible"/>
  </r>
  <r>
    <s v="TX0000383"/>
    <d v="2025-03-12T00:00:00"/>
    <s v="CLI01992"/>
    <s v="PRD009"/>
    <s v="AG003"/>
    <s v="COM014"/>
    <n v="5"/>
    <n v="22"/>
    <n v="0.05"/>
    <s v="Carte"/>
    <s v="Validée"/>
    <s v="Client 01992"/>
    <s v="Kolwezi"/>
    <s v="Institution"/>
    <s v="Souris Wireless"/>
    <s v="Informatique"/>
    <s v="Entrée de gamme"/>
    <s v="Agence Goma 1"/>
    <s v="Goma"/>
    <s v="Commercial 014"/>
    <n v="44"/>
    <x v="1"/>
    <n v="10"/>
    <n v="7.4"/>
    <n v="2"/>
    <s v="Web"/>
    <n v="14.96"/>
    <n v="110"/>
    <n v="5.5"/>
    <n v="104.5"/>
    <n v="74.800000000000011"/>
    <n v="29.699999999999989"/>
    <n v="0.28421052631578936"/>
    <n v="2025"/>
    <n v="3"/>
    <s v="2025-03"/>
    <s v="T1"/>
    <s v="40-49"/>
    <s v="bon"/>
    <s v="Rapide"/>
    <s v="Faible"/>
  </r>
  <r>
    <s v="TX0000384"/>
    <d v="2025-03-14T00:00:00"/>
    <s v="CLI00864"/>
    <s v="PRD004"/>
    <s v="AG012"/>
    <s v="COM047"/>
    <n v="1"/>
    <n v="520"/>
    <n v="0"/>
    <s v="Mobile Money"/>
    <s v="Validée"/>
    <s v="Client 00864"/>
    <s v="Kisangani"/>
    <s v="ONG"/>
    <s v="Laptop Essential 15"/>
    <s v="Informatique"/>
    <s v="Standard"/>
    <s v="Agence Kolwezi 2"/>
    <s v="Kolwezi"/>
    <s v="Commercial 047"/>
    <n v="29"/>
    <x v="1"/>
    <n v="46"/>
    <n v="4.0999999999999996"/>
    <n v="8"/>
    <s v="Téléphone"/>
    <n v="348.4"/>
    <n v="520"/>
    <n v="0"/>
    <n v="520"/>
    <n v="348.4"/>
    <n v="171.60000000000002"/>
    <n v="0.33000000000000007"/>
    <n v="2025"/>
    <n v="3"/>
    <s v="2025-03"/>
    <s v="T1"/>
    <s v="22-29"/>
    <s v="faible"/>
    <s v="Long"/>
    <s v="Moyenne"/>
  </r>
  <r>
    <s v="TX0000385"/>
    <d v="2025-01-18T00:00:00"/>
    <s v="CLI01859"/>
    <s v="PRD004"/>
    <s v="AG001"/>
    <s v="COM032"/>
    <n v="1"/>
    <n v="520"/>
    <n v="0.05"/>
    <s v="Mobile Money"/>
    <s v="Validée"/>
    <s v="Client 01859"/>
    <s v="Lubumbashi"/>
    <s v="ONG"/>
    <s v="Laptop Essential 15"/>
    <s v="Informatique"/>
    <s v="Standard"/>
    <s v="Agence Kinshasa 1"/>
    <s v="Kinshasa"/>
    <s v="Commercial 032"/>
    <n v="26"/>
    <x v="0"/>
    <n v="68"/>
    <n v="4.2"/>
    <n v="8"/>
    <s v="Web"/>
    <n v="348.4"/>
    <n v="520"/>
    <n v="26"/>
    <n v="494"/>
    <n v="348.4"/>
    <n v="145.60000000000002"/>
    <n v="0.29473684210526319"/>
    <n v="2025"/>
    <n v="1"/>
    <s v="2025-01"/>
    <s v="T1"/>
    <s v="22-29"/>
    <s v="faible"/>
    <s v="Long"/>
    <s v="Faible"/>
  </r>
  <r>
    <s v="TX0000386"/>
    <d v="2025-11-09T00:00:00"/>
    <s v="CLI00347"/>
    <s v="PRD002"/>
    <s v="AG009"/>
    <s v="COM055"/>
    <n v="2"/>
    <n v="350"/>
    <n v="0"/>
    <s v="Mobile Money"/>
    <s v="Validée"/>
    <s v="Client 00347"/>
    <s v="Kinshasa"/>
    <s v="PME"/>
    <s v="Smartphone Pro X"/>
    <s v="Électronique"/>
    <s v="Premium"/>
    <s v="Agence Goma 2"/>
    <s v="Goma"/>
    <s v="Commercial 055"/>
    <n v="59"/>
    <x v="0"/>
    <n v="45"/>
    <n v="6.9"/>
    <n v="4"/>
    <s v="Web"/>
    <n v="213.5"/>
    <n v="700"/>
    <n v="0"/>
    <n v="700"/>
    <n v="427"/>
    <n v="273"/>
    <n v="0.39"/>
    <n v="2025"/>
    <n v="11"/>
    <s v="2025-11"/>
    <s v="T4"/>
    <s v="50+"/>
    <s v="moyen"/>
    <s v="Moyen"/>
    <s v="Moyenne"/>
  </r>
  <r>
    <s v="TX0000387"/>
    <d v="2025-04-05T00:00:00"/>
    <s v="CLI00182"/>
    <s v="PRD008"/>
    <s v="AG007"/>
    <s v="COM025"/>
    <n v="3"/>
    <n v="35"/>
    <n v="0.05"/>
    <s v="Cash"/>
    <s v="Validée"/>
    <s v="Client 00182"/>
    <s v="Kinshasa"/>
    <s v="Grande entreprise"/>
    <s v="Clavier Pro"/>
    <s v="Informatique"/>
    <s v="Entrée de gamme"/>
    <s v="Agence Kinshasa 2"/>
    <s v="Kinshasa"/>
    <s v="Commercial 025"/>
    <n v="39"/>
    <x v="1"/>
    <n v="54"/>
    <n v="5.0999999999999996"/>
    <n v="6"/>
    <s v="WhatsApp"/>
    <n v="24.15"/>
    <n v="105"/>
    <n v="5.25"/>
    <n v="99.75"/>
    <n v="72.449999999999989"/>
    <n v="27.300000000000011"/>
    <n v="0.27368421052631592"/>
    <n v="2025"/>
    <n v="4"/>
    <s v="2025-04"/>
    <s v="T2"/>
    <s v="30-39"/>
    <s v="moyen"/>
    <s v="Moyen"/>
    <s v="Faible"/>
  </r>
  <r>
    <s v="TX0000388"/>
    <d v="2025-11-08T00:00:00"/>
    <s v="CLI00129"/>
    <s v="PRD012"/>
    <s v="AG001"/>
    <s v="COM059"/>
    <n v="4"/>
    <n v="180"/>
    <n v="0"/>
    <s v="Virement"/>
    <s v="Validée"/>
    <s v="Client 00129"/>
    <s v="Kisangani"/>
    <s v="Indépendant"/>
    <s v="Onduleur 1200VA"/>
    <s v="Énergie"/>
    <s v="Standard"/>
    <s v="Agence Kinshasa 1"/>
    <s v="Kinshasa"/>
    <s v="Commercial 059"/>
    <n v="48"/>
    <x v="1"/>
    <n v="64"/>
    <n v="4.3"/>
    <n v="9"/>
    <s v="Web"/>
    <n v="129.6"/>
    <n v="720"/>
    <n v="0"/>
    <n v="720"/>
    <n v="518.4"/>
    <n v="201.60000000000002"/>
    <n v="0.28000000000000003"/>
    <n v="2025"/>
    <n v="11"/>
    <s v="2025-11"/>
    <s v="T4"/>
    <s v="40-49"/>
    <s v="faible"/>
    <s v="Long"/>
    <s v="Moyenne"/>
  </r>
  <r>
    <s v="TX0000389"/>
    <d v="2025-11-15T00:00:00"/>
    <s v="CLI00887"/>
    <s v="PRD001"/>
    <s v="AG011"/>
    <s v="COM047"/>
    <n v="2"/>
    <n v="120"/>
    <n v="0.02"/>
    <s v="Cash"/>
    <s v="Validée"/>
    <s v="Client 00887"/>
    <s v="Kolwezi"/>
    <s v="ONG"/>
    <s v="Smartphone A1"/>
    <s v="Électronique"/>
    <s v="Entrée de gamme"/>
    <s v="Agence Matadi 2"/>
    <s v="Matadi"/>
    <s v="Commercial 047"/>
    <n v="35"/>
    <x v="1"/>
    <n v="27"/>
    <n v="3.5"/>
    <n v="8"/>
    <s v="Web"/>
    <n v="73.2"/>
    <n v="240"/>
    <n v="4.8"/>
    <n v="235.2"/>
    <n v="146.4"/>
    <n v="88.799999999999983"/>
    <n v="0.37755102040816318"/>
    <n v="2025"/>
    <n v="11"/>
    <s v="2025-11"/>
    <s v="T4"/>
    <s v="30-39"/>
    <s v="faible"/>
    <s v="Long"/>
    <s v="Faible"/>
  </r>
  <r>
    <s v="TX0000390"/>
    <d v="2025-08-06T00:00:00"/>
    <s v="CLI01590"/>
    <s v="PRD010"/>
    <s v="AG018"/>
    <s v="COM030"/>
    <n v="3"/>
    <n v="95"/>
    <n v="0.05"/>
    <s v="Virement"/>
    <s v="Validée"/>
    <s v="Client 01590"/>
    <s v="Goma"/>
    <s v="Indépendant"/>
    <s v="Routeur Business"/>
    <s v="Réseau"/>
    <s v="Standard"/>
    <s v="Agence Kolwezi 3"/>
    <s v="Kolwezi"/>
    <s v="Commercial 030"/>
    <n v="23"/>
    <x v="1"/>
    <n v="63"/>
    <n v="5.9"/>
    <n v="5"/>
    <s v="WhatsApp"/>
    <n v="70.3"/>
    <n v="285"/>
    <n v="14.25"/>
    <n v="270.75"/>
    <n v="210.89999999999998"/>
    <n v="59.850000000000023"/>
    <n v="0.22105263157894744"/>
    <n v="2025"/>
    <n v="8"/>
    <s v="2025-08"/>
    <s v="T3"/>
    <s v="22-29"/>
    <s v="moyen"/>
    <s v="Moyen"/>
    <s v="Faible"/>
  </r>
  <r>
    <s v="TX0000391"/>
    <d v="2025-01-08T00:00:00"/>
    <s v="CLI01562"/>
    <s v="PRD015"/>
    <s v="AG008"/>
    <s v="COM009"/>
    <n v="2"/>
    <n v="48"/>
    <n v="0.08"/>
    <s v="Virement"/>
    <s v="Validée"/>
    <s v="Client 01562"/>
    <s v="Kisangani"/>
    <s v="Institution"/>
    <s v="Webcam HD"/>
    <s v="Électronique"/>
    <s v="Entrée de gamme"/>
    <s v="Agence Lubumbashi 2"/>
    <s v="Lubumbashi"/>
    <s v="Commercial 009"/>
    <n v="40"/>
    <x v="0"/>
    <n v="25"/>
    <n v="6.8"/>
    <n v="3"/>
    <s v="WhatsApp"/>
    <n v="37.44"/>
    <n v="96"/>
    <n v="7.68"/>
    <n v="88.32"/>
    <n v="74.88"/>
    <n v="13.439999999999998"/>
    <n v="0.15217391304347824"/>
    <n v="2025"/>
    <n v="1"/>
    <s v="2025-01"/>
    <s v="T1"/>
    <s v="40-49"/>
    <s v="moyen"/>
    <s v="Rapide"/>
    <s v="Faible"/>
  </r>
  <r>
    <s v="TX0000392"/>
    <d v="2025-07-22T00:00:00"/>
    <s v="CLI01024"/>
    <s v="PRD010"/>
    <s v="AG011"/>
    <s v="COM037"/>
    <n v="1"/>
    <n v="95"/>
    <n v="0"/>
    <s v="Virement"/>
    <s v="Validée"/>
    <s v="Client 01024"/>
    <s v="Goma"/>
    <s v="Grande entreprise"/>
    <s v="Routeur Business"/>
    <s v="Réseau"/>
    <s v="Standard"/>
    <s v="Agence Matadi 2"/>
    <s v="Matadi"/>
    <s v="Commercial 037"/>
    <n v="53"/>
    <x v="1"/>
    <n v="11"/>
    <n v="5.9"/>
    <n v="5"/>
    <s v="WhatsApp"/>
    <n v="70.3"/>
    <n v="95"/>
    <n v="0"/>
    <n v="95"/>
    <n v="70.3"/>
    <n v="24.700000000000003"/>
    <n v="0.26"/>
    <n v="2025"/>
    <n v="7"/>
    <s v="2025-07"/>
    <s v="T3"/>
    <s v="50+"/>
    <s v="moyen"/>
    <s v="Moyen"/>
    <s v="Faible"/>
  </r>
  <r>
    <s v="TX0000393"/>
    <d v="2025-10-19T00:00:00"/>
    <s v="CLI01027"/>
    <s v="PRD001"/>
    <s v="AG004"/>
    <s v="COM020"/>
    <n v="3"/>
    <n v="120"/>
    <n v="0.1"/>
    <s v="Virement"/>
    <s v="Validée"/>
    <s v="Client 01027"/>
    <s v="Matadi"/>
    <s v="Institution"/>
    <s v="Smartphone A1"/>
    <s v="Électronique"/>
    <s v="Entrée de gamme"/>
    <s v="Agence Kisangani 1"/>
    <s v="Kisangani"/>
    <s v="Commercial 020"/>
    <n v="31"/>
    <x v="0"/>
    <n v="28"/>
    <n v="7.8"/>
    <n v="2"/>
    <s v="Magasin"/>
    <n v="73.2"/>
    <n v="360"/>
    <n v="36"/>
    <n v="324"/>
    <n v="219.60000000000002"/>
    <n v="104.39999999999998"/>
    <n v="0.32222222222222213"/>
    <n v="2025"/>
    <n v="10"/>
    <s v="2025-10"/>
    <s v="T4"/>
    <s v="30-39"/>
    <s v="bon"/>
    <s v="Rapide"/>
    <s v="Faible"/>
  </r>
  <r>
    <s v="TX0000396"/>
    <d v="2025-05-22T00:00:00"/>
    <s v="CLI01805"/>
    <s v="PRD006"/>
    <s v="AG009"/>
    <s v="COM050"/>
    <n v="1"/>
    <n v="190"/>
    <n v="0.02"/>
    <s v="Carte"/>
    <s v="Validée"/>
    <s v="Client 01805"/>
    <s v="Matadi"/>
    <s v="ONG"/>
    <s v="Imprimante Office"/>
    <s v="Bureautique"/>
    <s v="Standard"/>
    <s v="Agence Goma 2"/>
    <s v="Goma"/>
    <s v="Commercial 050"/>
    <n v="32"/>
    <x v="1"/>
    <n v="29"/>
    <n v="5.0999999999999996"/>
    <n v="6"/>
    <s v="Téléphone"/>
    <n v="148.19999999999999"/>
    <n v="190"/>
    <n v="3.8000000000000003"/>
    <n v="186.2"/>
    <n v="148.19999999999999"/>
    <n v="38"/>
    <n v="0.20408163265306123"/>
    <n v="2025"/>
    <n v="5"/>
    <s v="2025-05"/>
    <s v="T2"/>
    <s v="30-39"/>
    <s v="moyen"/>
    <s v="Moyen"/>
    <s v="Faible"/>
  </r>
  <r>
    <s v="TX0000397"/>
    <d v="2025-02-28T00:00:00"/>
    <s v="CLI00715"/>
    <s v="PRD005"/>
    <s v="AG002"/>
    <s v="COM015"/>
    <n v="3"/>
    <n v="260"/>
    <n v="0"/>
    <s v="Mobile Money"/>
    <s v="Validée"/>
    <s v="Client 00715"/>
    <s v="Kisangani"/>
    <s v="Institution"/>
    <s v="Tablette T10"/>
    <s v="Électronique"/>
    <s v="Standard"/>
    <s v="Agence Lubumbashi 1"/>
    <s v="Lubumbashi"/>
    <s v="Commercial 015"/>
    <n v="35"/>
    <x v="1"/>
    <n v="51"/>
    <n v="4.5999999999999996"/>
    <n v="8"/>
    <s v="Web"/>
    <n v="189.8"/>
    <n v="780"/>
    <n v="0"/>
    <n v="780"/>
    <n v="569.40000000000009"/>
    <n v="210.59999999999991"/>
    <n v="0.26999999999999991"/>
    <n v="2025"/>
    <n v="2"/>
    <s v="2025-02"/>
    <s v="T1"/>
    <s v="30-39"/>
    <s v="faible"/>
    <s v="Long"/>
    <s v="Moyenne"/>
  </r>
  <r>
    <s v="TX0000398"/>
    <d v="2025-05-13T00:00:00"/>
    <s v="CLI00172"/>
    <s v="PRD008"/>
    <s v="AG002"/>
    <s v="COM046"/>
    <n v="10"/>
    <n v="35"/>
    <n v="0"/>
    <s v="Virement"/>
    <s v="Validée"/>
    <s v="Client 00172"/>
    <s v="Kolwezi"/>
    <s v="Indépendant"/>
    <s v="Clavier Pro"/>
    <s v="Informatique"/>
    <s v="Entrée de gamme"/>
    <s v="Agence Lubumbashi 1"/>
    <s v="Lubumbashi"/>
    <s v="Commercial 046"/>
    <n v="32"/>
    <x v="1"/>
    <n v="25"/>
    <n v="6.7"/>
    <n v="4"/>
    <s v="Téléphone"/>
    <n v="24.15"/>
    <n v="350"/>
    <n v="0"/>
    <n v="350"/>
    <n v="241.5"/>
    <n v="108.5"/>
    <n v="0.31"/>
    <n v="2025"/>
    <n v="5"/>
    <s v="2025-05"/>
    <s v="T2"/>
    <s v="30-39"/>
    <s v="moyen"/>
    <s v="Moyen"/>
    <s v="Faible"/>
  </r>
  <r>
    <s v="TX0000399"/>
    <d v="2025-02-09T00:00:00"/>
    <s v="CLI00184"/>
    <s v="PRD008"/>
    <s v="AG012"/>
    <s v="COM007"/>
    <n v="2"/>
    <n v="35"/>
    <n v="0"/>
    <s v="Cash"/>
    <s v="Validée"/>
    <s v="Client 00184"/>
    <s v="Kisangani"/>
    <s v="PME"/>
    <s v="Clavier Pro"/>
    <s v="Informatique"/>
    <s v="Entrée de gamme"/>
    <s v="Agence Kolwezi 2"/>
    <s v="Kolwezi"/>
    <s v="Commercial 007"/>
    <n v="47"/>
    <x v="1"/>
    <n v="41"/>
    <n v="8"/>
    <n v="2"/>
    <s v="WhatsApp"/>
    <n v="24.15"/>
    <n v="70"/>
    <n v="0"/>
    <n v="70"/>
    <n v="48.3"/>
    <n v="21.700000000000003"/>
    <n v="0.31000000000000005"/>
    <n v="2025"/>
    <n v="2"/>
    <s v="2025-02"/>
    <s v="T1"/>
    <s v="40-49"/>
    <s v="bon"/>
    <s v="Rapide"/>
    <s v="Faible"/>
  </r>
  <r>
    <s v="TX0000400"/>
    <d v="2025-11-25T00:00:00"/>
    <s v="CLI01335"/>
    <s v="PRD012"/>
    <s v="AG014"/>
    <s v="COM005"/>
    <n v="2"/>
    <n v="180"/>
    <n v="0"/>
    <s v="Carte"/>
    <s v="Validée"/>
    <s v="Client 01335"/>
    <s v="Kisangani"/>
    <s v="ONG"/>
    <s v="Onduleur 1200VA"/>
    <s v="Énergie"/>
    <s v="Standard"/>
    <s v="Agence Lubumbashi 3"/>
    <s v="Lubumbashi"/>
    <s v="Commercial 005"/>
    <n v="58"/>
    <x v="0"/>
    <n v="50"/>
    <n v="6.4"/>
    <n v="4"/>
    <s v="Web"/>
    <n v="129.6"/>
    <n v="360"/>
    <n v="0"/>
    <n v="360"/>
    <n v="259.2"/>
    <n v="100.80000000000001"/>
    <n v="0.28000000000000003"/>
    <n v="2025"/>
    <n v="11"/>
    <s v="2025-11"/>
    <s v="T4"/>
    <s v="50+"/>
    <s v="moyen"/>
    <s v="Moyen"/>
    <s v="Faible"/>
  </r>
  <r>
    <s v="TX0000401"/>
    <d v="2025-11-30T00:00:00"/>
    <s v="CLI01476"/>
    <s v="PRD011"/>
    <s v="AG014"/>
    <s v="COM058"/>
    <n v="2"/>
    <n v="240"/>
    <n v="0"/>
    <s v="Cash"/>
    <s v="Validée"/>
    <s v="Client 01476"/>
    <s v="Kolwezi"/>
    <s v="PME"/>
    <s v="Switch 24 Ports"/>
    <s v="Réseau"/>
    <s v="Premium"/>
    <s v="Agence Lubumbashi 3"/>
    <s v="Lubumbashi"/>
    <s v="Commercial 058"/>
    <n v="24"/>
    <x v="0"/>
    <n v="67"/>
    <n v="5.0999999999999996"/>
    <n v="6"/>
    <s v="Magasin"/>
    <n v="177.6"/>
    <n v="480"/>
    <n v="0"/>
    <n v="480"/>
    <n v="355.2"/>
    <n v="124.80000000000001"/>
    <n v="0.26"/>
    <n v="2025"/>
    <n v="11"/>
    <s v="2025-11"/>
    <s v="T4"/>
    <s v="22-29"/>
    <s v="moyen"/>
    <s v="Moyen"/>
    <s v="Faible"/>
  </r>
  <r>
    <s v="TX0000402"/>
    <d v="2025-10-30T00:00:00"/>
    <s v="CLI00183"/>
    <s v="PRD010"/>
    <s v="AG005"/>
    <s v="COM059"/>
    <n v="1"/>
    <n v="95"/>
    <n v="0.05"/>
    <s v="Carte"/>
    <s v="Validée"/>
    <s v="Client 00183"/>
    <s v="Matadi"/>
    <s v="Grande entreprise"/>
    <s v="Routeur Business"/>
    <s v="Réseau"/>
    <s v="Standard"/>
    <s v="Agence Matadi 1"/>
    <s v="Matadi"/>
    <s v="Commercial 059"/>
    <n v="40"/>
    <x v="1"/>
    <n v="53"/>
    <n v="5.3"/>
    <n v="6"/>
    <s v="WhatsApp"/>
    <n v="70.3"/>
    <n v="95"/>
    <n v="4.75"/>
    <n v="90.25"/>
    <n v="70.3"/>
    <n v="19.950000000000003"/>
    <n v="0.22105263157894739"/>
    <n v="2025"/>
    <n v="10"/>
    <s v="2025-10"/>
    <s v="T4"/>
    <s v="40-49"/>
    <s v="moyen"/>
    <s v="Moyen"/>
    <s v="Faible"/>
  </r>
  <r>
    <s v="TX0000403"/>
    <d v="2025-10-26T00:00:00"/>
    <s v="CLI02093"/>
    <s v="PRD012"/>
    <s v="AG007"/>
    <s v="COM025"/>
    <n v="1"/>
    <n v="180"/>
    <n v="0.08"/>
    <s v="Carte"/>
    <s v="Validée"/>
    <s v="Client 02093"/>
    <s v="Kolwezi"/>
    <s v="Grande entreprise"/>
    <s v="Onduleur 1200VA"/>
    <s v="Énergie"/>
    <s v="Standard"/>
    <s v="Agence Kinshasa 2"/>
    <s v="Kinshasa"/>
    <s v="Commercial 025"/>
    <n v="46"/>
    <x v="0"/>
    <n v="64"/>
    <n v="9.3000000000000007"/>
    <n v="1"/>
    <s v="Web"/>
    <n v="129.6"/>
    <n v="180"/>
    <n v="14.4"/>
    <n v="165.6"/>
    <n v="129.6"/>
    <n v="36"/>
    <n v="0.21739130434782608"/>
    <n v="2025"/>
    <n v="10"/>
    <s v="2025-10"/>
    <s v="T4"/>
    <s v="40-49"/>
    <s v="excellent"/>
    <s v="Rapide"/>
    <s v="Faible"/>
  </r>
  <r>
    <s v="TX0000404"/>
    <d v="2025-09-15T00:00:00"/>
    <s v="CLI00322"/>
    <s v="PRD003"/>
    <s v="AG008"/>
    <s v="COM037"/>
    <n v="20"/>
    <n v="780"/>
    <n v="0.08"/>
    <s v="Mobile Money"/>
    <s v="Validée"/>
    <s v="Client 00322"/>
    <s v="Kolwezi"/>
    <s v="PME"/>
    <s v="Laptop Business 14"/>
    <s v="Informatique"/>
    <s v="Premium"/>
    <s v="Agence Lubumbashi 2"/>
    <s v="Lubumbashi"/>
    <s v="Commercial 037"/>
    <n v="42"/>
    <x v="1"/>
    <n v="44"/>
    <n v="7"/>
    <n v="3"/>
    <s v="Téléphone"/>
    <n v="468"/>
    <n v="15600"/>
    <n v="1248"/>
    <n v="14352"/>
    <n v="9360"/>
    <n v="4992"/>
    <n v="0.34782608695652173"/>
    <n v="2025"/>
    <n v="9"/>
    <s v="2025-09"/>
    <s v="T3"/>
    <s v="40-49"/>
    <s v="bon"/>
    <s v="Rapide"/>
    <s v="Elevée"/>
  </r>
  <r>
    <s v="TX0000405"/>
    <d v="2025-09-26T00:00:00"/>
    <s v="CLI00497"/>
    <s v="PRD002"/>
    <s v="AG016"/>
    <s v="COM043"/>
    <n v="3"/>
    <n v="350"/>
    <n v="0"/>
    <s v="Virement"/>
    <s v="Validée"/>
    <s v="Client 00497"/>
    <s v="Goma"/>
    <s v="Grande entreprise"/>
    <s v="Smartphone Pro X"/>
    <s v="Électronique"/>
    <s v="Premium"/>
    <s v="Agence Kisangani 3"/>
    <s v="Kisangani"/>
    <s v="Commercial 043"/>
    <n v="56"/>
    <x v="0"/>
    <n v="57"/>
    <n v="8.9"/>
    <n v="1"/>
    <s v="WhatsApp"/>
    <n v="213.5"/>
    <n v="1050"/>
    <n v="0"/>
    <n v="1050"/>
    <n v="640.5"/>
    <n v="409.5"/>
    <n v="0.39"/>
    <n v="2025"/>
    <n v="9"/>
    <s v="2025-09"/>
    <s v="T3"/>
    <s v="50+"/>
    <s v="bon"/>
    <s v="Rapide"/>
    <s v="Elevée"/>
  </r>
  <r>
    <s v="TX0000406"/>
    <d v="2025-07-05T00:00:00"/>
    <s v="CLI01201"/>
    <s v="PRD008"/>
    <s v="AG011"/>
    <s v="COM016"/>
    <n v="1"/>
    <n v="35"/>
    <n v="0"/>
    <s v="Cash"/>
    <s v="Validée"/>
    <s v="Client 01201"/>
    <s v="Matadi"/>
    <s v="Indépendant"/>
    <s v="Clavier Pro"/>
    <s v="Informatique"/>
    <s v="Entrée de gamme"/>
    <s v="Agence Matadi 2"/>
    <s v="Matadi"/>
    <s v="Commercial 016"/>
    <n v="31"/>
    <x v="0"/>
    <n v="23"/>
    <n v="6.3"/>
    <n v="5"/>
    <s v="Téléphone"/>
    <n v="24.15"/>
    <n v="35"/>
    <n v="0"/>
    <n v="35"/>
    <n v="24.15"/>
    <n v="10.850000000000001"/>
    <n v="0.31000000000000005"/>
    <n v="2025"/>
    <n v="7"/>
    <s v="2025-07"/>
    <s v="T3"/>
    <s v="30-39"/>
    <s v="moyen"/>
    <s v="Moyen"/>
    <s v="Faible"/>
  </r>
  <r>
    <s v="TX0000407"/>
    <d v="2025-06-30T00:00:00"/>
    <s v="CLI01823"/>
    <s v="PRD014"/>
    <s v="AG012"/>
    <s v="COM006"/>
    <n v="3"/>
    <n v="65"/>
    <n v="0"/>
    <s v="Virement"/>
    <s v="Validée"/>
    <s v="Client 01823"/>
    <s v="Matadi"/>
    <s v="PME"/>
    <s v="Casque Pro"/>
    <s v="Électronique"/>
    <s v="Standard"/>
    <s v="Agence Kolwezi 2"/>
    <s v="Kolwezi"/>
    <s v="Commercial 006"/>
    <n v="48"/>
    <x v="1"/>
    <n v="28"/>
    <n v="7.7"/>
    <n v="3"/>
    <s v="Magasin"/>
    <n v="47.45"/>
    <n v="195"/>
    <n v="0"/>
    <n v="195"/>
    <n v="142.35000000000002"/>
    <n v="52.649999999999977"/>
    <n v="0.26999999999999991"/>
    <n v="2025"/>
    <n v="6"/>
    <s v="2025-06"/>
    <s v="T2"/>
    <s v="40-49"/>
    <s v="bon"/>
    <s v="Rapide"/>
    <s v="Faible"/>
  </r>
  <r>
    <s v="TX0000409"/>
    <d v="2025-05-27T00:00:00"/>
    <s v="CLI01670"/>
    <s v="PRD005"/>
    <s v="AG009"/>
    <s v="COM051"/>
    <n v="2"/>
    <n v="260"/>
    <n v="0"/>
    <s v="Cash"/>
    <s v="Validée"/>
    <s v="Client 01670"/>
    <s v="Kinshasa"/>
    <s v="PME"/>
    <s v="Tablette T10"/>
    <s v="Électronique"/>
    <s v="Standard"/>
    <s v="Agence Goma 2"/>
    <s v="Goma"/>
    <s v="Commercial 051"/>
    <n v="54"/>
    <x v="1"/>
    <n v="14"/>
    <n v="4.0999999999999996"/>
    <n v="7"/>
    <s v="Magasin"/>
    <n v="189.8"/>
    <n v="520"/>
    <n v="0"/>
    <n v="520"/>
    <n v="379.6"/>
    <n v="140.39999999999998"/>
    <n v="0.26999999999999996"/>
    <n v="2025"/>
    <n v="5"/>
    <s v="2025-05"/>
    <s v="T2"/>
    <s v="50+"/>
    <s v="faible"/>
    <s v="Long"/>
    <s v="Moyenne"/>
  </r>
  <r>
    <s v="TX0000410"/>
    <d v="2025-04-12T00:00:00"/>
    <s v="CLI02069"/>
    <s v="PRD005"/>
    <s v="AG016"/>
    <s v="COM041"/>
    <n v="5"/>
    <n v="260"/>
    <n v="0.02"/>
    <s v="Cash"/>
    <s v="Validée"/>
    <s v="Client 02069"/>
    <s v="Goma"/>
    <s v="PME"/>
    <s v="Tablette T10"/>
    <s v="Électronique"/>
    <s v="Standard"/>
    <s v="Agence Kisangani 3"/>
    <s v="Kisangani"/>
    <s v="Commercial 041"/>
    <n v="41"/>
    <x v="1"/>
    <n v="46"/>
    <n v="6"/>
    <n v="4"/>
    <s v="WhatsApp"/>
    <n v="189.8"/>
    <n v="1300"/>
    <n v="26"/>
    <n v="1274"/>
    <n v="949"/>
    <n v="325"/>
    <n v="0.25510204081632654"/>
    <n v="2025"/>
    <n v="4"/>
    <s v="2025-04"/>
    <s v="T2"/>
    <s v="40-49"/>
    <s v="moyen"/>
    <s v="Moyen"/>
    <s v="Elevée"/>
  </r>
  <r>
    <s v="TX0000411"/>
    <d v="2025-08-29T00:00:00"/>
    <s v="CLI01715"/>
    <s v="PRD009"/>
    <s v="AG018"/>
    <s v="COM046"/>
    <n v="4"/>
    <n v="22"/>
    <n v="0"/>
    <s v="Cash"/>
    <s v="Validée"/>
    <s v="Client 01715"/>
    <s v="Kinshasa"/>
    <s v="ONG"/>
    <s v="Souris Wireless"/>
    <s v="Informatique"/>
    <s v="Entrée de gamme"/>
    <s v="Agence Kolwezi 3"/>
    <s v="Kolwezi"/>
    <s v="Commercial 046"/>
    <n v="28"/>
    <x v="0"/>
    <n v="34"/>
    <n v="6.6"/>
    <n v="3"/>
    <s v="Web"/>
    <n v="14.96"/>
    <n v="88"/>
    <n v="0"/>
    <n v="88"/>
    <n v="59.84"/>
    <n v="28.159999999999997"/>
    <n v="0.31999999999999995"/>
    <n v="2025"/>
    <n v="8"/>
    <s v="2025-08"/>
    <s v="T3"/>
    <s v="22-29"/>
    <s v="moyen"/>
    <s v="Rapide"/>
    <s v="Faible"/>
  </r>
  <r>
    <s v="TX0000412"/>
    <d v="2025-09-21T00:00:00"/>
    <s v="CLI00099"/>
    <s v="PRD006"/>
    <s v="AG003"/>
    <s v="COM009"/>
    <n v="5"/>
    <n v="190"/>
    <n v="0.02"/>
    <s v="Mobile Money"/>
    <s v="Validée"/>
    <s v="Client 00099"/>
    <s v="Lubumbashi"/>
    <s v="ONG"/>
    <s v="Imprimante Office"/>
    <s v="Bureautique"/>
    <s v="Standard"/>
    <s v="Agence Goma 1"/>
    <s v="Goma"/>
    <s v="Commercial 009"/>
    <n v="38"/>
    <x v="1"/>
    <n v="17"/>
    <n v="6.4"/>
    <n v="4"/>
    <s v="Magasin"/>
    <n v="148.19999999999999"/>
    <n v="950"/>
    <n v="19"/>
    <n v="931"/>
    <n v="741"/>
    <n v="190"/>
    <n v="0.20408163265306123"/>
    <n v="2025"/>
    <n v="9"/>
    <s v="2025-09"/>
    <s v="T3"/>
    <s v="30-39"/>
    <s v="moyen"/>
    <s v="Moyen"/>
    <s v="Moyenne"/>
  </r>
  <r>
    <s v="TX0000414"/>
    <d v="2025-07-29T00:00:00"/>
    <s v="CLI00186"/>
    <s v="PRD003"/>
    <s v="AG012"/>
    <s v="COM029"/>
    <n v="3"/>
    <n v="780"/>
    <n v="0.08"/>
    <s v="Mobile Money"/>
    <s v="Validée"/>
    <s v="Client 00186"/>
    <s v="Goma"/>
    <s v="Indépendant"/>
    <s v="Laptop Business 14"/>
    <s v="Informatique"/>
    <s v="Premium"/>
    <s v="Agence Kolwezi 2"/>
    <s v="Kolwezi"/>
    <s v="Commercial 029"/>
    <n v="23"/>
    <x v="1"/>
    <n v="45"/>
    <n v="5.9"/>
    <n v="5"/>
    <s v="Web"/>
    <n v="468"/>
    <n v="2340"/>
    <n v="187.20000000000002"/>
    <n v="2152.8000000000002"/>
    <n v="1404"/>
    <n v="748.80000000000018"/>
    <n v="0.34782608695652178"/>
    <n v="2025"/>
    <n v="7"/>
    <s v="2025-07"/>
    <s v="T3"/>
    <s v="22-29"/>
    <s v="moyen"/>
    <s v="Moyen"/>
    <s v="Elevée"/>
  </r>
  <r>
    <s v="TX0000415"/>
    <d v="2025-10-29T00:00:00"/>
    <s v="CLI01955"/>
    <s v="PRD005"/>
    <s v="AG006"/>
    <s v="COM047"/>
    <n v="6"/>
    <n v="260"/>
    <n v="0.05"/>
    <s v="Cash"/>
    <s v="Validée"/>
    <s v="Client 01955"/>
    <s v="Kisangani"/>
    <s v="ONG"/>
    <s v="Tablette T10"/>
    <s v="Électronique"/>
    <s v="Standard"/>
    <s v="Agence Kolwezi 1"/>
    <s v="Kolwezi"/>
    <s v="Commercial 047"/>
    <n v="48"/>
    <x v="1"/>
    <n v="50"/>
    <n v="6.5"/>
    <n v="4"/>
    <s v="Téléphone"/>
    <n v="189.8"/>
    <n v="1560"/>
    <n v="78"/>
    <n v="1482"/>
    <n v="1138.8000000000002"/>
    <n v="343.19999999999982"/>
    <n v="0.23157894736842094"/>
    <n v="2025"/>
    <n v="10"/>
    <s v="2025-10"/>
    <s v="T4"/>
    <s v="40-49"/>
    <s v="moyen"/>
    <s v="Moyen"/>
    <s v="Elevée"/>
  </r>
  <r>
    <s v="TX0000417"/>
    <d v="2025-06-24T00:00:00"/>
    <s v="CLI00397"/>
    <s v="PRD008"/>
    <s v="AG010"/>
    <s v="COM032"/>
    <n v="1"/>
    <n v="35"/>
    <n v="0.05"/>
    <s v="Mobile Money"/>
    <s v="Validée"/>
    <s v="Client 00397"/>
    <s v="Lubumbashi"/>
    <s v="Institution"/>
    <s v="Clavier Pro"/>
    <s v="Informatique"/>
    <s v="Entrée de gamme"/>
    <s v="Agence Kisangani 2"/>
    <s v="Kisangani"/>
    <s v="Commercial 032"/>
    <n v="23"/>
    <x v="0"/>
    <n v="59"/>
    <n v="3.7"/>
    <n v="8"/>
    <s v="WhatsApp"/>
    <n v="24.15"/>
    <n v="35"/>
    <n v="1.75"/>
    <n v="33.25"/>
    <n v="24.15"/>
    <n v="9.1000000000000014"/>
    <n v="0.27368421052631581"/>
    <n v="2025"/>
    <n v="6"/>
    <s v="2025-06"/>
    <s v="T2"/>
    <s v="22-29"/>
    <s v="faible"/>
    <s v="Long"/>
    <s v="Faible"/>
  </r>
  <r>
    <s v="TX0000418"/>
    <d v="2025-01-22T00:00:00"/>
    <s v="CLI01574"/>
    <s v="PRD011"/>
    <s v="AG006"/>
    <s v="COM010"/>
    <n v="4"/>
    <n v="240"/>
    <n v="0.08"/>
    <s v="Carte"/>
    <s v="Validée"/>
    <s v="Client 01574"/>
    <s v="Goma"/>
    <s v="Grande entreprise"/>
    <s v="Switch 24 Ports"/>
    <s v="Réseau"/>
    <s v="Premium"/>
    <s v="Agence Kolwezi 1"/>
    <s v="Kolwezi"/>
    <s v="Commercial 010"/>
    <n v="27"/>
    <x v="0"/>
    <n v="15"/>
    <n v="3.5"/>
    <n v="8"/>
    <s v="Web"/>
    <n v="177.6"/>
    <n v="960"/>
    <n v="76.8"/>
    <n v="883.2"/>
    <n v="710.4"/>
    <n v="172.80000000000007"/>
    <n v="0.19565217391304354"/>
    <n v="2025"/>
    <n v="1"/>
    <s v="2025-01"/>
    <s v="T1"/>
    <s v="22-29"/>
    <s v="faible"/>
    <s v="Long"/>
    <s v="Moyenne"/>
  </r>
  <r>
    <s v="TX0000419"/>
    <d v="2025-05-26T00:00:00"/>
    <s v="CLI01140"/>
    <s v="PRD011"/>
    <s v="AG004"/>
    <s v="COM023"/>
    <n v="1"/>
    <n v="240"/>
    <n v="0"/>
    <s v="Virement"/>
    <s v="Validée"/>
    <s v="Client 01140"/>
    <s v="Kisangani"/>
    <s v="PME"/>
    <s v="Switch 24 Ports"/>
    <s v="Réseau"/>
    <s v="Premium"/>
    <s v="Agence Kisangani 1"/>
    <s v="Kisangani"/>
    <s v="Commercial 023"/>
    <n v="47"/>
    <x v="0"/>
    <n v="36"/>
    <n v="8.9"/>
    <n v="1"/>
    <s v="Téléphone"/>
    <n v="177.6"/>
    <n v="240"/>
    <n v="0"/>
    <n v="240"/>
    <n v="177.6"/>
    <n v="62.400000000000006"/>
    <n v="0.26"/>
    <n v="2025"/>
    <n v="5"/>
    <s v="2025-05"/>
    <s v="T2"/>
    <s v="40-49"/>
    <s v="bon"/>
    <s v="Rapide"/>
    <s v="Faible"/>
  </r>
  <r>
    <s v="TX0000421"/>
    <d v="2025-10-10T00:00:00"/>
    <s v="CLI01142"/>
    <s v="PRD005"/>
    <s v="AG004"/>
    <s v="COM014"/>
    <n v="5"/>
    <n v="260"/>
    <n v="0.1"/>
    <s v="Carte"/>
    <s v="Validée"/>
    <s v="Client 01142"/>
    <s v="Lubumbashi"/>
    <s v="Institution"/>
    <s v="Tablette T10"/>
    <s v="Électronique"/>
    <s v="Standard"/>
    <s v="Agence Kisangani 1"/>
    <s v="Kisangani"/>
    <s v="Commercial 014"/>
    <n v="47"/>
    <x v="0"/>
    <n v="22"/>
    <n v="7.6"/>
    <n v="2"/>
    <s v="WhatsApp"/>
    <n v="189.8"/>
    <n v="1300"/>
    <n v="130"/>
    <n v="1170"/>
    <n v="949"/>
    <n v="221"/>
    <n v="0.18888888888888888"/>
    <n v="2025"/>
    <n v="10"/>
    <s v="2025-10"/>
    <s v="T4"/>
    <s v="40-49"/>
    <s v="bon"/>
    <s v="Rapide"/>
    <s v="Elevée"/>
  </r>
  <r>
    <s v="TX0000422"/>
    <d v="2025-01-14T00:00:00"/>
    <s v="CLI00163"/>
    <s v="PRD007"/>
    <s v="AG001"/>
    <s v="COM032"/>
    <n v="2"/>
    <n v="145"/>
    <n v="0"/>
    <s v="Mobile Money"/>
    <s v="Validée"/>
    <s v="Client 00163"/>
    <s v="Matadi"/>
    <s v="Institution"/>
    <s v="Écran 24 pouces"/>
    <s v="Informatique"/>
    <s v="Standard"/>
    <s v="Agence Kinshasa 1"/>
    <s v="Kinshasa"/>
    <s v="Commercial 032"/>
    <n v="44"/>
    <x v="0"/>
    <n v="15"/>
    <n v="8.8000000000000007"/>
    <n v="1"/>
    <s v="Téléphone"/>
    <n v="97.15"/>
    <n v="290"/>
    <n v="0"/>
    <n v="290"/>
    <n v="194.3"/>
    <n v="95.699999999999989"/>
    <n v="0.32999999999999996"/>
    <n v="2025"/>
    <n v="1"/>
    <s v="2025-01"/>
    <s v="T1"/>
    <s v="40-49"/>
    <s v="bon"/>
    <s v="Rapide"/>
    <s v="Faible"/>
  </r>
  <r>
    <s v="TX0000423"/>
    <d v="2025-02-26T00:00:00"/>
    <s v="CLI02134"/>
    <s v="PRD005"/>
    <s v="AG015"/>
    <s v="COM019"/>
    <n v="4"/>
    <n v="260"/>
    <n v="0.1"/>
    <s v="Cash"/>
    <s v="Validée"/>
    <s v="Client 02134"/>
    <s v="Lubumbashi"/>
    <s v="ONG"/>
    <s v="Tablette T10"/>
    <s v="Électronique"/>
    <s v="Standard"/>
    <s v="Agence Goma 3"/>
    <s v="Goma"/>
    <s v="Commercial 019"/>
    <n v="43"/>
    <x v="1"/>
    <n v="63"/>
    <n v="5.6"/>
    <n v="5"/>
    <s v="Téléphone"/>
    <n v="189.8"/>
    <n v="1040"/>
    <n v="104"/>
    <n v="936"/>
    <n v="759.2"/>
    <n v="176.79999999999995"/>
    <n v="0.18888888888888883"/>
    <n v="2025"/>
    <n v="2"/>
    <s v="2025-02"/>
    <s v="T1"/>
    <s v="40-49"/>
    <s v="moyen"/>
    <s v="Moyen"/>
    <s v="Moyenne"/>
  </r>
  <r>
    <s v="TX0000425"/>
    <d v="2025-03-22T00:00:00"/>
    <s v="CLI00324"/>
    <s v="PRD008"/>
    <s v="AG003"/>
    <s v="COM021"/>
    <n v="2"/>
    <n v="35"/>
    <n v="0"/>
    <s v="Mobile Money"/>
    <s v="Validée"/>
    <s v="Client 00324"/>
    <s v="Kinshasa"/>
    <s v="Grande entreprise"/>
    <s v="Clavier Pro"/>
    <s v="Informatique"/>
    <s v="Entrée de gamme"/>
    <s v="Agence Goma 1"/>
    <s v="Goma"/>
    <s v="Commercial 021"/>
    <n v="35"/>
    <x v="1"/>
    <n v="24"/>
    <n v="6.6"/>
    <n v="3"/>
    <s v="Web"/>
    <n v="24.15"/>
    <n v="70"/>
    <n v="0"/>
    <n v="70"/>
    <n v="48.3"/>
    <n v="21.700000000000003"/>
    <n v="0.31000000000000005"/>
    <n v="2025"/>
    <n v="3"/>
    <s v="2025-03"/>
    <s v="T1"/>
    <s v="30-39"/>
    <s v="moyen"/>
    <s v="Rapide"/>
    <s v="Faible"/>
  </r>
  <r>
    <s v="TX0000426"/>
    <d v="2025-01-20T00:00:00"/>
    <s v="CLI02101"/>
    <s v="PRD003"/>
    <s v="AG011"/>
    <s v="COM058"/>
    <n v="2"/>
    <n v="780"/>
    <n v="0.08"/>
    <s v="Virement"/>
    <s v="Validée"/>
    <s v="Client 02101"/>
    <s v="Goma"/>
    <s v="Grande entreprise"/>
    <s v="Laptop Business 14"/>
    <s v="Informatique"/>
    <s v="Premium"/>
    <s v="Agence Matadi 2"/>
    <s v="Matadi"/>
    <s v="Commercial 058"/>
    <n v="42"/>
    <x v="0"/>
    <n v="58"/>
    <n v="7.2"/>
    <n v="2"/>
    <s v="Magasin"/>
    <n v="468"/>
    <n v="1560"/>
    <n v="124.8"/>
    <n v="1435.2"/>
    <n v="936"/>
    <n v="499.20000000000005"/>
    <n v="0.34782608695652178"/>
    <n v="2025"/>
    <n v="1"/>
    <s v="2025-01"/>
    <s v="T1"/>
    <s v="40-49"/>
    <s v="bon"/>
    <s v="Rapide"/>
    <s v="Elevée"/>
  </r>
  <r>
    <s v="TX0000427"/>
    <d v="2025-10-28T00:00:00"/>
    <s v="CLI00146"/>
    <s v="PRD001"/>
    <s v="AG008"/>
    <s v="COM009"/>
    <n v="2"/>
    <n v="120"/>
    <n v="0"/>
    <s v="Carte"/>
    <s v="Validée"/>
    <s v="Client 00146"/>
    <s v="Goma"/>
    <s v="Indépendant"/>
    <s v="Smartphone A1"/>
    <s v="Électronique"/>
    <s v="Entrée de gamme"/>
    <s v="Agence Lubumbashi 2"/>
    <s v="Lubumbashi"/>
    <s v="Commercial 009"/>
    <n v="51"/>
    <x v="0"/>
    <n v="14"/>
    <n v="7.9"/>
    <n v="1"/>
    <s v="Web"/>
    <n v="73.2"/>
    <n v="240"/>
    <n v="0"/>
    <n v="240"/>
    <n v="146.4"/>
    <n v="93.6"/>
    <n v="0.38999999999999996"/>
    <n v="2025"/>
    <n v="10"/>
    <s v="2025-10"/>
    <s v="T4"/>
    <s v="50+"/>
    <s v="bon"/>
    <s v="Rapide"/>
    <s v="Faible"/>
  </r>
  <r>
    <s v="TX0000429"/>
    <d v="2025-09-09T00:00:00"/>
    <s v="CLI00878"/>
    <s v="PRD001"/>
    <s v="AG014"/>
    <s v="COM005"/>
    <n v="3"/>
    <n v="120"/>
    <n v="0"/>
    <s v="Carte"/>
    <s v="Validée"/>
    <s v="Client 00878"/>
    <s v="Kinshasa"/>
    <s v="Grande entreprise"/>
    <s v="Smartphone A1"/>
    <s v="Électronique"/>
    <s v="Entrée de gamme"/>
    <s v="Agence Lubumbashi 3"/>
    <s v="Lubumbashi"/>
    <s v="Commercial 005"/>
    <n v="55"/>
    <x v="1"/>
    <n v="54"/>
    <n v="6"/>
    <n v="6"/>
    <s v="WhatsApp"/>
    <n v="73.2"/>
    <n v="360"/>
    <n v="0"/>
    <n v="360"/>
    <n v="219.60000000000002"/>
    <n v="140.39999999999998"/>
    <n v="0.38999999999999996"/>
    <n v="2025"/>
    <n v="9"/>
    <s v="2025-09"/>
    <s v="T3"/>
    <s v="50+"/>
    <s v="moyen"/>
    <s v="Moyen"/>
    <s v="Faible"/>
  </r>
  <r>
    <s v="TX0000430"/>
    <d v="2025-06-28T00:00:00"/>
    <s v="CLI01078"/>
    <s v="PRD013"/>
    <s v="AG008"/>
    <s v="COM041"/>
    <n v="2"/>
    <n v="110"/>
    <n v="0.08"/>
    <s v="Carte"/>
    <s v="Validée"/>
    <s v="Client 01078"/>
    <s v="Matadi"/>
    <s v="PME"/>
    <s v="Disque SSD 1TB"/>
    <s v="Informatique"/>
    <s v="Premium"/>
    <s v="Agence Lubumbashi 2"/>
    <s v="Lubumbashi"/>
    <s v="Commercial 041"/>
    <n v="45"/>
    <x v="0"/>
    <n v="27"/>
    <n v="4.0999999999999996"/>
    <n v="7"/>
    <s v="Magasin"/>
    <n v="72.599999999999994"/>
    <n v="220"/>
    <n v="17.600000000000001"/>
    <n v="202.4"/>
    <n v="145.19999999999999"/>
    <n v="57.200000000000017"/>
    <n v="0.282608695652174"/>
    <n v="2025"/>
    <n v="6"/>
    <s v="2025-06"/>
    <s v="T2"/>
    <s v="40-49"/>
    <s v="faible"/>
    <s v="Long"/>
    <s v="Faible"/>
  </r>
  <r>
    <s v="TX0000431"/>
    <d v="2025-11-19T00:00:00"/>
    <s v="CLI00950"/>
    <s v="PRD010"/>
    <s v="AG016"/>
    <s v="COM032"/>
    <n v="2"/>
    <n v="95"/>
    <n v="0"/>
    <s v="Mobile Money"/>
    <s v="Validée"/>
    <s v="Client 00950"/>
    <s v="Matadi"/>
    <s v="Institution"/>
    <s v="Routeur Business"/>
    <s v="Réseau"/>
    <s v="Standard"/>
    <s v="Agence Kisangani 3"/>
    <s v="Kisangani"/>
    <s v="Commercial 032"/>
    <n v="36"/>
    <x v="1"/>
    <n v="33"/>
    <n v="7.3"/>
    <n v="3"/>
    <s v="WhatsApp"/>
    <n v="70.3"/>
    <n v="190"/>
    <n v="0"/>
    <n v="190"/>
    <n v="140.6"/>
    <n v="49.400000000000006"/>
    <n v="0.26"/>
    <n v="2025"/>
    <n v="11"/>
    <s v="2025-11"/>
    <s v="T4"/>
    <s v="30-39"/>
    <s v="bon"/>
    <s v="Rapide"/>
    <s v="Faible"/>
  </r>
  <r>
    <s v="TX0000433"/>
    <d v="2025-12-23T00:00:00"/>
    <s v="CLI01904"/>
    <s v="PRD011"/>
    <s v="AG004"/>
    <s v="COM023"/>
    <n v="2"/>
    <n v="240"/>
    <n v="0"/>
    <s v="Mobile Money"/>
    <s v="Validée"/>
    <s v="Client 01904"/>
    <s v="Matadi"/>
    <s v="PME"/>
    <s v="Switch 24 Ports"/>
    <s v="Réseau"/>
    <s v="Premium"/>
    <s v="Agence Kisangani 1"/>
    <s v="Kisangani"/>
    <s v="Commercial 023"/>
    <n v="42"/>
    <x v="1"/>
    <n v="42"/>
    <n v="5.7"/>
    <n v="6"/>
    <s v="Web"/>
    <n v="177.6"/>
    <n v="480"/>
    <n v="0"/>
    <n v="480"/>
    <n v="355.2"/>
    <n v="124.80000000000001"/>
    <n v="0.26"/>
    <n v="2025"/>
    <n v="12"/>
    <s v="2025-12"/>
    <s v="T4"/>
    <s v="40-49"/>
    <s v="moyen"/>
    <s v="Moyen"/>
    <s v="Faible"/>
  </r>
  <r>
    <s v="TX0000434"/>
    <d v="2025-05-29T00:00:00"/>
    <s v="CLI02004"/>
    <s v="PRD014"/>
    <s v="AG008"/>
    <s v="COM002"/>
    <n v="1"/>
    <n v="65"/>
    <n v="0"/>
    <s v="Mobile Money"/>
    <s v="Validée"/>
    <s v="Client 02004"/>
    <s v="Matadi"/>
    <s v="Indépendant"/>
    <s v="Casque Pro"/>
    <s v="Électronique"/>
    <s v="Standard"/>
    <s v="Agence Lubumbashi 2"/>
    <s v="Lubumbashi"/>
    <s v="Commercial 002"/>
    <n v="43"/>
    <x v="0"/>
    <n v="67"/>
    <n v="8"/>
    <n v="2"/>
    <s v="Magasin"/>
    <n v="47.45"/>
    <n v="65"/>
    <n v="0"/>
    <n v="65"/>
    <n v="47.45"/>
    <n v="17.549999999999997"/>
    <n v="0.26999999999999996"/>
    <n v="2025"/>
    <n v="5"/>
    <s v="2025-05"/>
    <s v="T2"/>
    <s v="40-49"/>
    <s v="bon"/>
    <s v="Rapide"/>
    <s v="Faible"/>
  </r>
  <r>
    <s v="TX0000435"/>
    <d v="2025-07-20T00:00:00"/>
    <s v="CLI01324"/>
    <s v="PRD009"/>
    <s v="AG011"/>
    <s v="COM027"/>
    <n v="4"/>
    <n v="22"/>
    <n v="0.02"/>
    <s v="Mobile Money"/>
    <s v="Validée"/>
    <s v="Client 01324"/>
    <s v="Lubumbashi"/>
    <s v="Institution"/>
    <s v="Souris Wireless"/>
    <s v="Informatique"/>
    <s v="Entrée de gamme"/>
    <s v="Agence Matadi 2"/>
    <s v="Matadi"/>
    <s v="Commercial 027"/>
    <n v="53"/>
    <x v="0"/>
    <n v="46"/>
    <n v="5.4"/>
    <n v="7"/>
    <s v="Téléphone"/>
    <n v="14.96"/>
    <n v="88"/>
    <n v="1.76"/>
    <n v="86.24"/>
    <n v="59.84"/>
    <n v="26.399999999999991"/>
    <n v="0.30612244897959173"/>
    <n v="2025"/>
    <n v="7"/>
    <s v="2025-07"/>
    <s v="T3"/>
    <s v="50+"/>
    <s v="moyen"/>
    <s v="Long"/>
    <s v="Faible"/>
  </r>
  <r>
    <s v="TX0000436"/>
    <d v="2025-04-23T00:00:00"/>
    <s v="CLI00224"/>
    <s v="PRD009"/>
    <s v="AG016"/>
    <s v="COM047"/>
    <n v="2"/>
    <n v="22"/>
    <n v="0.1"/>
    <s v="Cash"/>
    <s v="Validée"/>
    <s v="Client 00224"/>
    <s v="Kisangani"/>
    <s v="Institution"/>
    <s v="Souris Wireless"/>
    <s v="Informatique"/>
    <s v="Entrée de gamme"/>
    <s v="Agence Kisangani 3"/>
    <s v="Kisangani"/>
    <s v="Commercial 047"/>
    <n v="36"/>
    <x v="1"/>
    <n v="15"/>
    <n v="6.5"/>
    <n v="5"/>
    <s v="Téléphone"/>
    <n v="14.96"/>
    <n v="44"/>
    <n v="4.4000000000000004"/>
    <n v="39.6"/>
    <n v="29.92"/>
    <n v="9.68"/>
    <n v="0.24444444444444444"/>
    <n v="2025"/>
    <n v="4"/>
    <s v="2025-04"/>
    <s v="T2"/>
    <s v="30-39"/>
    <s v="moyen"/>
    <s v="Moyen"/>
    <s v="Faible"/>
  </r>
  <r>
    <s v="TX0000437"/>
    <d v="2025-04-16T00:00:00"/>
    <s v="CLI01679"/>
    <s v="PRD008"/>
    <s v="AG006"/>
    <s v="COM035"/>
    <n v="4"/>
    <n v="35"/>
    <n v="0"/>
    <s v="Virement"/>
    <s v="Validée"/>
    <s v="Client 01679"/>
    <s v="Lubumbashi"/>
    <s v="Indépendant"/>
    <s v="Clavier Pro"/>
    <s v="Informatique"/>
    <s v="Entrée de gamme"/>
    <s v="Agence Kolwezi 1"/>
    <s v="Kolwezi"/>
    <s v="Commercial 035"/>
    <n v="51"/>
    <x v="1"/>
    <n v="16"/>
    <n v="6.4"/>
    <n v="4"/>
    <s v="Magasin"/>
    <n v="24.15"/>
    <n v="140"/>
    <n v="0"/>
    <n v="140"/>
    <n v="96.6"/>
    <n v="43.400000000000006"/>
    <n v="0.31000000000000005"/>
    <n v="2025"/>
    <n v="4"/>
    <s v="2025-04"/>
    <s v="T2"/>
    <s v="50+"/>
    <s v="moyen"/>
    <s v="Moyen"/>
    <s v="Faible"/>
  </r>
  <r>
    <s v="TX0000438"/>
    <d v="2025-12-27T00:00:00"/>
    <s v="CLI00082"/>
    <s v="PRD001"/>
    <s v="AG013"/>
    <s v="COM006"/>
    <n v="2"/>
    <n v="120"/>
    <n v="0"/>
    <s v="Cash"/>
    <s v="Validée"/>
    <s v="Client 00082"/>
    <s v="Matadi"/>
    <s v="ONG"/>
    <s v="Smartphone A1"/>
    <s v="Électronique"/>
    <s v="Entrée de gamme"/>
    <s v="Agence Kinshasa 3"/>
    <s v="Kinshasa"/>
    <s v="Commercial 006"/>
    <n v="49"/>
    <x v="0"/>
    <n v="57"/>
    <n v="5.6"/>
    <n v="7"/>
    <s v="Web"/>
    <n v="73.2"/>
    <n v="240"/>
    <n v="0"/>
    <n v="240"/>
    <n v="146.4"/>
    <n v="93.6"/>
    <n v="0.38999999999999996"/>
    <n v="2025"/>
    <n v="12"/>
    <s v="2025-12"/>
    <s v="T4"/>
    <s v="40-49"/>
    <s v="moyen"/>
    <s v="Long"/>
    <s v="Faible"/>
  </r>
  <r>
    <s v="TX0000439"/>
    <d v="2025-04-12T00:00:00"/>
    <s v="CLI02125"/>
    <s v="PRD007"/>
    <s v="AG012"/>
    <s v="COM035"/>
    <n v="20"/>
    <n v="145"/>
    <n v="0.1"/>
    <s v="Mobile Money"/>
    <s v="Validée"/>
    <s v="Client 02125"/>
    <s v="Kinshasa"/>
    <s v="PME"/>
    <s v="Écran 24 pouces"/>
    <s v="Informatique"/>
    <s v="Standard"/>
    <s v="Agence Kolwezi 2"/>
    <s v="Kolwezi"/>
    <s v="Commercial 035"/>
    <n v="60"/>
    <x v="0"/>
    <n v="5"/>
    <n v="4.3"/>
    <n v="9"/>
    <s v="Téléphone"/>
    <n v="97.15"/>
    <n v="2900"/>
    <n v="290"/>
    <n v="2610"/>
    <n v="1943"/>
    <n v="667"/>
    <n v="0.25555555555555554"/>
    <n v="2025"/>
    <n v="4"/>
    <s v="2025-04"/>
    <s v="T2"/>
    <s v="50+"/>
    <s v="faible"/>
    <s v="Long"/>
    <s v="Elevée"/>
  </r>
  <r>
    <s v="TX0000441"/>
    <d v="2025-09-14T00:00:00"/>
    <s v="CLI00148"/>
    <s v="PRD001"/>
    <s v="AG017"/>
    <s v="COM007"/>
    <n v="2"/>
    <n v="120"/>
    <n v="0.02"/>
    <s v="Cash"/>
    <s v="Validée"/>
    <s v="Client 00148"/>
    <s v="Kisangani"/>
    <s v="Grande entreprise"/>
    <s v="Smartphone A1"/>
    <s v="Électronique"/>
    <s v="Entrée de gamme"/>
    <s v="Agence Matadi 3"/>
    <s v="Matadi"/>
    <s v="Commercial 007"/>
    <n v="37"/>
    <x v="1"/>
    <n v="32"/>
    <n v="8.9"/>
    <n v="1"/>
    <s v="Téléphone"/>
    <n v="73.2"/>
    <n v="240"/>
    <n v="4.8"/>
    <n v="235.2"/>
    <n v="146.4"/>
    <n v="88.799999999999983"/>
    <n v="0.37755102040816318"/>
    <n v="2025"/>
    <n v="9"/>
    <s v="2025-09"/>
    <s v="T3"/>
    <s v="30-39"/>
    <s v="bon"/>
    <s v="Rapide"/>
    <s v="Faible"/>
  </r>
  <r>
    <s v="TX0000442"/>
    <d v="2025-12-19T00:00:00"/>
    <s v="CLI01235"/>
    <s v="PRD001"/>
    <s v="AG008"/>
    <s v="COM041"/>
    <n v="1"/>
    <n v="120"/>
    <n v="0"/>
    <s v="Cash"/>
    <s v="Validée"/>
    <s v="Client 01235"/>
    <s v="Kolwezi"/>
    <s v="Institution"/>
    <s v="Smartphone A1"/>
    <s v="Électronique"/>
    <s v="Entrée de gamme"/>
    <s v="Agence Lubumbashi 2"/>
    <s v="Lubumbashi"/>
    <s v="Commercial 041"/>
    <n v="39"/>
    <x v="0"/>
    <n v="20"/>
    <n v="7.9"/>
    <n v="3"/>
    <s v="Magasin"/>
    <n v="73.2"/>
    <n v="120"/>
    <n v="0"/>
    <n v="120"/>
    <n v="73.2"/>
    <n v="46.8"/>
    <n v="0.38999999999999996"/>
    <n v="2025"/>
    <n v="12"/>
    <s v="2025-12"/>
    <s v="T4"/>
    <s v="30-39"/>
    <s v="bon"/>
    <s v="Rapide"/>
    <s v="Faible"/>
  </r>
  <r>
    <s v="TX0000443"/>
    <d v="2025-05-19T00:00:00"/>
    <s v="CLI01548"/>
    <s v="PRD013"/>
    <s v="AG005"/>
    <s v="COM053"/>
    <n v="5"/>
    <n v="110"/>
    <n v="0"/>
    <s v="Cash"/>
    <s v="Validée"/>
    <s v="Client 01548"/>
    <s v="Kolwezi"/>
    <s v="Indépendant"/>
    <s v="Disque SSD 1TB"/>
    <s v="Informatique"/>
    <s v="Premium"/>
    <s v="Agence Matadi 1"/>
    <s v="Matadi"/>
    <s v="Commercial 053"/>
    <n v="60"/>
    <x v="0"/>
    <n v="61"/>
    <n v="4.5"/>
    <n v="7"/>
    <s v="Web"/>
    <n v="72.599999999999994"/>
    <n v="550"/>
    <n v="0"/>
    <n v="550"/>
    <n v="363"/>
    <n v="187"/>
    <n v="0.34"/>
    <n v="2025"/>
    <n v="5"/>
    <s v="2025-05"/>
    <s v="T2"/>
    <s v="50+"/>
    <s v="faible"/>
    <s v="Long"/>
    <s v="Moyenne"/>
  </r>
  <r>
    <s v="TX0000444"/>
    <d v="2025-10-05T00:00:00"/>
    <s v="CLI01702"/>
    <s v="PRD001"/>
    <s v="AG001"/>
    <s v="COM048"/>
    <n v="3"/>
    <n v="120"/>
    <n v="0"/>
    <s v="Cash"/>
    <s v="Validée"/>
    <s v="Client 01702"/>
    <s v="Kisangani"/>
    <s v="PME"/>
    <s v="Smartphone A1"/>
    <s v="Électronique"/>
    <s v="Entrée de gamme"/>
    <s v="Agence Kinshasa 1"/>
    <s v="Kinshasa"/>
    <s v="Commercial 048"/>
    <n v="53"/>
    <x v="1"/>
    <n v="23"/>
    <n v="4.8"/>
    <n v="6"/>
    <s v="Téléphone"/>
    <n v="73.2"/>
    <n v="360"/>
    <n v="0"/>
    <n v="360"/>
    <n v="219.60000000000002"/>
    <n v="140.39999999999998"/>
    <n v="0.38999999999999996"/>
    <n v="2025"/>
    <n v="10"/>
    <s v="2025-10"/>
    <s v="T4"/>
    <s v="50+"/>
    <s v="faible"/>
    <s v="Moyen"/>
    <s v="Faible"/>
  </r>
  <r>
    <s v="TX0000445"/>
    <d v="2025-06-15T00:00:00"/>
    <s v="CLI01603"/>
    <s v="PRD007"/>
    <s v="AG010"/>
    <s v="COM051"/>
    <n v="2"/>
    <n v="145"/>
    <n v="0.08"/>
    <s v="Cash"/>
    <s v="Validée"/>
    <s v="Client 01603"/>
    <s v="Lubumbashi"/>
    <s v="ONG"/>
    <s v="Écran 24 pouces"/>
    <s v="Informatique"/>
    <s v="Standard"/>
    <s v="Agence Kisangani 2"/>
    <s v="Kisangani"/>
    <s v="Commercial 051"/>
    <n v="29"/>
    <x v="0"/>
    <n v="26"/>
    <n v="4.3"/>
    <n v="9"/>
    <s v="Magasin"/>
    <n v="97.15"/>
    <n v="290"/>
    <n v="23.2"/>
    <n v="266.8"/>
    <n v="194.3"/>
    <n v="72.5"/>
    <n v="0.27173913043478259"/>
    <n v="2025"/>
    <n v="6"/>
    <s v="2025-06"/>
    <s v="T2"/>
    <s v="22-29"/>
    <s v="faible"/>
    <s v="Long"/>
    <s v="Faible"/>
  </r>
  <r>
    <s v="TX0000446"/>
    <d v="2025-12-02T00:00:00"/>
    <s v="CLI01880"/>
    <s v="PRD007"/>
    <s v="AG004"/>
    <s v="COM017"/>
    <n v="3"/>
    <n v="145"/>
    <n v="0.02"/>
    <s v="Virement"/>
    <s v="Validée"/>
    <s v="Client 01880"/>
    <s v="Lubumbashi"/>
    <s v="Indépendant"/>
    <s v="Écran 24 pouces"/>
    <s v="Informatique"/>
    <s v="Standard"/>
    <s v="Agence Kisangani 1"/>
    <s v="Kisangani"/>
    <s v="Commercial 017"/>
    <n v="59"/>
    <x v="0"/>
    <n v="26"/>
    <n v="6.9"/>
    <n v="4"/>
    <s v="Magasin"/>
    <n v="97.15"/>
    <n v="435"/>
    <n v="8.7000000000000011"/>
    <n v="426.3"/>
    <n v="291.45000000000005"/>
    <n v="134.84999999999997"/>
    <n v="0.31632653061224481"/>
    <n v="2025"/>
    <n v="12"/>
    <s v="2025-12"/>
    <s v="T4"/>
    <s v="50+"/>
    <s v="moyen"/>
    <s v="Moyen"/>
    <s v="Faible"/>
  </r>
  <r>
    <s v="TX0000447"/>
    <d v="2025-09-05T00:00:00"/>
    <s v="CLI00911"/>
    <s v="PRD014"/>
    <s v="AG018"/>
    <s v="COM018"/>
    <n v="2"/>
    <n v="65"/>
    <n v="0.08"/>
    <s v="Carte"/>
    <s v="Validée"/>
    <s v="Client 00911"/>
    <s v="Kolwezi"/>
    <s v="Institution"/>
    <s v="Casque Pro"/>
    <s v="Électronique"/>
    <s v="Standard"/>
    <s v="Agence Kolwezi 3"/>
    <s v="Kolwezi"/>
    <s v="Commercial 018"/>
    <n v="47"/>
    <x v="0"/>
    <n v="22"/>
    <n v="6.8"/>
    <n v="3"/>
    <s v="Web"/>
    <n v="47.45"/>
    <n v="130"/>
    <n v="10.4"/>
    <n v="119.6"/>
    <n v="94.9"/>
    <n v="24.699999999999989"/>
    <n v="0.2065217391304347"/>
    <n v="2025"/>
    <n v="9"/>
    <s v="2025-09"/>
    <s v="T3"/>
    <s v="40-49"/>
    <s v="moyen"/>
    <s v="Rapide"/>
    <s v="Faible"/>
  </r>
  <r>
    <s v="TX0000448"/>
    <d v="2025-10-07T00:00:00"/>
    <s v="CLI02036"/>
    <s v="PRD013"/>
    <s v="AG012"/>
    <s v="COM049"/>
    <n v="4"/>
    <n v="110"/>
    <n v="0.02"/>
    <s v="Carte"/>
    <s v="Validée"/>
    <s v="Client 02036"/>
    <s v="Goma"/>
    <s v="Grande entreprise"/>
    <s v="Disque SSD 1TB"/>
    <s v="Informatique"/>
    <s v="Premium"/>
    <s v="Agence Kolwezi 2"/>
    <s v="Kolwezi"/>
    <s v="Commercial 049"/>
    <n v="34"/>
    <x v="0"/>
    <n v="57"/>
    <n v="4.2"/>
    <n v="8"/>
    <s v="Téléphone"/>
    <n v="72.599999999999994"/>
    <n v="440"/>
    <n v="8.8000000000000007"/>
    <n v="431.2"/>
    <n v="290.39999999999998"/>
    <n v="140.80000000000001"/>
    <n v="0.32653061224489799"/>
    <n v="2025"/>
    <n v="10"/>
    <s v="2025-10"/>
    <s v="T4"/>
    <s v="30-39"/>
    <s v="faible"/>
    <s v="Long"/>
    <s v="Faible"/>
  </r>
  <r>
    <s v="TX0000449"/>
    <d v="2025-07-09T00:00:00"/>
    <s v="CLI00102"/>
    <s v="PRD013"/>
    <s v="AG008"/>
    <s v="COM029"/>
    <n v="2"/>
    <n v="110"/>
    <n v="0"/>
    <s v="Virement"/>
    <s v="Validée"/>
    <s v="Client 00102"/>
    <s v="Lubumbashi"/>
    <s v="Indépendant"/>
    <s v="Disque SSD 1TB"/>
    <s v="Informatique"/>
    <s v="Premium"/>
    <s v="Agence Lubumbashi 2"/>
    <s v="Lubumbashi"/>
    <s v="Commercial 029"/>
    <n v="51"/>
    <x v="1"/>
    <n v="12"/>
    <n v="8.1"/>
    <n v="2"/>
    <s v="Téléphone"/>
    <n v="72.599999999999994"/>
    <n v="220"/>
    <n v="0"/>
    <n v="220"/>
    <n v="145.19999999999999"/>
    <n v="74.800000000000011"/>
    <n v="0.34"/>
    <n v="2025"/>
    <n v="7"/>
    <s v="2025-07"/>
    <s v="T3"/>
    <s v="50+"/>
    <s v="bon"/>
    <s v="Rapide"/>
    <s v="Faible"/>
  </r>
  <r>
    <s v="TX0000450"/>
    <d v="2025-04-17T00:00:00"/>
    <s v="CLI00343"/>
    <s v="PRD004"/>
    <s v="AG018"/>
    <s v="COM011"/>
    <n v="5"/>
    <n v="520"/>
    <n v="0.02"/>
    <s v="Carte"/>
    <s v="Validée"/>
    <s v="Client 00343"/>
    <s v="Matadi"/>
    <s v="Institution"/>
    <s v="Laptop Essential 15"/>
    <s v="Informatique"/>
    <s v="Standard"/>
    <s v="Agence Kolwezi 3"/>
    <s v="Kolwezi"/>
    <s v="Commercial 011"/>
    <n v="28"/>
    <x v="0"/>
    <n v="49"/>
    <n v="7.2"/>
    <n v="2"/>
    <s v="WhatsApp"/>
    <n v="348.4"/>
    <n v="2600"/>
    <n v="52"/>
    <n v="2548"/>
    <n v="1742"/>
    <n v="806"/>
    <n v="0.31632653061224492"/>
    <n v="2025"/>
    <n v="4"/>
    <s v="2025-04"/>
    <s v="T2"/>
    <s v="22-29"/>
    <s v="bon"/>
    <s v="Rapide"/>
    <s v="Elevée"/>
  </r>
  <r>
    <s v="TX0000451"/>
    <d v="2025-10-18T00:00:00"/>
    <s v="CLI01652"/>
    <s v="PRD016"/>
    <s v="AG017"/>
    <s v="COM047"/>
    <n v="4"/>
    <n v="420"/>
    <n v="0"/>
    <s v="Mobile Money"/>
    <s v="Validée"/>
    <s v="Client 01652"/>
    <s v="Kisangani"/>
    <s v="Grande entreprise"/>
    <s v="Projecteur HD"/>
    <s v="Bureautique"/>
    <s v="Premium"/>
    <s v="Agence Matadi 3"/>
    <s v="Matadi"/>
    <s v="Commercial 047"/>
    <n v="27"/>
    <x v="0"/>
    <n v="41"/>
    <n v="5"/>
    <n v="8"/>
    <s v="WhatsApp"/>
    <n v="273"/>
    <n v="1680"/>
    <n v="0"/>
    <n v="1680"/>
    <n v="1092"/>
    <n v="588"/>
    <n v="0.35"/>
    <n v="2025"/>
    <n v="10"/>
    <s v="2025-10"/>
    <s v="T4"/>
    <s v="22-29"/>
    <s v="moyen"/>
    <s v="Long"/>
    <s v="Elevée"/>
  </r>
  <r>
    <s v="TX0000452"/>
    <d v="2025-06-14T00:00:00"/>
    <s v="CLI01276"/>
    <s v="PRD011"/>
    <s v="AG005"/>
    <s v="COM003"/>
    <n v="3"/>
    <n v="240"/>
    <n v="0.05"/>
    <s v="Mobile Money"/>
    <s v="Validée"/>
    <s v="Client 01276"/>
    <s v="Kisangani"/>
    <s v="Grande entreprise"/>
    <s v="Switch 24 Ports"/>
    <s v="Réseau"/>
    <s v="Premium"/>
    <s v="Agence Matadi 1"/>
    <s v="Matadi"/>
    <s v="Commercial 003"/>
    <n v="47"/>
    <x v="0"/>
    <n v="33"/>
    <n v="6.8"/>
    <n v="5"/>
    <s v="Web"/>
    <n v="177.6"/>
    <n v="720"/>
    <n v="36"/>
    <n v="684"/>
    <n v="532.79999999999995"/>
    <n v="151.20000000000005"/>
    <n v="0.22105263157894744"/>
    <n v="2025"/>
    <n v="6"/>
    <s v="2025-06"/>
    <s v="T2"/>
    <s v="40-49"/>
    <s v="moyen"/>
    <s v="Moyen"/>
    <s v="Moyenne"/>
  </r>
  <r>
    <s v="TX0000453"/>
    <d v="2025-09-08T00:00:00"/>
    <s v="CLI01099"/>
    <s v="PRD007"/>
    <s v="AG018"/>
    <s v="COM051"/>
    <n v="3"/>
    <n v="145"/>
    <n v="0"/>
    <s v="Carte"/>
    <s v="Validée"/>
    <s v="Client 01099"/>
    <s v="Kisangani"/>
    <s v="Grande entreprise"/>
    <s v="Écran 24 pouces"/>
    <s v="Informatique"/>
    <s v="Standard"/>
    <s v="Agence Kolwezi 3"/>
    <s v="Kolwezi"/>
    <s v="Commercial 051"/>
    <n v="24"/>
    <x v="1"/>
    <n v="60"/>
    <n v="3.6"/>
    <n v="9"/>
    <s v="WhatsApp"/>
    <n v="97.15"/>
    <n v="435"/>
    <n v="0"/>
    <n v="435"/>
    <n v="291.45000000000005"/>
    <n v="143.54999999999995"/>
    <n v="0.3299999999999999"/>
    <n v="2025"/>
    <n v="9"/>
    <s v="2025-09"/>
    <s v="T3"/>
    <s v="22-29"/>
    <s v="faible"/>
    <s v="Long"/>
    <s v="Faible"/>
  </r>
  <r>
    <s v="TX0000454"/>
    <d v="2025-12-25T00:00:00"/>
    <s v="CLI01979"/>
    <s v="PRD003"/>
    <s v="AG004"/>
    <s v="COM028"/>
    <n v="1"/>
    <n v="780"/>
    <n v="0"/>
    <s v="Cash"/>
    <s v="Validée"/>
    <s v="Client 01979"/>
    <s v="Lubumbashi"/>
    <s v="ONG"/>
    <s v="Laptop Business 14"/>
    <s v="Informatique"/>
    <s v="Premium"/>
    <s v="Agence Kisangani 1"/>
    <s v="Kisangani"/>
    <s v="Commercial 028"/>
    <n v="37"/>
    <x v="0"/>
    <n v="61"/>
    <n v="6.8"/>
    <n v="3"/>
    <s v="WhatsApp"/>
    <n v="468"/>
    <n v="780"/>
    <n v="0"/>
    <n v="780"/>
    <n v="468"/>
    <n v="312"/>
    <n v="0.4"/>
    <n v="2025"/>
    <n v="12"/>
    <s v="2025-12"/>
    <s v="T4"/>
    <s v="30-39"/>
    <s v="moyen"/>
    <s v="Rapide"/>
    <s v="Moyenne"/>
  </r>
  <r>
    <s v="TX0000455"/>
    <d v="2025-02-28T00:00:00"/>
    <s v="CLI00498"/>
    <s v="PRD006"/>
    <s v="AG007"/>
    <s v="COM029"/>
    <n v="1"/>
    <n v="190"/>
    <n v="0.02"/>
    <s v="Mobile Money"/>
    <s v="Validée"/>
    <s v="Client 00498"/>
    <s v="Matadi"/>
    <s v="PME"/>
    <s v="Imprimante Office"/>
    <s v="Bureautique"/>
    <s v="Standard"/>
    <s v="Agence Kinshasa 2"/>
    <s v="Kinshasa"/>
    <s v="Commercial 029"/>
    <n v="43"/>
    <x v="0"/>
    <n v="56"/>
    <n v="4.3"/>
    <n v="7"/>
    <s v="WhatsApp"/>
    <n v="148.19999999999999"/>
    <n v="190"/>
    <n v="3.8000000000000003"/>
    <n v="186.2"/>
    <n v="148.19999999999999"/>
    <n v="38"/>
    <n v="0.20408163265306123"/>
    <n v="2025"/>
    <n v="2"/>
    <s v="2025-02"/>
    <s v="T1"/>
    <s v="40-49"/>
    <s v="faible"/>
    <s v="Long"/>
    <s v="Faible"/>
  </r>
  <r>
    <s v="TX0000456"/>
    <d v="2025-10-08T00:00:00"/>
    <s v="CLI02149"/>
    <s v="PRD016"/>
    <s v="AG005"/>
    <s v="COM048"/>
    <n v="2"/>
    <n v="420"/>
    <n v="0"/>
    <s v="Virement"/>
    <s v="Validée"/>
    <s v="Client 02149"/>
    <s v="Kolwezi"/>
    <s v="Grande entreprise"/>
    <s v="Projecteur HD"/>
    <s v="Bureautique"/>
    <s v="Premium"/>
    <s v="Agence Matadi 1"/>
    <s v="Matadi"/>
    <s v="Commercial 048"/>
    <n v="50"/>
    <x v="1"/>
    <n v="40"/>
    <n v="6.7"/>
    <n v="4"/>
    <s v="Téléphone"/>
    <n v="273"/>
    <n v="840"/>
    <n v="0"/>
    <n v="840"/>
    <n v="546"/>
    <n v="294"/>
    <n v="0.35"/>
    <n v="2025"/>
    <n v="10"/>
    <s v="2025-10"/>
    <s v="T4"/>
    <s v="50+"/>
    <s v="moyen"/>
    <s v="Moyen"/>
    <s v="Moyenne"/>
  </r>
  <r>
    <s v="TX0000457"/>
    <d v="2025-11-11T00:00:00"/>
    <s v="CLI01206"/>
    <s v="PRD009"/>
    <s v="AG017"/>
    <s v="COM021"/>
    <n v="5"/>
    <n v="22"/>
    <n v="0.05"/>
    <s v="Carte"/>
    <s v="Validée"/>
    <s v="Client 01206"/>
    <s v="Kolwezi"/>
    <s v="PME"/>
    <s v="Souris Wireless"/>
    <s v="Informatique"/>
    <s v="Entrée de gamme"/>
    <s v="Agence Matadi 3"/>
    <s v="Matadi"/>
    <s v="Commercial 021"/>
    <n v="35"/>
    <x v="0"/>
    <n v="51"/>
    <n v="6.5"/>
    <n v="4"/>
    <s v="WhatsApp"/>
    <n v="14.96"/>
    <n v="110"/>
    <n v="5.5"/>
    <n v="104.5"/>
    <n v="74.800000000000011"/>
    <n v="29.699999999999989"/>
    <n v="0.28421052631578936"/>
    <n v="2025"/>
    <n v="11"/>
    <s v="2025-11"/>
    <s v="T4"/>
    <s v="30-39"/>
    <s v="moyen"/>
    <s v="Moyen"/>
    <s v="Faible"/>
  </r>
  <r>
    <s v="TX0000459"/>
    <d v="2025-08-31T00:00:00"/>
    <s v="CLI00555"/>
    <s v="PRD006"/>
    <s v="AG017"/>
    <s v="COM046"/>
    <n v="1"/>
    <n v="190"/>
    <n v="0.02"/>
    <s v="Carte"/>
    <s v="Validée"/>
    <s v="Client 00555"/>
    <s v="Matadi"/>
    <s v="ONG"/>
    <s v="Imprimante Office"/>
    <s v="Bureautique"/>
    <s v="Standard"/>
    <s v="Agence Matadi 3"/>
    <s v="Matadi"/>
    <s v="Commercial 046"/>
    <n v="39"/>
    <x v="1"/>
    <n v="48"/>
    <n v="8.1999999999999993"/>
    <n v="1"/>
    <s v="Web"/>
    <n v="148.19999999999999"/>
    <n v="190"/>
    <n v="3.8000000000000003"/>
    <n v="186.2"/>
    <n v="148.19999999999999"/>
    <n v="38"/>
    <n v="0.20408163265306123"/>
    <n v="2025"/>
    <n v="8"/>
    <s v="2025-08"/>
    <s v="T3"/>
    <s v="30-39"/>
    <s v="bon"/>
    <s v="Rapide"/>
    <s v="Faible"/>
  </r>
  <r>
    <s v="TX0000460"/>
    <d v="2025-04-07T00:00:00"/>
    <s v="CLI00275"/>
    <s v="PRD001"/>
    <s v="AG010"/>
    <s v="COM045"/>
    <n v="1"/>
    <n v="120"/>
    <n v="0"/>
    <s v="Mobile Money"/>
    <s v="Validée"/>
    <s v="Client 00275"/>
    <s v="Lubumbashi"/>
    <s v="Indépendant"/>
    <s v="Smartphone A1"/>
    <s v="Électronique"/>
    <s v="Entrée de gamme"/>
    <s v="Agence Kisangani 2"/>
    <s v="Kisangani"/>
    <s v="Commercial 045"/>
    <n v="29"/>
    <x v="1"/>
    <n v="43"/>
    <n v="5.3"/>
    <n v="6"/>
    <s v="WhatsApp"/>
    <n v="73.2"/>
    <n v="120"/>
    <n v="0"/>
    <n v="120"/>
    <n v="73.2"/>
    <n v="46.8"/>
    <n v="0.38999999999999996"/>
    <n v="2025"/>
    <n v="4"/>
    <s v="2025-04"/>
    <s v="T2"/>
    <s v="22-29"/>
    <s v="moyen"/>
    <s v="Moyen"/>
    <s v="Faible"/>
  </r>
  <r>
    <s v="TX0000461"/>
    <d v="2025-06-29T00:00:00"/>
    <s v="CLI00251"/>
    <s v="PRD015"/>
    <s v="AG006"/>
    <s v="COM005"/>
    <n v="3"/>
    <n v="48"/>
    <n v="0"/>
    <s v="Virement"/>
    <s v="Validée"/>
    <s v="Client 00251"/>
    <s v="Kisangani"/>
    <s v="PME"/>
    <s v="Webcam HD"/>
    <s v="Électronique"/>
    <s v="Entrée de gamme"/>
    <s v="Agence Kolwezi 1"/>
    <s v="Kolwezi"/>
    <s v="Commercial 005"/>
    <n v="41"/>
    <x v="0"/>
    <n v="50"/>
    <n v="3.9"/>
    <n v="8"/>
    <s v="Magasin"/>
    <n v="37.44"/>
    <n v="144"/>
    <n v="0"/>
    <n v="144"/>
    <n v="112.32"/>
    <n v="31.680000000000007"/>
    <n v="0.22000000000000006"/>
    <n v="2025"/>
    <n v="6"/>
    <s v="2025-06"/>
    <s v="T2"/>
    <s v="40-49"/>
    <s v="faible"/>
    <s v="Long"/>
    <s v="Faible"/>
  </r>
  <r>
    <s v="TX0000462"/>
    <d v="2025-08-07T00:00:00"/>
    <s v="CLI00790"/>
    <s v="PRD009"/>
    <s v="AG010"/>
    <s v="COM053"/>
    <n v="3"/>
    <n v="22"/>
    <n v="0"/>
    <s v="Virement"/>
    <s v="Validée"/>
    <s v="Client 00790"/>
    <s v="Kinshasa"/>
    <s v="Indépendant"/>
    <s v="Souris Wireless"/>
    <s v="Informatique"/>
    <s v="Entrée de gamme"/>
    <s v="Agence Kisangani 2"/>
    <s v="Kisangani"/>
    <s v="Commercial 053"/>
    <n v="52"/>
    <x v="1"/>
    <n v="64"/>
    <n v="7.9"/>
    <n v="1"/>
    <s v="Téléphone"/>
    <n v="14.96"/>
    <n v="66"/>
    <n v="0"/>
    <n v="66"/>
    <n v="44.88"/>
    <n v="21.119999999999997"/>
    <n v="0.31999999999999995"/>
    <n v="2025"/>
    <n v="8"/>
    <s v="2025-08"/>
    <s v="T3"/>
    <s v="50+"/>
    <s v="bon"/>
    <s v="Rapide"/>
    <s v="Faible"/>
  </r>
  <r>
    <s v="TX0000463"/>
    <d v="2025-11-25T00:00:00"/>
    <s v="CLI01652"/>
    <s v="PRD009"/>
    <s v="AG018"/>
    <s v="COM035"/>
    <n v="3"/>
    <n v="22"/>
    <n v="0"/>
    <s v="Carte"/>
    <s v="Validée"/>
    <s v="Client 01652"/>
    <s v="Kisangani"/>
    <s v="Grande entreprise"/>
    <s v="Souris Wireless"/>
    <s v="Informatique"/>
    <s v="Entrée de gamme"/>
    <s v="Agence Kolwezi 3"/>
    <s v="Kolwezi"/>
    <s v="Commercial 035"/>
    <n v="27"/>
    <x v="0"/>
    <n v="41"/>
    <n v="6.5"/>
    <n v="4"/>
    <s v="WhatsApp"/>
    <n v="14.96"/>
    <n v="66"/>
    <n v="0"/>
    <n v="66"/>
    <n v="44.88"/>
    <n v="21.119999999999997"/>
    <n v="0.31999999999999995"/>
    <n v="2025"/>
    <n v="11"/>
    <s v="2025-11"/>
    <s v="T4"/>
    <s v="22-29"/>
    <s v="moyen"/>
    <s v="Moyen"/>
    <s v="Faible"/>
  </r>
  <r>
    <s v="TX0000464"/>
    <d v="2025-10-16T00:00:00"/>
    <s v="CLI00887"/>
    <s v="PRD009"/>
    <s v="AG006"/>
    <s v="COM017"/>
    <n v="1"/>
    <n v="22"/>
    <n v="0.1"/>
    <s v="Mobile Money"/>
    <s v="Validée"/>
    <s v="Client 00887"/>
    <s v="Kolwezi"/>
    <s v="ONG"/>
    <s v="Souris Wireless"/>
    <s v="Informatique"/>
    <s v="Entrée de gamme"/>
    <s v="Agence Kolwezi 1"/>
    <s v="Kolwezi"/>
    <s v="Commercial 017"/>
    <n v="35"/>
    <x v="1"/>
    <n v="27"/>
    <n v="5.4"/>
    <n v="5"/>
    <s v="Web"/>
    <n v="14.96"/>
    <n v="22"/>
    <n v="2.2000000000000002"/>
    <n v="19.8"/>
    <n v="14.96"/>
    <n v="4.84"/>
    <n v="0.24444444444444444"/>
    <n v="2025"/>
    <n v="10"/>
    <s v="2025-10"/>
    <s v="T4"/>
    <s v="30-39"/>
    <s v="moyen"/>
    <s v="Moyen"/>
    <s v="Faible"/>
  </r>
  <r>
    <s v="TX0000466"/>
    <d v="2025-01-01T00:00:00"/>
    <s v="CLI00601"/>
    <s v="PRD005"/>
    <s v="AG006"/>
    <s v="COM031"/>
    <n v="2"/>
    <n v="260"/>
    <n v="0"/>
    <s v="Carte"/>
    <s v="Validée"/>
    <s v="Client 00601"/>
    <s v="Kolwezi"/>
    <s v="Indépendant"/>
    <s v="Tablette T10"/>
    <s v="Électronique"/>
    <s v="Standard"/>
    <s v="Agence Kolwezi 1"/>
    <s v="Kolwezi"/>
    <s v="Commercial 031"/>
    <n v="46"/>
    <x v="1"/>
    <n v="5"/>
    <n v="5.9"/>
    <n v="5"/>
    <s v="Web"/>
    <n v="189.8"/>
    <n v="520"/>
    <n v="0"/>
    <n v="520"/>
    <n v="379.6"/>
    <n v="140.39999999999998"/>
    <n v="0.26999999999999996"/>
    <n v="2025"/>
    <n v="1"/>
    <s v="2025-01"/>
    <s v="T1"/>
    <s v="40-49"/>
    <s v="moyen"/>
    <s v="Moyen"/>
    <s v="Moyenne"/>
  </r>
  <r>
    <s v="TX0000467"/>
    <d v="2025-06-04T00:00:00"/>
    <s v="CLI01801"/>
    <s v="PRD014"/>
    <s v="AG016"/>
    <s v="COM021"/>
    <n v="2"/>
    <n v="65"/>
    <n v="0"/>
    <s v="Carte"/>
    <s v="Validée"/>
    <s v="Client 01801"/>
    <s v="Matadi"/>
    <s v="Grande entreprise"/>
    <s v="Casque Pro"/>
    <s v="Électronique"/>
    <s v="Standard"/>
    <s v="Agence Kisangani 3"/>
    <s v="Kisangani"/>
    <s v="Commercial 021"/>
    <n v="40"/>
    <x v="1"/>
    <n v="17"/>
    <n v="4.9000000000000004"/>
    <n v="7"/>
    <s v="WhatsApp"/>
    <n v="47.45"/>
    <n v="130"/>
    <n v="0"/>
    <n v="130"/>
    <n v="94.9"/>
    <n v="35.099999999999994"/>
    <n v="0.26999999999999996"/>
    <n v="2025"/>
    <n v="6"/>
    <s v="2025-06"/>
    <s v="T2"/>
    <s v="40-49"/>
    <s v="faible"/>
    <s v="Long"/>
    <s v="Faible"/>
  </r>
  <r>
    <s v="TX0000468"/>
    <d v="2025-06-09T00:00:00"/>
    <s v="CLI01546"/>
    <s v="PRD013"/>
    <s v="AG016"/>
    <s v="COM023"/>
    <n v="5"/>
    <n v="110"/>
    <n v="0"/>
    <s v="Cash"/>
    <s v="Validée"/>
    <s v="Client 01546"/>
    <s v="Kisangani"/>
    <s v="Institution"/>
    <s v="Disque SSD 1TB"/>
    <s v="Informatique"/>
    <s v="Premium"/>
    <s v="Agence Kisangani 3"/>
    <s v="Kisangani"/>
    <s v="Commercial 023"/>
    <n v="33"/>
    <x v="0"/>
    <n v="63"/>
    <n v="8.8000000000000007"/>
    <n v="1"/>
    <s v="Magasin"/>
    <n v="72.599999999999994"/>
    <n v="550"/>
    <n v="0"/>
    <n v="550"/>
    <n v="363"/>
    <n v="187"/>
    <n v="0.34"/>
    <n v="2025"/>
    <n v="6"/>
    <s v="2025-06"/>
    <s v="T2"/>
    <s v="30-39"/>
    <s v="bon"/>
    <s v="Rapide"/>
    <s v="Moyenne"/>
  </r>
  <r>
    <s v="TX0000469"/>
    <d v="2025-03-15T00:00:00"/>
    <s v="CLI00877"/>
    <s v="PRD006"/>
    <s v="AG009"/>
    <s v="COM046"/>
    <n v="5"/>
    <n v="190"/>
    <n v="0.05"/>
    <s v="Mobile Money"/>
    <s v="Validée"/>
    <s v="Client 00877"/>
    <s v="Goma"/>
    <s v="PME"/>
    <s v="Imprimante Office"/>
    <s v="Bureautique"/>
    <s v="Standard"/>
    <s v="Agence Goma 2"/>
    <s v="Goma"/>
    <s v="Commercial 046"/>
    <n v="33"/>
    <x v="0"/>
    <n v="55"/>
    <n v="4.8"/>
    <n v="6"/>
    <s v="Téléphone"/>
    <n v="148.19999999999999"/>
    <n v="950"/>
    <n v="47.5"/>
    <n v="902.5"/>
    <n v="741"/>
    <n v="161.5"/>
    <n v="0.17894736842105263"/>
    <n v="2025"/>
    <n v="3"/>
    <s v="2025-03"/>
    <s v="T1"/>
    <s v="30-39"/>
    <s v="faible"/>
    <s v="Moyen"/>
    <s v="Moyenne"/>
  </r>
  <r>
    <s v="TX0000470"/>
    <d v="2025-08-11T00:00:00"/>
    <s v="CLI01027"/>
    <s v="PRD004"/>
    <s v="AG018"/>
    <s v="COM058"/>
    <n v="3"/>
    <n v="520"/>
    <n v="0"/>
    <s v="Cash"/>
    <s v="Validée"/>
    <s v="Client 01027"/>
    <s v="Matadi"/>
    <s v="Institution"/>
    <s v="Laptop Essential 15"/>
    <s v="Informatique"/>
    <s v="Standard"/>
    <s v="Agence Kolwezi 3"/>
    <s v="Kolwezi"/>
    <s v="Commercial 058"/>
    <n v="31"/>
    <x v="0"/>
    <n v="28"/>
    <n v="3.4"/>
    <n v="9"/>
    <s v="WhatsApp"/>
    <n v="348.4"/>
    <n v="1560"/>
    <n v="0"/>
    <n v="1560"/>
    <n v="1045.1999999999998"/>
    <n v="514.80000000000018"/>
    <n v="0.33000000000000013"/>
    <n v="2025"/>
    <n v="8"/>
    <s v="2025-08"/>
    <s v="T3"/>
    <s v="30-39"/>
    <s v="faible"/>
    <s v="Long"/>
    <s v="Elevée"/>
  </r>
  <r>
    <s v="TX0000471"/>
    <d v="2025-11-12T00:00:00"/>
    <s v="CLI01910"/>
    <s v="PRD012"/>
    <s v="AG014"/>
    <s v="COM014"/>
    <n v="3"/>
    <n v="180"/>
    <n v="0"/>
    <s v="Mobile Money"/>
    <s v="Validée"/>
    <s v="Client 01910"/>
    <s v="Matadi"/>
    <s v="Indépendant"/>
    <s v="Onduleur 1200VA"/>
    <s v="Énergie"/>
    <s v="Standard"/>
    <s v="Agence Lubumbashi 3"/>
    <s v="Lubumbashi"/>
    <s v="Commercial 014"/>
    <n v="48"/>
    <x v="0"/>
    <n v="46"/>
    <n v="5.0999999999999996"/>
    <n v="6"/>
    <s v="Web"/>
    <n v="129.6"/>
    <n v="540"/>
    <n v="0"/>
    <n v="540"/>
    <n v="388.79999999999995"/>
    <n v="151.20000000000005"/>
    <n v="0.28000000000000008"/>
    <n v="2025"/>
    <n v="11"/>
    <s v="2025-11"/>
    <s v="T4"/>
    <s v="40-49"/>
    <s v="moyen"/>
    <s v="Moyen"/>
    <s v="Moyenne"/>
  </r>
  <r>
    <s v="TX0000472"/>
    <d v="2025-09-27T00:00:00"/>
    <s v="CLI00044"/>
    <s v="PRD007"/>
    <s v="AG015"/>
    <s v="COM024"/>
    <n v="1"/>
    <n v="145"/>
    <n v="0.05"/>
    <s v="Virement"/>
    <s v="Validée"/>
    <s v="Client 00044"/>
    <s v="Kisangani"/>
    <s v="Grande entreprise"/>
    <s v="Écran 24 pouces"/>
    <s v="Informatique"/>
    <s v="Standard"/>
    <s v="Agence Goma 3"/>
    <s v="Goma"/>
    <s v="Commercial 024"/>
    <n v="33"/>
    <x v="0"/>
    <n v="33"/>
    <n v="6"/>
    <n v="4"/>
    <s v="WhatsApp"/>
    <n v="97.15"/>
    <n v="145"/>
    <n v="7.25"/>
    <n v="137.75"/>
    <n v="97.15"/>
    <n v="40.599999999999994"/>
    <n v="0.29473684210526313"/>
    <n v="2025"/>
    <n v="9"/>
    <s v="2025-09"/>
    <s v="T3"/>
    <s v="30-39"/>
    <s v="moyen"/>
    <s v="Moyen"/>
    <s v="Faible"/>
  </r>
  <r>
    <s v="TX0000473"/>
    <d v="2025-01-07T00:00:00"/>
    <s v="CLI01511"/>
    <s v="PRD009"/>
    <s v="AG017"/>
    <s v="COM059"/>
    <n v="3"/>
    <n v="22"/>
    <n v="0"/>
    <s v="Virement"/>
    <s v="Validée"/>
    <s v="Client 01511"/>
    <s v="Kisangani"/>
    <s v="ONG"/>
    <s v="Souris Wireless"/>
    <s v="Informatique"/>
    <s v="Entrée de gamme"/>
    <s v="Agence Matadi 3"/>
    <s v="Matadi"/>
    <s v="Commercial 059"/>
    <n v="24"/>
    <x v="1"/>
    <n v="38"/>
    <n v="5"/>
    <n v="8"/>
    <s v="Téléphone"/>
    <n v="14.96"/>
    <n v="66"/>
    <n v="0"/>
    <n v="66"/>
    <n v="44.88"/>
    <n v="21.119999999999997"/>
    <n v="0.31999999999999995"/>
    <n v="2025"/>
    <n v="1"/>
    <s v="2025-01"/>
    <s v="T1"/>
    <s v="22-29"/>
    <s v="moyen"/>
    <s v="Long"/>
    <s v="Faible"/>
  </r>
  <r>
    <s v="TX0000474"/>
    <d v="2025-11-17T00:00:00"/>
    <s v="CLI01632"/>
    <s v="PRD002"/>
    <s v="AG009"/>
    <s v="COM018"/>
    <n v="1"/>
    <n v="350"/>
    <n v="0.05"/>
    <s v="Cash"/>
    <s v="Validée"/>
    <s v="Client 01632"/>
    <s v="Lubumbashi"/>
    <s v="Institution"/>
    <s v="Smartphone Pro X"/>
    <s v="Électronique"/>
    <s v="Premium"/>
    <s v="Agence Goma 2"/>
    <s v="Goma"/>
    <s v="Commercial 018"/>
    <n v="58"/>
    <x v="1"/>
    <n v="65"/>
    <n v="8.9"/>
    <n v="1"/>
    <s v="Téléphone"/>
    <n v="213.5"/>
    <n v="350"/>
    <n v="17.5"/>
    <n v="332.5"/>
    <n v="213.5"/>
    <n v="119"/>
    <n v="0.35789473684210527"/>
    <n v="2025"/>
    <n v="11"/>
    <s v="2025-11"/>
    <s v="T4"/>
    <s v="50+"/>
    <s v="bon"/>
    <s v="Rapide"/>
    <s v="Faible"/>
  </r>
  <r>
    <s v="TX0000475"/>
    <d v="2025-08-31T00:00:00"/>
    <s v="CLI01929"/>
    <s v="PRD015"/>
    <s v="AG016"/>
    <s v="COM012"/>
    <n v="4"/>
    <n v="48"/>
    <n v="0.08"/>
    <s v="Cash"/>
    <s v="Validée"/>
    <s v="Client 01929"/>
    <s v="Lubumbashi"/>
    <s v="Indépendant"/>
    <s v="Webcam HD"/>
    <s v="Électronique"/>
    <s v="Entrée de gamme"/>
    <s v="Agence Kisangani 3"/>
    <s v="Kisangani"/>
    <s v="Commercial 012"/>
    <n v="30"/>
    <x v="0"/>
    <n v="20"/>
    <n v="5.6"/>
    <n v="7"/>
    <s v="Téléphone"/>
    <n v="37.44"/>
    <n v="192"/>
    <n v="15.36"/>
    <n v="176.64"/>
    <n v="149.76"/>
    <n v="26.879999999999995"/>
    <n v="0.15217391304347824"/>
    <n v="2025"/>
    <n v="8"/>
    <s v="2025-08"/>
    <s v="T3"/>
    <s v="30-39"/>
    <s v="moyen"/>
    <s v="Long"/>
    <s v="Faible"/>
  </r>
  <r>
    <s v="TX0000476"/>
    <d v="2025-03-09T00:00:00"/>
    <s v="CLI00119"/>
    <s v="PRD005"/>
    <s v="AG006"/>
    <s v="COM056"/>
    <n v="1"/>
    <n v="260"/>
    <n v="0.1"/>
    <s v="Cash"/>
    <s v="Validée"/>
    <s v="Client 00119"/>
    <s v="Kisangani"/>
    <s v="Institution"/>
    <s v="Tablette T10"/>
    <s v="Électronique"/>
    <s v="Standard"/>
    <s v="Agence Kolwezi 1"/>
    <s v="Kolwezi"/>
    <s v="Commercial 056"/>
    <n v="60"/>
    <x v="0"/>
    <n v="8"/>
    <n v="5.2"/>
    <n v="7"/>
    <s v="WhatsApp"/>
    <n v="189.8"/>
    <n v="260"/>
    <n v="26"/>
    <n v="234"/>
    <n v="189.8"/>
    <n v="44.199999999999989"/>
    <n v="0.18888888888888883"/>
    <n v="2025"/>
    <n v="3"/>
    <s v="2025-03"/>
    <s v="T1"/>
    <s v="50+"/>
    <s v="moyen"/>
    <s v="Long"/>
    <s v="Faible"/>
  </r>
  <r>
    <s v="TX0000477"/>
    <d v="2025-10-06T00:00:00"/>
    <s v="CLI00256"/>
    <s v="PRD011"/>
    <s v="AG004"/>
    <s v="COM055"/>
    <n v="1"/>
    <n v="240"/>
    <n v="0.1"/>
    <s v="Carte"/>
    <s v="Validée"/>
    <s v="Client 00256"/>
    <s v="Kolwezi"/>
    <s v="Grande entreprise"/>
    <s v="Switch 24 Ports"/>
    <s v="Réseau"/>
    <s v="Premium"/>
    <s v="Agence Kisangani 1"/>
    <s v="Kisangani"/>
    <s v="Commercial 055"/>
    <n v="31"/>
    <x v="1"/>
    <n v="47"/>
    <n v="4.9000000000000004"/>
    <n v="7"/>
    <s v="Téléphone"/>
    <n v="177.6"/>
    <n v="240"/>
    <n v="24"/>
    <n v="216"/>
    <n v="177.6"/>
    <n v="38.400000000000006"/>
    <n v="0.17777777777777781"/>
    <n v="2025"/>
    <n v="10"/>
    <s v="2025-10"/>
    <s v="T4"/>
    <s v="30-39"/>
    <s v="faible"/>
    <s v="Long"/>
    <s v="Faible"/>
  </r>
  <r>
    <s v="TX0000478"/>
    <d v="2025-12-30T00:00:00"/>
    <s v="CLI00069"/>
    <s v="PRD011"/>
    <s v="AG011"/>
    <s v="COM058"/>
    <n v="1"/>
    <n v="240"/>
    <n v="0.05"/>
    <s v="Virement"/>
    <s v="Validée"/>
    <s v="Client 00069"/>
    <s v="Kisangani"/>
    <s v="Institution"/>
    <s v="Switch 24 Ports"/>
    <s v="Réseau"/>
    <s v="Premium"/>
    <s v="Agence Matadi 2"/>
    <s v="Matadi"/>
    <s v="Commercial 058"/>
    <n v="52"/>
    <x v="0"/>
    <n v="26"/>
    <n v="3.9"/>
    <n v="8"/>
    <s v="Magasin"/>
    <n v="177.6"/>
    <n v="240"/>
    <n v="12"/>
    <n v="228"/>
    <n v="177.6"/>
    <n v="50.400000000000006"/>
    <n v="0.22105263157894739"/>
    <n v="2025"/>
    <n v="12"/>
    <s v="2025-12"/>
    <s v="T4"/>
    <s v="50+"/>
    <s v="faible"/>
    <s v="Long"/>
    <s v="Faible"/>
  </r>
  <r>
    <s v="TX0000479"/>
    <d v="2025-04-09T00:00:00"/>
    <s v="CLI01652"/>
    <s v="PRD014"/>
    <s v="AG002"/>
    <s v="COM005"/>
    <n v="5"/>
    <n v="65"/>
    <n v="0.05"/>
    <s v="Carte"/>
    <s v="Validée"/>
    <s v="Client 01652"/>
    <s v="Kisangani"/>
    <s v="Grande entreprise"/>
    <s v="Casque Pro"/>
    <s v="Électronique"/>
    <s v="Standard"/>
    <s v="Agence Lubumbashi 1"/>
    <s v="Lubumbashi"/>
    <s v="Commercial 005"/>
    <n v="27"/>
    <x v="0"/>
    <n v="41"/>
    <n v="4.7"/>
    <n v="7"/>
    <s v="Web"/>
    <n v="47.45"/>
    <n v="325"/>
    <n v="16.25"/>
    <n v="308.75"/>
    <n v="237.25"/>
    <n v="71.5"/>
    <n v="0.23157894736842105"/>
    <n v="2025"/>
    <n v="4"/>
    <s v="2025-04"/>
    <s v="T2"/>
    <s v="22-29"/>
    <s v="faible"/>
    <s v="Long"/>
    <s v="Faible"/>
  </r>
  <r>
    <s v="TX0000480"/>
    <d v="2025-05-22T00:00:00"/>
    <s v="CLI00344"/>
    <s v="PRD006"/>
    <s v="AG015"/>
    <s v="COM003"/>
    <n v="3"/>
    <n v="190"/>
    <n v="0.08"/>
    <s v="Mobile Money"/>
    <s v="Validée"/>
    <s v="Client 00344"/>
    <s v="Kinshasa"/>
    <s v="Grande entreprise"/>
    <s v="Imprimante Office"/>
    <s v="Bureautique"/>
    <s v="Standard"/>
    <s v="Agence Goma 3"/>
    <s v="Goma"/>
    <s v="Commercial 003"/>
    <n v="38"/>
    <x v="1"/>
    <n v="72"/>
    <n v="4.5"/>
    <n v="7"/>
    <s v="WhatsApp"/>
    <n v="148.19999999999999"/>
    <n v="570"/>
    <n v="45.6"/>
    <n v="524.4"/>
    <n v="444.59999999999997"/>
    <n v="79.800000000000011"/>
    <n v="0.1521739130434783"/>
    <n v="2025"/>
    <n v="5"/>
    <s v="2025-05"/>
    <s v="T2"/>
    <s v="30-39"/>
    <s v="faible"/>
    <s v="Long"/>
    <s v="Moyenne"/>
  </r>
  <r>
    <s v="TX0000481"/>
    <d v="2025-06-29T00:00:00"/>
    <s v="CLI00014"/>
    <s v="PRD010"/>
    <s v="AG009"/>
    <s v="COM036"/>
    <n v="1"/>
    <n v="95"/>
    <n v="0.02"/>
    <s v="Cash"/>
    <s v="Validée"/>
    <s v="Client 00014"/>
    <s v="Matadi"/>
    <s v="Grande entreprise"/>
    <s v="Routeur Business"/>
    <s v="Réseau"/>
    <s v="Standard"/>
    <s v="Agence Goma 2"/>
    <s v="Goma"/>
    <s v="Commercial 036"/>
    <n v="43"/>
    <x v="1"/>
    <n v="52"/>
    <n v="8"/>
    <n v="1"/>
    <s v="Web"/>
    <n v="70.3"/>
    <n v="95"/>
    <n v="1.9000000000000001"/>
    <n v="93.1"/>
    <n v="70.3"/>
    <n v="22.799999999999997"/>
    <n v="0.24489795918367346"/>
    <n v="2025"/>
    <n v="6"/>
    <s v="2025-06"/>
    <s v="T2"/>
    <s v="40-49"/>
    <s v="bon"/>
    <s v="Rapide"/>
    <s v="Faible"/>
  </r>
  <r>
    <s v="TX0000482"/>
    <d v="2025-02-16T00:00:00"/>
    <s v="CLI01897"/>
    <s v="PRD003"/>
    <s v="AG004"/>
    <s v="COM059"/>
    <n v="1"/>
    <n v="780"/>
    <n v="0"/>
    <s v="Carte"/>
    <s v="Validée"/>
    <s v="Client 01897"/>
    <s v="Lubumbashi"/>
    <s v="Grande entreprise"/>
    <s v="Laptop Business 14"/>
    <s v="Informatique"/>
    <s v="Premium"/>
    <s v="Agence Kisangani 1"/>
    <s v="Kisangani"/>
    <s v="Commercial 059"/>
    <n v="47"/>
    <x v="1"/>
    <n v="23"/>
    <n v="6.7"/>
    <n v="4"/>
    <s v="Web"/>
    <n v="468"/>
    <n v="780"/>
    <n v="0"/>
    <n v="780"/>
    <n v="468"/>
    <n v="312"/>
    <n v="0.4"/>
    <n v="2025"/>
    <n v="2"/>
    <s v="2025-02"/>
    <s v="T1"/>
    <s v="40-49"/>
    <s v="moyen"/>
    <s v="Moyen"/>
    <s v="Moyenne"/>
  </r>
  <r>
    <s v="TX0000483"/>
    <d v="2025-11-23T00:00:00"/>
    <s v="CLI00083"/>
    <s v="PRD006"/>
    <s v="AG001"/>
    <s v="COM014"/>
    <n v="2"/>
    <n v="190"/>
    <n v="0"/>
    <s v="Carte"/>
    <s v="Validée"/>
    <s v="Client 00083"/>
    <s v="Kinshasa"/>
    <s v="Institution"/>
    <s v="Imprimante Office"/>
    <s v="Bureautique"/>
    <s v="Standard"/>
    <s v="Agence Kinshasa 1"/>
    <s v="Kinshasa"/>
    <s v="Commercial 014"/>
    <n v="42"/>
    <x v="0"/>
    <n v="42"/>
    <n v="8.9"/>
    <n v="1"/>
    <s v="Téléphone"/>
    <n v="148.19999999999999"/>
    <n v="380"/>
    <n v="0"/>
    <n v="380"/>
    <n v="296.39999999999998"/>
    <n v="83.600000000000023"/>
    <n v="0.22000000000000006"/>
    <n v="2025"/>
    <n v="11"/>
    <s v="2025-11"/>
    <s v="T4"/>
    <s v="40-49"/>
    <s v="bon"/>
    <s v="Rapide"/>
    <s v="Faible"/>
  </r>
  <r>
    <s v="TX0000484"/>
    <d v="2025-07-14T00:00:00"/>
    <s v="CLI00783"/>
    <s v="PRD005"/>
    <s v="AG010"/>
    <s v="COM004"/>
    <n v="4"/>
    <n v="260"/>
    <n v="0"/>
    <s v="Virement"/>
    <s v="Validée"/>
    <s v="Client 00783"/>
    <s v="Kisangani"/>
    <s v="ONG"/>
    <s v="Tablette T10"/>
    <s v="Électronique"/>
    <s v="Standard"/>
    <s v="Agence Kisangani 2"/>
    <s v="Kisangani"/>
    <s v="Commercial 004"/>
    <n v="53"/>
    <x v="1"/>
    <n v="28"/>
    <n v="5.4"/>
    <n v="7"/>
    <s v="Téléphone"/>
    <n v="189.8"/>
    <n v="1040"/>
    <n v="0"/>
    <n v="1040"/>
    <n v="759.2"/>
    <n v="280.79999999999995"/>
    <n v="0.26999999999999996"/>
    <n v="2025"/>
    <n v="7"/>
    <s v="2025-07"/>
    <s v="T3"/>
    <s v="50+"/>
    <s v="moyen"/>
    <s v="Long"/>
    <s v="Elevée"/>
  </r>
  <r>
    <s v="TX0000486"/>
    <d v="2025-09-08T00:00:00"/>
    <s v="CLI01063"/>
    <s v="PRD015"/>
    <s v="AG009"/>
    <s v="COM006"/>
    <n v="2"/>
    <n v="48"/>
    <n v="0"/>
    <s v="Virement"/>
    <s v="Validée"/>
    <s v="Client 01063"/>
    <s v="Goma"/>
    <s v="ONG"/>
    <s v="Webcam HD"/>
    <s v="Électronique"/>
    <s v="Entrée de gamme"/>
    <s v="Agence Goma 2"/>
    <s v="Goma"/>
    <s v="Commercial 006"/>
    <n v="40"/>
    <x v="0"/>
    <n v="41"/>
    <n v="5.8"/>
    <n v="6"/>
    <s v="Téléphone"/>
    <n v="37.44"/>
    <n v="96"/>
    <n v="0"/>
    <n v="96"/>
    <n v="74.88"/>
    <n v="21.120000000000005"/>
    <n v="0.22000000000000006"/>
    <n v="2025"/>
    <n v="9"/>
    <s v="2025-09"/>
    <s v="T3"/>
    <s v="40-49"/>
    <s v="moyen"/>
    <s v="Moyen"/>
    <s v="Faible"/>
  </r>
  <r>
    <s v="TX0000488"/>
    <d v="2025-06-25T00:00:00"/>
    <s v="CLI01778"/>
    <s v="PRD012"/>
    <s v="AG010"/>
    <s v="COM014"/>
    <n v="3"/>
    <n v="180"/>
    <n v="0.05"/>
    <s v="Virement"/>
    <s v="Validée"/>
    <s v="Client 01778"/>
    <s v="Kolwezi"/>
    <s v="Grande entreprise"/>
    <s v="Onduleur 1200VA"/>
    <s v="Énergie"/>
    <s v="Standard"/>
    <s v="Agence Kisangani 2"/>
    <s v="Kisangani"/>
    <s v="Commercial 014"/>
    <n v="28"/>
    <x v="1"/>
    <n v="18"/>
    <n v="6.7"/>
    <n v="4"/>
    <s v="WhatsApp"/>
    <n v="129.6"/>
    <n v="540"/>
    <n v="27"/>
    <n v="513"/>
    <n v="388.79999999999995"/>
    <n v="124.20000000000005"/>
    <n v="0.24210526315789482"/>
    <n v="2025"/>
    <n v="6"/>
    <s v="2025-06"/>
    <s v="T2"/>
    <s v="22-29"/>
    <s v="moyen"/>
    <s v="Moyen"/>
    <s v="Moyenne"/>
  </r>
  <r>
    <s v="TX0000489"/>
    <d v="2025-05-14T00:00:00"/>
    <s v="CLI00864"/>
    <s v="PRD009"/>
    <s v="AG007"/>
    <s v="COM030"/>
    <n v="1"/>
    <n v="22"/>
    <n v="0"/>
    <s v="Carte"/>
    <s v="Validée"/>
    <s v="Client 00864"/>
    <s v="Kisangani"/>
    <s v="ONG"/>
    <s v="Souris Wireless"/>
    <s v="Informatique"/>
    <s v="Entrée de gamme"/>
    <s v="Agence Kinshasa 2"/>
    <s v="Kinshasa"/>
    <s v="Commercial 030"/>
    <n v="29"/>
    <x v="1"/>
    <n v="46"/>
    <n v="6"/>
    <n v="6"/>
    <s v="Téléphone"/>
    <n v="14.96"/>
    <n v="22"/>
    <n v="0"/>
    <n v="22"/>
    <n v="14.96"/>
    <n v="7.0399999999999991"/>
    <n v="0.31999999999999995"/>
    <n v="2025"/>
    <n v="5"/>
    <s v="2025-05"/>
    <s v="T2"/>
    <s v="22-29"/>
    <s v="moyen"/>
    <s v="Moyen"/>
    <s v="Faible"/>
  </r>
  <r>
    <s v="TX0000490"/>
    <d v="2025-07-13T00:00:00"/>
    <s v="CLI01914"/>
    <s v="PRD011"/>
    <s v="AG012"/>
    <s v="COM037"/>
    <n v="3"/>
    <n v="240"/>
    <n v="0"/>
    <s v="Virement"/>
    <s v="Validée"/>
    <s v="Client 01914"/>
    <s v="Goma"/>
    <s v="ONG"/>
    <s v="Switch 24 Ports"/>
    <s v="Réseau"/>
    <s v="Premium"/>
    <s v="Agence Kolwezi 2"/>
    <s v="Kolwezi"/>
    <s v="Commercial 037"/>
    <n v="46"/>
    <x v="0"/>
    <n v="28"/>
    <n v="6.2"/>
    <n v="6"/>
    <s v="Magasin"/>
    <n v="177.6"/>
    <n v="720"/>
    <n v="0"/>
    <n v="720"/>
    <n v="532.79999999999995"/>
    <n v="187.20000000000005"/>
    <n v="0.26000000000000006"/>
    <n v="2025"/>
    <n v="7"/>
    <s v="2025-07"/>
    <s v="T3"/>
    <s v="40-49"/>
    <s v="moyen"/>
    <s v="Moyen"/>
    <s v="Moyenne"/>
  </r>
  <r>
    <s v="TX0000491"/>
    <d v="2025-09-01T00:00:00"/>
    <s v="CLI01470"/>
    <s v="PRD001"/>
    <s v="AG006"/>
    <s v="COM027"/>
    <n v="2"/>
    <n v="120"/>
    <n v="0.08"/>
    <s v="Cash"/>
    <s v="Validée"/>
    <s v="Client 01470"/>
    <s v="Kolwezi"/>
    <s v="Grande entreprise"/>
    <s v="Smartphone A1"/>
    <s v="Électronique"/>
    <s v="Entrée de gamme"/>
    <s v="Agence Kolwezi 1"/>
    <s v="Kolwezi"/>
    <s v="Commercial 027"/>
    <n v="41"/>
    <x v="0"/>
    <n v="17"/>
    <n v="8"/>
    <n v="1"/>
    <s v="Web"/>
    <n v="73.2"/>
    <n v="240"/>
    <n v="19.2"/>
    <n v="220.8"/>
    <n v="146.4"/>
    <n v="74.400000000000006"/>
    <n v="0.33695652173913043"/>
    <n v="2025"/>
    <n v="9"/>
    <s v="2025-09"/>
    <s v="T3"/>
    <s v="40-49"/>
    <s v="bon"/>
    <s v="Rapide"/>
    <s v="Faible"/>
  </r>
  <r>
    <s v="TX0000492"/>
    <d v="2025-10-07T00:00:00"/>
    <s v="CLI01467"/>
    <s v="PRD010"/>
    <s v="AG006"/>
    <s v="COM030"/>
    <n v="1"/>
    <n v="95"/>
    <n v="0"/>
    <s v="Mobile Money"/>
    <s v="Validée"/>
    <s v="Client 01467"/>
    <s v="Kolwezi"/>
    <s v="Grande entreprise"/>
    <s v="Routeur Business"/>
    <s v="Réseau"/>
    <s v="Standard"/>
    <s v="Agence Kolwezi 1"/>
    <s v="Kolwezi"/>
    <s v="Commercial 030"/>
    <n v="33"/>
    <x v="0"/>
    <n v="43"/>
    <n v="7.7"/>
    <n v="3"/>
    <s v="Web"/>
    <n v="70.3"/>
    <n v="95"/>
    <n v="0"/>
    <n v="95"/>
    <n v="70.3"/>
    <n v="24.700000000000003"/>
    <n v="0.26"/>
    <n v="2025"/>
    <n v="10"/>
    <s v="2025-10"/>
    <s v="T4"/>
    <s v="30-39"/>
    <s v="bon"/>
    <s v="Rapide"/>
    <s v="Faible"/>
  </r>
  <r>
    <s v="TX0000493"/>
    <d v="2025-05-05T00:00:00"/>
    <s v="CLI01870"/>
    <s v="PRD014"/>
    <s v="AG013"/>
    <s v="COM031"/>
    <n v="1"/>
    <n v="65"/>
    <n v="0"/>
    <s v="Virement"/>
    <s v="Validée"/>
    <s v="Client 01870"/>
    <s v="Matadi"/>
    <s v="ONG"/>
    <s v="Casque Pro"/>
    <s v="Électronique"/>
    <s v="Standard"/>
    <s v="Agence Kinshasa 3"/>
    <s v="Kinshasa"/>
    <s v="Commercial 031"/>
    <n v="46"/>
    <x v="0"/>
    <n v="29"/>
    <n v="6.8"/>
    <n v="3"/>
    <s v="Web"/>
    <n v="47.45"/>
    <n v="65"/>
    <n v="0"/>
    <n v="65"/>
    <n v="47.45"/>
    <n v="17.549999999999997"/>
    <n v="0.26999999999999996"/>
    <n v="2025"/>
    <n v="5"/>
    <s v="2025-05"/>
    <s v="T2"/>
    <s v="40-49"/>
    <s v="moyen"/>
    <s v="Rapide"/>
    <s v="Faible"/>
  </r>
  <r>
    <s v="TX0000494"/>
    <d v="2025-04-30T00:00:00"/>
    <s v="CLI01644"/>
    <s v="PRD010"/>
    <s v="AG002"/>
    <s v="COM060"/>
    <n v="4"/>
    <n v="95"/>
    <n v="0.05"/>
    <s v="Cash"/>
    <s v="Validée"/>
    <s v="Client 01644"/>
    <s v="Kinshasa"/>
    <s v="Grande entreprise"/>
    <s v="Routeur Business"/>
    <s v="Réseau"/>
    <s v="Standard"/>
    <s v="Agence Lubumbashi 1"/>
    <s v="Lubumbashi"/>
    <s v="Commercial 060"/>
    <n v="29"/>
    <x v="0"/>
    <n v="14"/>
    <n v="6.7"/>
    <n v="4"/>
    <s v="Téléphone"/>
    <n v="70.3"/>
    <n v="380"/>
    <n v="19"/>
    <n v="361"/>
    <n v="281.2"/>
    <n v="79.800000000000011"/>
    <n v="0.22105263157894739"/>
    <n v="2025"/>
    <n v="4"/>
    <s v="2025-04"/>
    <s v="T2"/>
    <s v="22-29"/>
    <s v="moyen"/>
    <s v="Moyen"/>
    <s v="Faible"/>
  </r>
  <r>
    <s v="TX0000496"/>
    <d v="2025-01-28T00:00:00"/>
    <s v="CLI00572"/>
    <s v="PRD005"/>
    <s v="AG011"/>
    <s v="COM051"/>
    <n v="10"/>
    <n v="260"/>
    <n v="0"/>
    <s v="Carte"/>
    <s v="Validée"/>
    <s v="Client 00572"/>
    <s v="Kolwezi"/>
    <s v="Grande entreprise"/>
    <s v="Tablette T10"/>
    <s v="Électronique"/>
    <s v="Standard"/>
    <s v="Agence Matadi 2"/>
    <s v="Matadi"/>
    <s v="Commercial 051"/>
    <n v="46"/>
    <x v="1"/>
    <n v="45"/>
    <n v="3.9"/>
    <n v="8"/>
    <s v="WhatsApp"/>
    <n v="189.8"/>
    <n v="2600"/>
    <n v="0"/>
    <n v="2600"/>
    <n v="1898"/>
    <n v="702"/>
    <n v="0.27"/>
    <n v="2025"/>
    <n v="1"/>
    <s v="2025-01"/>
    <s v="T1"/>
    <s v="40-49"/>
    <s v="faible"/>
    <s v="Long"/>
    <s v="Elevée"/>
  </r>
  <r>
    <s v="TX0000497"/>
    <d v="2025-01-01T00:00:00"/>
    <s v="CLI01879"/>
    <s v="PRD013"/>
    <s v="AG006"/>
    <s v="COM030"/>
    <n v="3"/>
    <n v="110"/>
    <n v="0"/>
    <s v="Carte"/>
    <s v="Validée"/>
    <s v="Client 01879"/>
    <s v="Goma"/>
    <s v="PME"/>
    <s v="Disque SSD 1TB"/>
    <s v="Informatique"/>
    <s v="Premium"/>
    <s v="Agence Kolwezi 1"/>
    <s v="Kolwezi"/>
    <s v="Commercial 030"/>
    <n v="60"/>
    <x v="0"/>
    <n v="65"/>
    <n v="4.0999999999999996"/>
    <n v="8"/>
    <s v="WhatsApp"/>
    <n v="72.599999999999994"/>
    <n v="330"/>
    <n v="0"/>
    <n v="330"/>
    <n v="217.79999999999998"/>
    <n v="112.20000000000002"/>
    <n v="0.34"/>
    <n v="2025"/>
    <n v="1"/>
    <s v="2025-01"/>
    <s v="T1"/>
    <s v="50+"/>
    <s v="faible"/>
    <s v="Long"/>
    <s v="Faible"/>
  </r>
  <r>
    <s v="TX0000498"/>
    <d v="2025-04-15T00:00:00"/>
    <s v="CLI00330"/>
    <s v="PRD006"/>
    <s v="AG008"/>
    <s v="COM055"/>
    <n v="2"/>
    <n v="190"/>
    <n v="0.08"/>
    <s v="Carte"/>
    <s v="Validée"/>
    <s v="Client 00330"/>
    <s v="Goma"/>
    <s v="Indépendant"/>
    <s v="Imprimante Office"/>
    <s v="Bureautique"/>
    <s v="Standard"/>
    <s v="Agence Lubumbashi 2"/>
    <s v="Lubumbashi"/>
    <s v="Commercial 055"/>
    <n v="44"/>
    <x v="0"/>
    <n v="60"/>
    <n v="7.7"/>
    <n v="3"/>
    <s v="Web"/>
    <n v="148.19999999999999"/>
    <n v="380"/>
    <n v="30.400000000000002"/>
    <n v="349.6"/>
    <n v="296.39999999999998"/>
    <n v="53.200000000000045"/>
    <n v="0.15217391304347838"/>
    <n v="2025"/>
    <n v="4"/>
    <s v="2025-04"/>
    <s v="T2"/>
    <s v="40-49"/>
    <s v="bon"/>
    <s v="Rapide"/>
    <s v="Faible"/>
  </r>
  <r>
    <s v="TX0000499"/>
    <d v="2025-06-26T00:00:00"/>
    <s v="CLI01533"/>
    <s v="PRD001"/>
    <s v="AG016"/>
    <s v="COM011"/>
    <n v="1"/>
    <n v="120"/>
    <n v="0.05"/>
    <s v="Mobile Money"/>
    <s v="Validée"/>
    <s v="Client 01533"/>
    <s v="Kolwezi"/>
    <s v="Institution"/>
    <s v="Smartphone A1"/>
    <s v="Électronique"/>
    <s v="Entrée de gamme"/>
    <s v="Agence Kisangani 3"/>
    <s v="Kisangani"/>
    <s v="Commercial 011"/>
    <n v="39"/>
    <x v="1"/>
    <n v="3"/>
    <n v="5.3"/>
    <n v="6"/>
    <s v="Téléphone"/>
    <n v="73.2"/>
    <n v="120"/>
    <n v="6"/>
    <n v="114"/>
    <n v="73.2"/>
    <n v="40.799999999999997"/>
    <n v="0.35789473684210527"/>
    <n v="2025"/>
    <n v="6"/>
    <s v="2025-06"/>
    <s v="T2"/>
    <s v="30-39"/>
    <s v="moyen"/>
    <s v="Moyen"/>
    <s v="Faible"/>
  </r>
  <r>
    <s v="TX0000500"/>
    <d v="2025-05-05T00:00:00"/>
    <s v="CLI01935"/>
    <s v="PRD013"/>
    <s v="AG015"/>
    <s v="COM046"/>
    <n v="4"/>
    <n v="110"/>
    <n v="0"/>
    <s v="Mobile Money"/>
    <s v="Validée"/>
    <s v="Client 01935"/>
    <s v="Goma"/>
    <s v="PME"/>
    <s v="Disque SSD 1TB"/>
    <s v="Informatique"/>
    <s v="Premium"/>
    <s v="Agence Goma 3"/>
    <s v="Goma"/>
    <s v="Commercial 046"/>
    <n v="49"/>
    <x v="0"/>
    <n v="66"/>
    <n v="7.8"/>
    <n v="2"/>
    <s v="Web"/>
    <n v="72.599999999999994"/>
    <n v="440"/>
    <n v="0"/>
    <n v="440"/>
    <n v="290.39999999999998"/>
    <n v="149.60000000000002"/>
    <n v="0.34"/>
    <n v="2025"/>
    <n v="5"/>
    <s v="2025-05"/>
    <s v="T2"/>
    <s v="40-49"/>
    <s v="bon"/>
    <s v="Rapide"/>
    <s v="Faible"/>
  </r>
  <r>
    <s v="TX0000501"/>
    <d v="2025-05-25T00:00:00"/>
    <s v="CLI00547"/>
    <s v="PRD013"/>
    <s v="AG011"/>
    <s v="COM058"/>
    <n v="4"/>
    <n v="110"/>
    <n v="0.08"/>
    <s v="Mobile Money"/>
    <s v="Validée"/>
    <s v="Client 00547"/>
    <s v="Goma"/>
    <s v="Institution"/>
    <s v="Disque SSD 1TB"/>
    <s v="Informatique"/>
    <s v="Premium"/>
    <s v="Agence Matadi 2"/>
    <s v="Matadi"/>
    <s v="Commercial 058"/>
    <n v="26"/>
    <x v="0"/>
    <n v="13"/>
    <n v="6.5"/>
    <n v="5"/>
    <s v="Web"/>
    <n v="72.599999999999994"/>
    <n v="440"/>
    <n v="35.200000000000003"/>
    <n v="404.8"/>
    <n v="290.39999999999998"/>
    <n v="114.40000000000003"/>
    <n v="0.282608695652174"/>
    <n v="2025"/>
    <n v="5"/>
    <s v="2025-05"/>
    <s v="T2"/>
    <s v="22-29"/>
    <s v="moyen"/>
    <s v="Moyen"/>
    <s v="Faible"/>
  </r>
  <r>
    <s v="TX0000502"/>
    <d v="2025-12-09T00:00:00"/>
    <s v="CLI02188"/>
    <s v="PRD003"/>
    <s v="AG012"/>
    <s v="COM032"/>
    <n v="4"/>
    <n v="780"/>
    <n v="0.05"/>
    <s v="Cash"/>
    <s v="Validée"/>
    <s v="Client 02188"/>
    <s v="Kisangani"/>
    <s v="ONG"/>
    <s v="Laptop Business 14"/>
    <s v="Informatique"/>
    <s v="Premium"/>
    <s v="Agence Kolwezi 2"/>
    <s v="Kolwezi"/>
    <s v="Commercial 032"/>
    <n v="47"/>
    <x v="1"/>
    <n v="14"/>
    <n v="6.5"/>
    <n v="5"/>
    <s v="Magasin"/>
    <n v="468"/>
    <n v="3120"/>
    <n v="156"/>
    <n v="2964"/>
    <n v="1872"/>
    <n v="1092"/>
    <n v="0.36842105263157893"/>
    <n v="2025"/>
    <n v="12"/>
    <s v="2025-12"/>
    <s v="T4"/>
    <s v="40-49"/>
    <s v="moyen"/>
    <s v="Moyen"/>
    <s v="Elevée"/>
  </r>
  <r>
    <s v="TX0000504"/>
    <d v="2025-01-23T00:00:00"/>
    <s v="CLI00943"/>
    <s v="PRD005"/>
    <s v="AG016"/>
    <s v="COM013"/>
    <n v="1"/>
    <n v="260"/>
    <n v="0.02"/>
    <s v="Cash"/>
    <s v="Validée"/>
    <s v="Client 00943"/>
    <s v="Goma"/>
    <s v="Indépendant"/>
    <s v="Tablette T10"/>
    <s v="Électronique"/>
    <s v="Standard"/>
    <s v="Agence Kisangani 3"/>
    <s v="Kisangani"/>
    <s v="Commercial 013"/>
    <n v="51"/>
    <x v="0"/>
    <n v="55"/>
    <n v="7.7"/>
    <n v="3"/>
    <s v="Téléphone"/>
    <n v="189.8"/>
    <n v="260"/>
    <n v="5.2"/>
    <n v="254.8"/>
    <n v="189.8"/>
    <n v="65"/>
    <n v="0.25510204081632654"/>
    <n v="2025"/>
    <n v="1"/>
    <s v="2025-01"/>
    <s v="T1"/>
    <s v="50+"/>
    <s v="bon"/>
    <s v="Rapide"/>
    <s v="Faible"/>
  </r>
  <r>
    <s v="TX0000505"/>
    <d v="2025-06-09T00:00:00"/>
    <s v="CLI00737"/>
    <s v="PRD014"/>
    <s v="AG005"/>
    <s v="COM019"/>
    <n v="2"/>
    <n v="65"/>
    <n v="0.1"/>
    <s v="Mobile Money"/>
    <s v="Validée"/>
    <s v="Client 00737"/>
    <s v="Matadi"/>
    <s v="PME"/>
    <s v="Casque Pro"/>
    <s v="Électronique"/>
    <s v="Standard"/>
    <s v="Agence Matadi 1"/>
    <s v="Matadi"/>
    <s v="Commercial 019"/>
    <n v="54"/>
    <x v="0"/>
    <n v="21"/>
    <n v="3.4"/>
    <n v="9"/>
    <s v="Web"/>
    <n v="47.45"/>
    <n v="130"/>
    <n v="13"/>
    <n v="117"/>
    <n v="94.9"/>
    <n v="22.099999999999994"/>
    <n v="0.18888888888888883"/>
    <n v="2025"/>
    <n v="6"/>
    <s v="2025-06"/>
    <s v="T2"/>
    <s v="50+"/>
    <s v="faible"/>
    <s v="Long"/>
    <s v="Faible"/>
  </r>
  <r>
    <s v="TX0000506"/>
    <d v="2025-12-16T00:00:00"/>
    <s v="CLI01728"/>
    <s v="PRD006"/>
    <s v="AG006"/>
    <s v="COM026"/>
    <n v="2"/>
    <n v="190"/>
    <n v="0"/>
    <s v="Mobile Money"/>
    <s v="Validée"/>
    <s v="Client 01728"/>
    <s v="Matadi"/>
    <s v="ONG"/>
    <s v="Imprimante Office"/>
    <s v="Bureautique"/>
    <s v="Standard"/>
    <s v="Agence Kolwezi 1"/>
    <s v="Kolwezi"/>
    <s v="Commercial 026"/>
    <n v="54"/>
    <x v="1"/>
    <n v="34"/>
    <n v="7"/>
    <n v="3"/>
    <s v="Web"/>
    <n v="148.19999999999999"/>
    <n v="380"/>
    <n v="0"/>
    <n v="380"/>
    <n v="296.39999999999998"/>
    <n v="83.600000000000023"/>
    <n v="0.22000000000000006"/>
    <n v="2025"/>
    <n v="12"/>
    <s v="2025-12"/>
    <s v="T4"/>
    <s v="50+"/>
    <s v="bon"/>
    <s v="Rapide"/>
    <s v="Faible"/>
  </r>
  <r>
    <s v="TX0000507"/>
    <d v="2025-01-07T00:00:00"/>
    <s v="CLI01419"/>
    <s v="PRD004"/>
    <s v="AG013"/>
    <s v="COM052"/>
    <n v="1"/>
    <n v="520"/>
    <n v="0"/>
    <s v="Mobile Money"/>
    <s v="Validée"/>
    <s v="Client 01419"/>
    <s v="Lubumbashi"/>
    <s v="Indépendant"/>
    <s v="Laptop Essential 15"/>
    <s v="Informatique"/>
    <s v="Standard"/>
    <s v="Agence Kinshasa 3"/>
    <s v="Kinshasa"/>
    <s v="Commercial 052"/>
    <n v="38"/>
    <x v="0"/>
    <n v="29"/>
    <n v="7.2"/>
    <n v="2"/>
    <s v="Web"/>
    <n v="348.4"/>
    <n v="520"/>
    <n v="0"/>
    <n v="520"/>
    <n v="348.4"/>
    <n v="171.60000000000002"/>
    <n v="0.33000000000000007"/>
    <n v="2025"/>
    <n v="1"/>
    <s v="2025-01"/>
    <s v="T1"/>
    <s v="30-39"/>
    <s v="bon"/>
    <s v="Rapide"/>
    <s v="Moyenne"/>
  </r>
  <r>
    <s v="TX0000508"/>
    <d v="2025-01-28T00:00:00"/>
    <s v="CLI00048"/>
    <s v="PRD016"/>
    <s v="AG013"/>
    <s v="COM028"/>
    <n v="2"/>
    <n v="420"/>
    <n v="0"/>
    <s v="Cash"/>
    <s v="Validée"/>
    <s v="Client 00048"/>
    <s v="Matadi"/>
    <s v="Grande entreprise"/>
    <s v="Projecteur HD"/>
    <s v="Bureautique"/>
    <s v="Premium"/>
    <s v="Agence Kinshasa 3"/>
    <s v="Kinshasa"/>
    <s v="Commercial 028"/>
    <n v="56"/>
    <x v="0"/>
    <n v="14"/>
    <n v="5.0999999999999996"/>
    <n v="6"/>
    <s v="WhatsApp"/>
    <n v="273"/>
    <n v="840"/>
    <n v="0"/>
    <n v="840"/>
    <n v="546"/>
    <n v="294"/>
    <n v="0.35"/>
    <n v="2025"/>
    <n v="1"/>
    <s v="2025-01"/>
    <s v="T1"/>
    <s v="50+"/>
    <s v="moyen"/>
    <s v="Moyen"/>
    <s v="Moyenne"/>
  </r>
  <r>
    <s v="TX0000509"/>
    <d v="2025-06-21T00:00:00"/>
    <s v="CLI01845"/>
    <s v="PRD012"/>
    <s v="AG016"/>
    <s v="COM046"/>
    <n v="5"/>
    <n v="180"/>
    <n v="0"/>
    <s v="Cash"/>
    <s v="Validée"/>
    <s v="Client 01845"/>
    <s v="Kisangani"/>
    <s v="ONG"/>
    <s v="Onduleur 1200VA"/>
    <s v="Énergie"/>
    <s v="Standard"/>
    <s v="Agence Kisangani 3"/>
    <s v="Kisangani"/>
    <s v="Commercial 046"/>
    <n v="60"/>
    <x v="0"/>
    <n v="37"/>
    <n v="8.4"/>
    <n v="1"/>
    <s v="Web"/>
    <n v="129.6"/>
    <n v="900"/>
    <n v="0"/>
    <n v="900"/>
    <n v="648"/>
    <n v="252"/>
    <n v="0.28000000000000003"/>
    <n v="2025"/>
    <n v="6"/>
    <s v="2025-06"/>
    <s v="T2"/>
    <s v="50+"/>
    <s v="bon"/>
    <s v="Rapide"/>
    <s v="Moyenne"/>
  </r>
  <r>
    <s v="TX0000510"/>
    <d v="2025-01-04T00:00:00"/>
    <s v="CLI01737"/>
    <s v="PRD013"/>
    <s v="AG003"/>
    <s v="COM010"/>
    <n v="2"/>
    <n v="110"/>
    <n v="0.08"/>
    <s v="Virement"/>
    <s v="Validée"/>
    <s v="Client 01737"/>
    <s v="Matadi"/>
    <s v="PME"/>
    <s v="Disque SSD 1TB"/>
    <s v="Informatique"/>
    <s v="Premium"/>
    <s v="Agence Goma 1"/>
    <s v="Goma"/>
    <s v="Commercial 010"/>
    <n v="51"/>
    <x v="1"/>
    <n v="9"/>
    <n v="6.1"/>
    <n v="5"/>
    <s v="Magasin"/>
    <n v="72.599999999999994"/>
    <n v="220"/>
    <n v="17.600000000000001"/>
    <n v="202.4"/>
    <n v="145.19999999999999"/>
    <n v="57.200000000000017"/>
    <n v="0.282608695652174"/>
    <n v="2025"/>
    <n v="1"/>
    <s v="2025-01"/>
    <s v="T1"/>
    <s v="50+"/>
    <s v="moyen"/>
    <s v="Moyen"/>
    <s v="Faible"/>
  </r>
  <r>
    <s v="TX0000511"/>
    <d v="2025-05-25T00:00:00"/>
    <s v="CLI01864"/>
    <s v="PRD014"/>
    <s v="AG002"/>
    <s v="COM030"/>
    <n v="1"/>
    <n v="65"/>
    <n v="0.1"/>
    <s v="Mobile Money"/>
    <s v="Validée"/>
    <s v="Client 01864"/>
    <s v="Kinshasa"/>
    <s v="Grande entreprise"/>
    <s v="Casque Pro"/>
    <s v="Électronique"/>
    <s v="Standard"/>
    <s v="Agence Lubumbashi 1"/>
    <s v="Lubumbashi"/>
    <s v="Commercial 030"/>
    <n v="51"/>
    <x v="1"/>
    <n v="51"/>
    <n v="4.7"/>
    <n v="7"/>
    <s v="WhatsApp"/>
    <n v="47.45"/>
    <n v="65"/>
    <n v="6.5"/>
    <n v="58.5"/>
    <n v="47.45"/>
    <n v="11.049999999999997"/>
    <n v="0.18888888888888883"/>
    <n v="2025"/>
    <n v="5"/>
    <s v="2025-05"/>
    <s v="T2"/>
    <s v="50+"/>
    <s v="faible"/>
    <s v="Long"/>
    <s v="Faible"/>
  </r>
  <r>
    <s v="TX0000512"/>
    <d v="2025-06-22T00:00:00"/>
    <s v="CLI00206"/>
    <s v="PRD012"/>
    <s v="AG009"/>
    <s v="COM028"/>
    <n v="3"/>
    <n v="180"/>
    <n v="0.1"/>
    <s v="Cash"/>
    <s v="Validée"/>
    <s v="Client 00206"/>
    <s v="Matadi"/>
    <s v="Institution"/>
    <s v="Onduleur 1200VA"/>
    <s v="Énergie"/>
    <s v="Standard"/>
    <s v="Agence Goma 2"/>
    <s v="Goma"/>
    <s v="Commercial 028"/>
    <n v="59"/>
    <x v="1"/>
    <n v="26"/>
    <n v="3.7"/>
    <n v="8"/>
    <s v="Magasin"/>
    <n v="129.6"/>
    <n v="540"/>
    <n v="54"/>
    <n v="486"/>
    <n v="388.79999999999995"/>
    <n v="97.200000000000045"/>
    <n v="0.20000000000000009"/>
    <n v="2025"/>
    <n v="6"/>
    <s v="2025-06"/>
    <s v="T2"/>
    <s v="50+"/>
    <s v="faible"/>
    <s v="Long"/>
    <s v="Faible"/>
  </r>
  <r>
    <s v="TX0000513"/>
    <d v="2025-01-09T00:00:00"/>
    <s v="CLI00733"/>
    <s v="PRD010"/>
    <s v="AG012"/>
    <s v="COM027"/>
    <n v="2"/>
    <n v="95"/>
    <n v="0"/>
    <s v="Cash"/>
    <s v="Validée"/>
    <s v="Client 00733"/>
    <s v="Lubumbashi"/>
    <s v="Indépendant"/>
    <s v="Routeur Business"/>
    <s v="Réseau"/>
    <s v="Standard"/>
    <s v="Agence Kolwezi 2"/>
    <s v="Kolwezi"/>
    <s v="Commercial 027"/>
    <n v="53"/>
    <x v="1"/>
    <n v="27"/>
    <n v="4.7"/>
    <n v="7"/>
    <s v="Web"/>
    <n v="70.3"/>
    <n v="190"/>
    <n v="0"/>
    <n v="190"/>
    <n v="140.6"/>
    <n v="49.400000000000006"/>
    <n v="0.26"/>
    <n v="2025"/>
    <n v="1"/>
    <s v="2025-01"/>
    <s v="T1"/>
    <s v="50+"/>
    <s v="faible"/>
    <s v="Long"/>
    <s v="Faible"/>
  </r>
  <r>
    <s v="TX0000514"/>
    <d v="2025-07-22T00:00:00"/>
    <s v="CLI01464"/>
    <s v="PRD002"/>
    <s v="AG018"/>
    <s v="COM048"/>
    <n v="1"/>
    <n v="350"/>
    <n v="0"/>
    <s v="Cash"/>
    <s v="Validée"/>
    <s v="Client 01464"/>
    <s v="Kinshasa"/>
    <s v="Institution"/>
    <s v="Smartphone Pro X"/>
    <s v="Électronique"/>
    <s v="Premium"/>
    <s v="Agence Kolwezi 3"/>
    <s v="Kolwezi"/>
    <s v="Commercial 048"/>
    <n v="55"/>
    <x v="1"/>
    <n v="38"/>
    <n v="3.7"/>
    <n v="8"/>
    <s v="Web"/>
    <n v="213.5"/>
    <n v="350"/>
    <n v="0"/>
    <n v="350"/>
    <n v="213.5"/>
    <n v="136.5"/>
    <n v="0.39"/>
    <n v="2025"/>
    <n v="7"/>
    <s v="2025-07"/>
    <s v="T3"/>
    <s v="50+"/>
    <s v="faible"/>
    <s v="Long"/>
    <s v="Faible"/>
  </r>
  <r>
    <s v="TX0000516"/>
    <d v="2025-06-17T00:00:00"/>
    <s v="CLI02145"/>
    <s v="PRD015"/>
    <s v="AG002"/>
    <s v="COM005"/>
    <n v="2"/>
    <n v="48"/>
    <n v="0"/>
    <s v="Cash"/>
    <s v="Validée"/>
    <s v="Client 02145"/>
    <s v="Kolwezi"/>
    <s v="Institution"/>
    <s v="Webcam HD"/>
    <s v="Électronique"/>
    <s v="Entrée de gamme"/>
    <s v="Agence Lubumbashi 1"/>
    <s v="Lubumbashi"/>
    <s v="Commercial 005"/>
    <n v="45"/>
    <x v="1"/>
    <n v="7"/>
    <n v="6"/>
    <n v="4"/>
    <s v="WhatsApp"/>
    <n v="37.44"/>
    <n v="96"/>
    <n v="0"/>
    <n v="96"/>
    <n v="74.88"/>
    <n v="21.120000000000005"/>
    <n v="0.22000000000000006"/>
    <n v="2025"/>
    <n v="6"/>
    <s v="2025-06"/>
    <s v="T2"/>
    <s v="40-49"/>
    <s v="moyen"/>
    <s v="Moyen"/>
    <s v="Faible"/>
  </r>
  <r>
    <s v="TX0000517"/>
    <d v="2025-07-25T00:00:00"/>
    <s v="CLI00323"/>
    <s v="PRD011"/>
    <s v="AG010"/>
    <s v="COM028"/>
    <n v="1"/>
    <n v="240"/>
    <n v="0.08"/>
    <s v="Virement"/>
    <s v="Validée"/>
    <s v="Client 00323"/>
    <s v="Kinshasa"/>
    <s v="PME"/>
    <s v="Switch 24 Ports"/>
    <s v="Réseau"/>
    <s v="Premium"/>
    <s v="Agence Kisangani 2"/>
    <s v="Kisangani"/>
    <s v="Commercial 028"/>
    <n v="29"/>
    <x v="1"/>
    <n v="42"/>
    <n v="4.8"/>
    <n v="6"/>
    <s v="Magasin"/>
    <n v="177.6"/>
    <n v="240"/>
    <n v="19.2"/>
    <n v="220.8"/>
    <n v="177.6"/>
    <n v="43.200000000000017"/>
    <n v="0.19565217391304354"/>
    <n v="2025"/>
    <n v="7"/>
    <s v="2025-07"/>
    <s v="T3"/>
    <s v="22-29"/>
    <s v="faible"/>
    <s v="Moyen"/>
    <s v="Faible"/>
  </r>
  <r>
    <s v="TX0000518"/>
    <d v="2025-04-09T00:00:00"/>
    <s v="CLI00325"/>
    <s v="PRD014"/>
    <s v="AG004"/>
    <s v="COM051"/>
    <n v="3"/>
    <n v="65"/>
    <n v="0"/>
    <s v="Carte"/>
    <s v="Validée"/>
    <s v="Client 00325"/>
    <s v="Matadi"/>
    <s v="Institution"/>
    <s v="Casque Pro"/>
    <s v="Électronique"/>
    <s v="Standard"/>
    <s v="Agence Kisangani 1"/>
    <s v="Kisangani"/>
    <s v="Commercial 051"/>
    <n v="56"/>
    <x v="0"/>
    <n v="16"/>
    <n v="6.3"/>
    <n v="5"/>
    <s v="WhatsApp"/>
    <n v="47.45"/>
    <n v="195"/>
    <n v="0"/>
    <n v="195"/>
    <n v="142.35000000000002"/>
    <n v="52.649999999999977"/>
    <n v="0.26999999999999991"/>
    <n v="2025"/>
    <n v="4"/>
    <s v="2025-04"/>
    <s v="T2"/>
    <s v="50+"/>
    <s v="moyen"/>
    <s v="Moyen"/>
    <s v="Faible"/>
  </r>
  <r>
    <s v="TX0000519"/>
    <d v="2025-08-12T00:00:00"/>
    <s v="CLI00201"/>
    <s v="PRD012"/>
    <s v="AG016"/>
    <s v="COM014"/>
    <n v="1"/>
    <n v="180"/>
    <n v="0.08"/>
    <s v="Carte"/>
    <s v="Validée"/>
    <s v="Client 00201"/>
    <s v="Lubumbashi"/>
    <s v="Grande entreprise"/>
    <s v="Onduleur 1200VA"/>
    <s v="Énergie"/>
    <s v="Standard"/>
    <s v="Agence Kisangani 3"/>
    <s v="Kisangani"/>
    <s v="Commercial 014"/>
    <n v="22"/>
    <x v="0"/>
    <n v="49"/>
    <n v="7.3"/>
    <n v="3"/>
    <s v="WhatsApp"/>
    <n v="129.6"/>
    <n v="180"/>
    <n v="14.4"/>
    <n v="165.6"/>
    <n v="129.6"/>
    <n v="36"/>
    <n v="0.21739130434782608"/>
    <n v="2025"/>
    <n v="8"/>
    <s v="2025-08"/>
    <s v="T3"/>
    <s v="22-29"/>
    <s v="bon"/>
    <s v="Rapide"/>
    <s v="Faible"/>
  </r>
  <r>
    <s v="TX0000520"/>
    <d v="2025-05-26T00:00:00"/>
    <s v="CLI00188"/>
    <s v="PRD013"/>
    <s v="AG006"/>
    <s v="COM044"/>
    <n v="1"/>
    <n v="110"/>
    <n v="0.02"/>
    <s v="Carte"/>
    <s v="Validée"/>
    <s v="Client 00188"/>
    <s v="Goma"/>
    <s v="ONG"/>
    <s v="Disque SSD 1TB"/>
    <s v="Informatique"/>
    <s v="Premium"/>
    <s v="Agence Kolwezi 1"/>
    <s v="Kolwezi"/>
    <s v="Commercial 044"/>
    <n v="59"/>
    <x v="1"/>
    <n v="29"/>
    <n v="5"/>
    <n v="8"/>
    <s v="Téléphone"/>
    <n v="72.599999999999994"/>
    <n v="110"/>
    <n v="2.2000000000000002"/>
    <n v="107.8"/>
    <n v="72.599999999999994"/>
    <n v="35.200000000000003"/>
    <n v="0.32653061224489799"/>
    <n v="2025"/>
    <n v="5"/>
    <s v="2025-05"/>
    <s v="T2"/>
    <s v="50+"/>
    <s v="moyen"/>
    <s v="Long"/>
    <s v="Faible"/>
  </r>
  <r>
    <s v="TX0000521"/>
    <d v="2025-08-25T00:00:00"/>
    <s v="CLI01698"/>
    <s v="PRD005"/>
    <s v="AG009"/>
    <s v="COM018"/>
    <n v="3"/>
    <n v="260"/>
    <n v="0.08"/>
    <s v="Virement"/>
    <s v="Validée"/>
    <s v="Client 01698"/>
    <s v="Kinshasa"/>
    <s v="Institution"/>
    <s v="Tablette T10"/>
    <s v="Électronique"/>
    <s v="Standard"/>
    <s v="Agence Goma 2"/>
    <s v="Goma"/>
    <s v="Commercial 018"/>
    <n v="25"/>
    <x v="1"/>
    <n v="29"/>
    <n v="6.3"/>
    <n v="5"/>
    <s v="Web"/>
    <n v="189.8"/>
    <n v="780"/>
    <n v="62.4"/>
    <n v="717.6"/>
    <n v="569.40000000000009"/>
    <n v="148.19999999999993"/>
    <n v="0.20652173913043467"/>
    <n v="2025"/>
    <n v="8"/>
    <s v="2025-08"/>
    <s v="T3"/>
    <s v="22-29"/>
    <s v="moyen"/>
    <s v="Moyen"/>
    <s v="Moyenne"/>
  </r>
  <r>
    <s v="TX0000522"/>
    <d v="2025-02-02T00:00:00"/>
    <s v="CLI00921"/>
    <s v="PRD001"/>
    <s v="AG011"/>
    <s v="COM015"/>
    <n v="3"/>
    <n v="120"/>
    <n v="0.08"/>
    <s v="Mobile Money"/>
    <s v="Validée"/>
    <s v="Client 00921"/>
    <s v="Kisangani"/>
    <s v="Indépendant"/>
    <s v="Smartphone A1"/>
    <s v="Électronique"/>
    <s v="Entrée de gamme"/>
    <s v="Agence Matadi 2"/>
    <s v="Matadi"/>
    <s v="Commercial 015"/>
    <n v="49"/>
    <x v="1"/>
    <n v="23"/>
    <n v="8.1"/>
    <n v="3"/>
    <s v="WhatsApp"/>
    <n v="73.2"/>
    <n v="360"/>
    <n v="28.8"/>
    <n v="331.2"/>
    <n v="219.60000000000002"/>
    <n v="111.59999999999997"/>
    <n v="0.33695652173913032"/>
    <n v="2025"/>
    <n v="2"/>
    <s v="2025-02"/>
    <s v="T1"/>
    <s v="40-49"/>
    <s v="bon"/>
    <s v="Rapide"/>
    <s v="Faible"/>
  </r>
  <r>
    <s v="TX0000523"/>
    <d v="2025-10-13T00:00:00"/>
    <s v="CLI01347"/>
    <s v="PRD013"/>
    <s v="AG016"/>
    <s v="COM060"/>
    <n v="1"/>
    <n v="110"/>
    <n v="0"/>
    <s v="Virement"/>
    <s v="Validée"/>
    <s v="Client 01347"/>
    <s v="Goma"/>
    <s v="ONG"/>
    <s v="Disque SSD 1TB"/>
    <s v="Informatique"/>
    <s v="Premium"/>
    <s v="Agence Kisangani 3"/>
    <s v="Kisangani"/>
    <s v="Commercial 060"/>
    <n v="25"/>
    <x v="1"/>
    <n v="46"/>
    <n v="5.0999999999999996"/>
    <n v="6"/>
    <s v="Téléphone"/>
    <n v="72.599999999999994"/>
    <n v="110"/>
    <n v="0"/>
    <n v="110"/>
    <n v="72.599999999999994"/>
    <n v="37.400000000000006"/>
    <n v="0.34"/>
    <n v="2025"/>
    <n v="10"/>
    <s v="2025-10"/>
    <s v="T4"/>
    <s v="22-29"/>
    <s v="moyen"/>
    <s v="Moyen"/>
    <s v="Faible"/>
  </r>
  <r>
    <s v="TX0000524"/>
    <d v="2025-09-13T00:00:00"/>
    <s v="CLI01821"/>
    <s v="PRD005"/>
    <s v="AG015"/>
    <s v="COM055"/>
    <n v="1"/>
    <n v="260"/>
    <n v="0.08"/>
    <s v="Carte"/>
    <s v="Validée"/>
    <s v="Client 01821"/>
    <s v="Goma"/>
    <s v="Indépendant"/>
    <s v="Tablette T10"/>
    <s v="Électronique"/>
    <s v="Standard"/>
    <s v="Agence Goma 3"/>
    <s v="Goma"/>
    <s v="Commercial 055"/>
    <n v="48"/>
    <x v="0"/>
    <n v="54"/>
    <n v="9.3000000000000007"/>
    <n v="1"/>
    <s v="Magasin"/>
    <n v="189.8"/>
    <n v="260"/>
    <n v="20.8"/>
    <n v="239.2"/>
    <n v="189.8"/>
    <n v="49.399999999999977"/>
    <n v="0.2065217391304347"/>
    <n v="2025"/>
    <n v="9"/>
    <s v="2025-09"/>
    <s v="T3"/>
    <s v="40-49"/>
    <s v="excellent"/>
    <s v="Rapide"/>
    <s v="Faible"/>
  </r>
  <r>
    <s v="TX0000525"/>
    <d v="2025-10-20T00:00:00"/>
    <s v="CLI01048"/>
    <s v="PRD013"/>
    <s v="AG002"/>
    <s v="COM043"/>
    <n v="10"/>
    <n v="110"/>
    <n v="0.08"/>
    <s v="Mobile Money"/>
    <s v="Validée"/>
    <s v="Client 01048"/>
    <s v="Goma"/>
    <s v="Grande entreprise"/>
    <s v="Disque SSD 1TB"/>
    <s v="Informatique"/>
    <s v="Premium"/>
    <s v="Agence Lubumbashi 1"/>
    <s v="Lubumbashi"/>
    <s v="Commercial 043"/>
    <n v="50"/>
    <x v="1"/>
    <n v="56"/>
    <n v="8.6999999999999993"/>
    <n v="2"/>
    <s v="Web"/>
    <n v="72.599999999999994"/>
    <n v="1100"/>
    <n v="88"/>
    <n v="1012"/>
    <n v="726"/>
    <n v="286"/>
    <n v="0.28260869565217389"/>
    <n v="2025"/>
    <n v="10"/>
    <s v="2025-10"/>
    <s v="T4"/>
    <s v="50+"/>
    <s v="bon"/>
    <s v="Rapide"/>
    <s v="Elevée"/>
  </r>
  <r>
    <s v="TX0000526"/>
    <d v="2025-09-29T00:00:00"/>
    <s v="CLI01415"/>
    <s v="PRD003"/>
    <s v="AG007"/>
    <s v="COM048"/>
    <n v="2"/>
    <n v="780"/>
    <n v="0"/>
    <s v="Virement"/>
    <s v="Validée"/>
    <s v="Client 01415"/>
    <s v="Lubumbashi"/>
    <s v="Grande entreprise"/>
    <s v="Laptop Business 14"/>
    <s v="Informatique"/>
    <s v="Premium"/>
    <s v="Agence Kinshasa 2"/>
    <s v="Kinshasa"/>
    <s v="Commercial 048"/>
    <n v="42"/>
    <x v="0"/>
    <n v="52"/>
    <n v="6.6"/>
    <n v="3"/>
    <s v="Web"/>
    <n v="468"/>
    <n v="1560"/>
    <n v="0"/>
    <n v="1560"/>
    <n v="936"/>
    <n v="624"/>
    <n v="0.4"/>
    <n v="2025"/>
    <n v="9"/>
    <s v="2025-09"/>
    <s v="T3"/>
    <s v="40-49"/>
    <s v="moyen"/>
    <s v="Rapide"/>
    <s v="Elevée"/>
  </r>
  <r>
    <s v="TX0000527"/>
    <d v="2025-10-27T00:00:00"/>
    <s v="CLI01915"/>
    <s v="PRD001"/>
    <s v="AG005"/>
    <s v="COM040"/>
    <n v="1"/>
    <n v="120"/>
    <n v="0"/>
    <s v="Mobile Money"/>
    <s v="Validée"/>
    <s v="Client 01915"/>
    <s v="Kinshasa"/>
    <s v="Grande entreprise"/>
    <s v="Smartphone A1"/>
    <s v="Électronique"/>
    <s v="Entrée de gamme"/>
    <s v="Agence Matadi 1"/>
    <s v="Matadi"/>
    <s v="Commercial 040"/>
    <n v="52"/>
    <x v="1"/>
    <n v="42"/>
    <n v="3.8"/>
    <n v="9"/>
    <s v="Magasin"/>
    <n v="73.2"/>
    <n v="120"/>
    <n v="0"/>
    <n v="120"/>
    <n v="73.2"/>
    <n v="46.8"/>
    <n v="0.38999999999999996"/>
    <n v="2025"/>
    <n v="10"/>
    <s v="2025-10"/>
    <s v="T4"/>
    <s v="50+"/>
    <s v="faible"/>
    <s v="Long"/>
    <s v="Faible"/>
  </r>
  <r>
    <s v="TX0000528"/>
    <d v="2025-09-09T00:00:00"/>
    <s v="CLI00096"/>
    <s v="PRD010"/>
    <s v="AG018"/>
    <s v="COM048"/>
    <n v="20"/>
    <n v="95"/>
    <n v="0.02"/>
    <s v="Carte"/>
    <s v="Validée"/>
    <s v="Client 00096"/>
    <s v="Goma"/>
    <s v="Institution"/>
    <s v="Routeur Business"/>
    <s v="Réseau"/>
    <s v="Standard"/>
    <s v="Agence Kolwezi 3"/>
    <s v="Kolwezi"/>
    <s v="Commercial 048"/>
    <n v="38"/>
    <x v="0"/>
    <n v="57"/>
    <n v="6.9"/>
    <n v="4"/>
    <s v="Téléphone"/>
    <n v="70.3"/>
    <n v="1900"/>
    <n v="38"/>
    <n v="1862"/>
    <n v="1406"/>
    <n v="456"/>
    <n v="0.24489795918367346"/>
    <n v="2025"/>
    <n v="9"/>
    <s v="2025-09"/>
    <s v="T3"/>
    <s v="30-39"/>
    <s v="moyen"/>
    <s v="Moyen"/>
    <s v="Elevée"/>
  </r>
  <r>
    <s v="TX0000529"/>
    <d v="2025-04-19T00:00:00"/>
    <s v="CLI00506"/>
    <s v="PRD004"/>
    <s v="AG013"/>
    <s v="COM014"/>
    <n v="20"/>
    <n v="520"/>
    <n v="0.05"/>
    <s v="Virement"/>
    <s v="Validée"/>
    <s v="Client 00506"/>
    <s v="Matadi"/>
    <s v="PME"/>
    <s v="Laptop Essential 15"/>
    <s v="Informatique"/>
    <s v="Standard"/>
    <s v="Agence Kinshasa 3"/>
    <s v="Kinshasa"/>
    <s v="Commercial 014"/>
    <n v="33"/>
    <x v="1"/>
    <n v="17"/>
    <n v="7.3"/>
    <n v="3"/>
    <s v="Téléphone"/>
    <n v="348.4"/>
    <n v="10400"/>
    <n v="520"/>
    <n v="9880"/>
    <n v="6968"/>
    <n v="2912"/>
    <n v="0.29473684210526313"/>
    <n v="2025"/>
    <n v="4"/>
    <s v="2025-04"/>
    <s v="T2"/>
    <s v="30-39"/>
    <s v="bon"/>
    <s v="Rapide"/>
    <s v="Elevée"/>
  </r>
  <r>
    <s v="TX0000530"/>
    <d v="2025-06-30T00:00:00"/>
    <s v="CLI00652"/>
    <s v="PRD013"/>
    <s v="AG018"/>
    <s v="COM027"/>
    <n v="4"/>
    <n v="110"/>
    <n v="0.02"/>
    <s v="Virement"/>
    <s v="Validée"/>
    <s v="Client 00652"/>
    <s v="Lubumbashi"/>
    <s v="Grande entreprise"/>
    <s v="Disque SSD 1TB"/>
    <s v="Informatique"/>
    <s v="Premium"/>
    <s v="Agence Kolwezi 3"/>
    <s v="Kolwezi"/>
    <s v="Commercial 027"/>
    <n v="30"/>
    <x v="0"/>
    <n v="72"/>
    <n v="4.7"/>
    <n v="7"/>
    <s v="Magasin"/>
    <n v="72.599999999999994"/>
    <n v="440"/>
    <n v="8.8000000000000007"/>
    <n v="431.2"/>
    <n v="290.39999999999998"/>
    <n v="140.80000000000001"/>
    <n v="0.32653061224489799"/>
    <n v="2025"/>
    <n v="6"/>
    <s v="2025-06"/>
    <s v="T2"/>
    <s v="30-39"/>
    <s v="faible"/>
    <s v="Long"/>
    <s v="Faible"/>
  </r>
  <r>
    <s v="TX0000531"/>
    <d v="2025-10-02T00:00:00"/>
    <s v="CLI01488"/>
    <s v="PRD004"/>
    <s v="AG011"/>
    <s v="COM033"/>
    <n v="3"/>
    <n v="520"/>
    <n v="0"/>
    <s v="Mobile Money"/>
    <s v="Validée"/>
    <s v="Client 01488"/>
    <s v="Matadi"/>
    <s v="Indépendant"/>
    <s v="Laptop Essential 15"/>
    <s v="Informatique"/>
    <s v="Standard"/>
    <s v="Agence Matadi 2"/>
    <s v="Matadi"/>
    <s v="Commercial 033"/>
    <n v="46"/>
    <x v="0"/>
    <n v="69"/>
    <n v="7.1"/>
    <n v="4"/>
    <s v="Téléphone"/>
    <n v="348.4"/>
    <n v="1560"/>
    <n v="0"/>
    <n v="1560"/>
    <n v="1045.1999999999998"/>
    <n v="514.80000000000018"/>
    <n v="0.33000000000000013"/>
    <n v="2025"/>
    <n v="10"/>
    <s v="2025-10"/>
    <s v="T4"/>
    <s v="40-49"/>
    <s v="bon"/>
    <s v="Moyen"/>
    <s v="Elevée"/>
  </r>
  <r>
    <s v="TX0000532"/>
    <d v="2025-04-01T00:00:00"/>
    <s v="CLI01901"/>
    <s v="PRD010"/>
    <s v="AG015"/>
    <s v="COM011"/>
    <n v="2"/>
    <n v="95"/>
    <n v="0"/>
    <s v="Virement"/>
    <s v="Validée"/>
    <s v="Client 01901"/>
    <s v="Kolwezi"/>
    <s v="Institution"/>
    <s v="Routeur Business"/>
    <s v="Réseau"/>
    <s v="Standard"/>
    <s v="Agence Goma 3"/>
    <s v="Goma"/>
    <s v="Commercial 011"/>
    <n v="56"/>
    <x v="1"/>
    <n v="38"/>
    <n v="6.4"/>
    <n v="4"/>
    <s v="WhatsApp"/>
    <n v="70.3"/>
    <n v="190"/>
    <n v="0"/>
    <n v="190"/>
    <n v="140.6"/>
    <n v="49.400000000000006"/>
    <n v="0.26"/>
    <n v="2025"/>
    <n v="4"/>
    <s v="2025-04"/>
    <s v="T2"/>
    <s v="50+"/>
    <s v="moyen"/>
    <s v="Moyen"/>
    <s v="Faible"/>
  </r>
  <r>
    <s v="TX0000533"/>
    <d v="2025-12-01T00:00:00"/>
    <s v="CLI00706"/>
    <s v="PRD004"/>
    <s v="AG013"/>
    <s v="COM038"/>
    <n v="2"/>
    <n v="520"/>
    <n v="0.02"/>
    <s v="Mobile Money"/>
    <s v="Validée"/>
    <s v="Client 00706"/>
    <s v="Kisangani"/>
    <s v="Institution"/>
    <s v="Laptop Essential 15"/>
    <s v="Informatique"/>
    <s v="Standard"/>
    <s v="Agence Kinshasa 3"/>
    <s v="Kinshasa"/>
    <s v="Commercial 038"/>
    <n v="45"/>
    <x v="0"/>
    <n v="61"/>
    <n v="5.6"/>
    <n v="5"/>
    <s v="WhatsApp"/>
    <n v="348.4"/>
    <n v="1040"/>
    <n v="20.8"/>
    <n v="1019.2"/>
    <n v="696.8"/>
    <n v="322.40000000000009"/>
    <n v="0.31632653061224497"/>
    <n v="2025"/>
    <n v="12"/>
    <s v="2025-12"/>
    <s v="T4"/>
    <s v="40-49"/>
    <s v="moyen"/>
    <s v="Moyen"/>
    <s v="Elevée"/>
  </r>
  <r>
    <s v="TX0000535"/>
    <d v="2025-11-17T00:00:00"/>
    <s v="CLI01332"/>
    <s v="PRD008"/>
    <s v="AG006"/>
    <s v="COM037"/>
    <n v="2"/>
    <n v="35"/>
    <n v="0"/>
    <s v="Virement"/>
    <s v="Validée"/>
    <s v="Client 01332"/>
    <s v="Goma"/>
    <s v="Grande entreprise"/>
    <s v="Clavier Pro"/>
    <s v="Informatique"/>
    <s v="Entrée de gamme"/>
    <s v="Agence Kolwezi 1"/>
    <s v="Kolwezi"/>
    <s v="Commercial 037"/>
    <n v="24"/>
    <x v="1"/>
    <n v="42"/>
    <n v="9.3000000000000007"/>
    <n v="1"/>
    <s v="WhatsApp"/>
    <n v="24.15"/>
    <n v="70"/>
    <n v="0"/>
    <n v="70"/>
    <n v="48.3"/>
    <n v="21.700000000000003"/>
    <n v="0.31000000000000005"/>
    <n v="2025"/>
    <n v="11"/>
    <s v="2025-11"/>
    <s v="T4"/>
    <s v="22-29"/>
    <s v="excellent"/>
    <s v="Rapide"/>
    <s v="Faible"/>
  </r>
  <r>
    <s v="TX0000536"/>
    <d v="2025-07-08T00:00:00"/>
    <s v="CLI01595"/>
    <s v="PRD007"/>
    <s v="AG006"/>
    <s v="COM030"/>
    <n v="4"/>
    <n v="145"/>
    <n v="0"/>
    <s v="Carte"/>
    <s v="Validée"/>
    <s v="Client 01595"/>
    <s v="Goma"/>
    <s v="Institution"/>
    <s v="Écran 24 pouces"/>
    <s v="Informatique"/>
    <s v="Standard"/>
    <s v="Agence Kolwezi 1"/>
    <s v="Kolwezi"/>
    <s v="Commercial 030"/>
    <n v="41"/>
    <x v="0"/>
    <n v="52"/>
    <n v="7.1"/>
    <n v="4"/>
    <s v="Web"/>
    <n v="97.15"/>
    <n v="580"/>
    <n v="0"/>
    <n v="580"/>
    <n v="388.6"/>
    <n v="191.39999999999998"/>
    <n v="0.32999999999999996"/>
    <n v="2025"/>
    <n v="7"/>
    <s v="2025-07"/>
    <s v="T3"/>
    <s v="40-49"/>
    <s v="bon"/>
    <s v="Moyen"/>
    <s v="Moyenne"/>
  </r>
  <r>
    <s v="TX0000537"/>
    <d v="2025-02-03T00:00:00"/>
    <s v="CLI00819"/>
    <s v="PRD011"/>
    <s v="AG005"/>
    <s v="COM019"/>
    <n v="5"/>
    <n v="240"/>
    <n v="0"/>
    <s v="Mobile Money"/>
    <s v="Validée"/>
    <s v="Client 00819"/>
    <s v="Goma"/>
    <s v="PME"/>
    <s v="Switch 24 Ports"/>
    <s v="Réseau"/>
    <s v="Premium"/>
    <s v="Agence Matadi 1"/>
    <s v="Matadi"/>
    <s v="Commercial 019"/>
    <n v="43"/>
    <x v="0"/>
    <n v="31"/>
    <n v="7.4"/>
    <n v="4"/>
    <s v="Téléphone"/>
    <n v="177.6"/>
    <n v="1200"/>
    <n v="0"/>
    <n v="1200"/>
    <n v="888"/>
    <n v="312"/>
    <n v="0.26"/>
    <n v="2025"/>
    <n v="2"/>
    <s v="2025-02"/>
    <s v="T1"/>
    <s v="40-49"/>
    <s v="bon"/>
    <s v="Moyen"/>
    <s v="Elevée"/>
  </r>
  <r>
    <s v="TX0000538"/>
    <d v="2025-09-14T00:00:00"/>
    <s v="CLI01818"/>
    <s v="PRD008"/>
    <s v="AG006"/>
    <s v="COM030"/>
    <n v="3"/>
    <n v="35"/>
    <n v="0.1"/>
    <s v="Virement"/>
    <s v="Validée"/>
    <s v="Client 01818"/>
    <s v="Lubumbashi"/>
    <s v="Indépendant"/>
    <s v="Clavier Pro"/>
    <s v="Informatique"/>
    <s v="Entrée de gamme"/>
    <s v="Agence Kolwezi 1"/>
    <s v="Kolwezi"/>
    <s v="Commercial 030"/>
    <n v="41"/>
    <x v="1"/>
    <n v="55"/>
    <n v="6.5"/>
    <n v="5"/>
    <s v="WhatsApp"/>
    <n v="24.15"/>
    <n v="105"/>
    <n v="10.5"/>
    <n v="94.5"/>
    <n v="72.449999999999989"/>
    <n v="22.050000000000011"/>
    <n v="0.23333333333333345"/>
    <n v="2025"/>
    <n v="9"/>
    <s v="2025-09"/>
    <s v="T3"/>
    <s v="40-49"/>
    <s v="moyen"/>
    <s v="Moyen"/>
    <s v="Faible"/>
  </r>
  <r>
    <s v="TX0000539"/>
    <d v="2025-02-05T00:00:00"/>
    <s v="CLI00653"/>
    <s v="PRD008"/>
    <s v="AG015"/>
    <s v="COM047"/>
    <n v="1"/>
    <n v="35"/>
    <n v="0"/>
    <s v="Mobile Money"/>
    <s v="Validée"/>
    <s v="Client 00653"/>
    <s v="Kinshasa"/>
    <s v="Grande entreprise"/>
    <s v="Clavier Pro"/>
    <s v="Informatique"/>
    <s v="Entrée de gamme"/>
    <s v="Agence Goma 3"/>
    <s v="Goma"/>
    <s v="Commercial 047"/>
    <n v="32"/>
    <x v="1"/>
    <n v="72"/>
    <n v="8.3000000000000007"/>
    <n v="2"/>
    <s v="Magasin"/>
    <n v="24.15"/>
    <n v="35"/>
    <n v="0"/>
    <n v="35"/>
    <n v="24.15"/>
    <n v="10.850000000000001"/>
    <n v="0.31000000000000005"/>
    <n v="2025"/>
    <n v="2"/>
    <s v="2025-02"/>
    <s v="T1"/>
    <s v="30-39"/>
    <s v="bon"/>
    <s v="Rapide"/>
    <s v="Faible"/>
  </r>
  <r>
    <s v="TX0000540"/>
    <d v="2025-08-02T00:00:00"/>
    <s v="CLI01926"/>
    <s v="PRD013"/>
    <s v="AG003"/>
    <s v="COM051"/>
    <n v="10"/>
    <n v="110"/>
    <n v="0.08"/>
    <s v="Cash"/>
    <s v="Validée"/>
    <s v="Client 01926"/>
    <s v="Kinshasa"/>
    <s v="Indépendant"/>
    <s v="Disque SSD 1TB"/>
    <s v="Informatique"/>
    <s v="Premium"/>
    <s v="Agence Goma 1"/>
    <s v="Goma"/>
    <s v="Commercial 051"/>
    <n v="33"/>
    <x v="0"/>
    <n v="9"/>
    <n v="8.1999999999999993"/>
    <n v="1"/>
    <s v="Web"/>
    <n v="72.599999999999994"/>
    <n v="1100"/>
    <n v="88"/>
    <n v="1012"/>
    <n v="726"/>
    <n v="286"/>
    <n v="0.28260869565217389"/>
    <n v="2025"/>
    <n v="8"/>
    <s v="2025-08"/>
    <s v="T3"/>
    <s v="30-39"/>
    <s v="bon"/>
    <s v="Rapide"/>
    <s v="Elevée"/>
  </r>
  <r>
    <s v="TX0000541"/>
    <d v="2025-01-31T00:00:00"/>
    <s v="CLI02188"/>
    <s v="PRD001"/>
    <s v="AG015"/>
    <s v="COM031"/>
    <n v="2"/>
    <n v="120"/>
    <n v="0.02"/>
    <s v="Cash"/>
    <s v="Validée"/>
    <s v="Client 02188"/>
    <s v="Kisangani"/>
    <s v="ONG"/>
    <s v="Smartphone A1"/>
    <s v="Électronique"/>
    <s v="Entrée de gamme"/>
    <s v="Agence Goma 3"/>
    <s v="Goma"/>
    <s v="Commercial 031"/>
    <n v="47"/>
    <x v="1"/>
    <n v="14"/>
    <n v="7.2"/>
    <n v="3"/>
    <s v="Téléphone"/>
    <n v="73.2"/>
    <n v="240"/>
    <n v="4.8"/>
    <n v="235.2"/>
    <n v="146.4"/>
    <n v="88.799999999999983"/>
    <n v="0.37755102040816318"/>
    <n v="2025"/>
    <n v="1"/>
    <s v="2025-01"/>
    <s v="T1"/>
    <s v="40-49"/>
    <s v="bon"/>
    <s v="Rapide"/>
    <s v="Faible"/>
  </r>
  <r>
    <s v="TX0000542"/>
    <d v="2025-03-05T00:00:00"/>
    <s v="CLI02096"/>
    <s v="PRD015"/>
    <s v="AG014"/>
    <s v="COM051"/>
    <n v="1"/>
    <n v="48"/>
    <n v="0.1"/>
    <s v="Virement"/>
    <s v="Validée"/>
    <s v="Client 02096"/>
    <s v="Kolwezi"/>
    <s v="Indépendant"/>
    <s v="Webcam HD"/>
    <s v="Électronique"/>
    <s v="Entrée de gamme"/>
    <s v="Agence Lubumbashi 3"/>
    <s v="Lubumbashi"/>
    <s v="Commercial 051"/>
    <n v="31"/>
    <x v="1"/>
    <n v="6"/>
    <n v="8.1999999999999993"/>
    <n v="1"/>
    <s v="Téléphone"/>
    <n v="37.44"/>
    <n v="48"/>
    <n v="4.8000000000000007"/>
    <n v="43.2"/>
    <n v="37.44"/>
    <n v="5.7600000000000051"/>
    <n v="0.13333333333333344"/>
    <n v="2025"/>
    <n v="3"/>
    <s v="2025-03"/>
    <s v="T1"/>
    <s v="30-39"/>
    <s v="bon"/>
    <s v="Rapide"/>
    <s v="Faible"/>
  </r>
  <r>
    <s v="TX0000543"/>
    <d v="2025-12-03T00:00:00"/>
    <s v="CLI00458"/>
    <s v="PRD006"/>
    <s v="AG012"/>
    <s v="COM027"/>
    <n v="2"/>
    <n v="190"/>
    <n v="0"/>
    <s v="Mobile Money"/>
    <s v="Validée"/>
    <s v="Client 00458"/>
    <s v="Kisangani"/>
    <s v="Institution"/>
    <s v="Imprimante Office"/>
    <s v="Bureautique"/>
    <s v="Standard"/>
    <s v="Agence Kolwezi 2"/>
    <s v="Kolwezi"/>
    <s v="Commercial 027"/>
    <n v="23"/>
    <x v="1"/>
    <n v="31"/>
    <n v="5"/>
    <n v="7"/>
    <s v="Magasin"/>
    <n v="148.19999999999999"/>
    <n v="380"/>
    <n v="0"/>
    <n v="380"/>
    <n v="296.39999999999998"/>
    <n v="83.600000000000023"/>
    <n v="0.22000000000000006"/>
    <n v="2025"/>
    <n v="12"/>
    <s v="2025-12"/>
    <s v="T4"/>
    <s v="22-29"/>
    <s v="moyen"/>
    <s v="Long"/>
    <s v="Faible"/>
  </r>
  <r>
    <s v="TX0000544"/>
    <d v="2025-12-30T00:00:00"/>
    <s v="CLI00398"/>
    <s v="PRD011"/>
    <s v="AG003"/>
    <s v="COM030"/>
    <n v="2"/>
    <n v="240"/>
    <n v="0"/>
    <s v="Virement"/>
    <s v="Validée"/>
    <s v="Client 00398"/>
    <s v="Goma"/>
    <s v="Institution"/>
    <s v="Switch 24 Ports"/>
    <s v="Réseau"/>
    <s v="Premium"/>
    <s v="Agence Goma 1"/>
    <s v="Goma"/>
    <s v="Commercial 030"/>
    <n v="42"/>
    <x v="0"/>
    <n v="11"/>
    <n v="8.1"/>
    <n v="3"/>
    <s v="Web"/>
    <n v="177.6"/>
    <n v="480"/>
    <n v="0"/>
    <n v="480"/>
    <n v="355.2"/>
    <n v="124.80000000000001"/>
    <n v="0.26"/>
    <n v="2025"/>
    <n v="12"/>
    <s v="2025-12"/>
    <s v="T4"/>
    <s v="40-49"/>
    <s v="bon"/>
    <s v="Rapide"/>
    <s v="Faible"/>
  </r>
  <r>
    <s v="TX0000545"/>
    <d v="2025-05-13T00:00:00"/>
    <s v="CLI01822"/>
    <s v="PRD011"/>
    <s v="AG015"/>
    <s v="COM045"/>
    <n v="3"/>
    <n v="240"/>
    <n v="0.05"/>
    <s v="Cash"/>
    <s v="Validée"/>
    <s v="Client 01822"/>
    <s v="Goma"/>
    <s v="ONG"/>
    <s v="Switch 24 Ports"/>
    <s v="Réseau"/>
    <s v="Premium"/>
    <s v="Agence Goma 3"/>
    <s v="Goma"/>
    <s v="Commercial 045"/>
    <n v="31"/>
    <x v="0"/>
    <n v="50"/>
    <n v="5.6"/>
    <n v="7"/>
    <s v="Téléphone"/>
    <n v="177.6"/>
    <n v="720"/>
    <n v="36"/>
    <n v="684"/>
    <n v="532.79999999999995"/>
    <n v="151.20000000000005"/>
    <n v="0.22105263157894744"/>
    <n v="2025"/>
    <n v="5"/>
    <s v="2025-05"/>
    <s v="T2"/>
    <s v="30-39"/>
    <s v="moyen"/>
    <s v="Long"/>
    <s v="Moyenne"/>
  </r>
  <r>
    <s v="TX0000546"/>
    <d v="2025-07-09T00:00:00"/>
    <s v="CLI00607"/>
    <s v="PRD010"/>
    <s v="AG001"/>
    <s v="COM015"/>
    <n v="3"/>
    <n v="95"/>
    <n v="0.08"/>
    <s v="Virement"/>
    <s v="Validée"/>
    <s v="Client 00607"/>
    <s v="Lubumbashi"/>
    <s v="Grande entreprise"/>
    <s v="Routeur Business"/>
    <s v="Réseau"/>
    <s v="Standard"/>
    <s v="Agence Kinshasa 1"/>
    <s v="Kinshasa"/>
    <s v="Commercial 015"/>
    <n v="29"/>
    <x v="1"/>
    <n v="43"/>
    <n v="4.7"/>
    <n v="7"/>
    <s v="Magasin"/>
    <n v="70.3"/>
    <n v="285"/>
    <n v="22.8"/>
    <n v="262.2"/>
    <n v="210.89999999999998"/>
    <n v="51.300000000000011"/>
    <n v="0.19565217391304354"/>
    <n v="2025"/>
    <n v="7"/>
    <s v="2025-07"/>
    <s v="T3"/>
    <s v="22-29"/>
    <s v="faible"/>
    <s v="Long"/>
    <s v="Faible"/>
  </r>
  <r>
    <s v="TX0000547"/>
    <d v="2025-08-14T00:00:00"/>
    <s v="CLI00649"/>
    <s v="PRD010"/>
    <s v="AG016"/>
    <s v="COM046"/>
    <n v="3"/>
    <n v="95"/>
    <n v="0"/>
    <s v="Carte"/>
    <s v="Validée"/>
    <s v="Client 00649"/>
    <s v="Lubumbashi"/>
    <s v="Institution"/>
    <s v="Routeur Business"/>
    <s v="Réseau"/>
    <s v="Standard"/>
    <s v="Agence Kisangani 3"/>
    <s v="Kisangani"/>
    <s v="Commercial 046"/>
    <n v="57"/>
    <x v="1"/>
    <n v="10"/>
    <n v="8.3000000000000007"/>
    <n v="2"/>
    <s v="Web"/>
    <n v="70.3"/>
    <n v="285"/>
    <n v="0"/>
    <n v="285"/>
    <n v="210.89999999999998"/>
    <n v="74.100000000000023"/>
    <n v="0.26000000000000006"/>
    <n v="2025"/>
    <n v="8"/>
    <s v="2025-08"/>
    <s v="T3"/>
    <s v="50+"/>
    <s v="bon"/>
    <s v="Rapide"/>
    <s v="Faible"/>
  </r>
  <r>
    <s v="TX0000548"/>
    <d v="2025-04-27T00:00:00"/>
    <s v="CLI01198"/>
    <s v="PRD013"/>
    <s v="AG009"/>
    <s v="COM041"/>
    <n v="1"/>
    <n v="110"/>
    <n v="0"/>
    <s v="Virement"/>
    <s v="Validée"/>
    <s v="Client 01198"/>
    <s v="Matadi"/>
    <s v="Institution"/>
    <s v="Disque SSD 1TB"/>
    <s v="Informatique"/>
    <s v="Premium"/>
    <s v="Agence Goma 2"/>
    <s v="Goma"/>
    <s v="Commercial 041"/>
    <n v="46"/>
    <x v="0"/>
    <n v="65"/>
    <n v="8.1999999999999993"/>
    <n v="1"/>
    <s v="Téléphone"/>
    <n v="72.599999999999994"/>
    <n v="110"/>
    <n v="0"/>
    <n v="110"/>
    <n v="72.599999999999994"/>
    <n v="37.400000000000006"/>
    <n v="0.34"/>
    <n v="2025"/>
    <n v="4"/>
    <s v="2025-04"/>
    <s v="T2"/>
    <s v="40-49"/>
    <s v="bon"/>
    <s v="Rapide"/>
    <s v="Faible"/>
  </r>
  <r>
    <s v="TX0000549"/>
    <d v="2025-09-18T00:00:00"/>
    <s v="CLI00050"/>
    <s v="PRD009"/>
    <s v="AG012"/>
    <s v="COM047"/>
    <n v="4"/>
    <n v="22"/>
    <n v="0.05"/>
    <s v="Mobile Money"/>
    <s v="Validée"/>
    <s v="Client 00050"/>
    <s v="Goma"/>
    <s v="PME"/>
    <s v="Souris Wireless"/>
    <s v="Informatique"/>
    <s v="Entrée de gamme"/>
    <s v="Agence Kolwezi 2"/>
    <s v="Kolwezi"/>
    <s v="Commercial 047"/>
    <n v="27"/>
    <x v="1"/>
    <n v="12"/>
    <n v="6"/>
    <n v="4"/>
    <s v="Magasin"/>
    <n v="14.96"/>
    <n v="88"/>
    <n v="4.4000000000000004"/>
    <n v="83.6"/>
    <n v="59.84"/>
    <n v="23.759999999999991"/>
    <n v="0.28421052631578936"/>
    <n v="2025"/>
    <n v="9"/>
    <s v="2025-09"/>
    <s v="T3"/>
    <s v="22-29"/>
    <s v="moyen"/>
    <s v="Moyen"/>
    <s v="Faible"/>
  </r>
  <r>
    <s v="TX0000550"/>
    <d v="2025-09-14T00:00:00"/>
    <s v="CLI00698"/>
    <s v="PRD012"/>
    <s v="AG005"/>
    <s v="COM038"/>
    <n v="2"/>
    <n v="180"/>
    <n v="0"/>
    <s v="Mobile Money"/>
    <s v="Validée"/>
    <s v="Client 00698"/>
    <s v="Goma"/>
    <s v="ONG"/>
    <s v="Onduleur 1200VA"/>
    <s v="Énergie"/>
    <s v="Standard"/>
    <s v="Agence Matadi 1"/>
    <s v="Matadi"/>
    <s v="Commercial 038"/>
    <n v="60"/>
    <x v="0"/>
    <n v="54"/>
    <n v="8"/>
    <n v="1"/>
    <s v="Web"/>
    <n v="129.6"/>
    <n v="360"/>
    <n v="0"/>
    <n v="360"/>
    <n v="259.2"/>
    <n v="100.80000000000001"/>
    <n v="0.28000000000000003"/>
    <n v="2025"/>
    <n v="9"/>
    <s v="2025-09"/>
    <s v="T3"/>
    <s v="50+"/>
    <s v="bon"/>
    <s v="Rapide"/>
    <s v="Faible"/>
  </r>
  <r>
    <s v="TX0000551"/>
    <d v="2025-03-31T00:00:00"/>
    <s v="CLI01988"/>
    <s v="PRD006"/>
    <s v="AG017"/>
    <s v="COM031"/>
    <n v="2"/>
    <n v="190"/>
    <n v="0.02"/>
    <s v="Cash"/>
    <s v="Validée"/>
    <s v="Client 01988"/>
    <s v="Goma"/>
    <s v="Grande entreprise"/>
    <s v="Imprimante Office"/>
    <s v="Bureautique"/>
    <s v="Standard"/>
    <s v="Agence Matadi 3"/>
    <s v="Matadi"/>
    <s v="Commercial 031"/>
    <n v="54"/>
    <x v="0"/>
    <n v="43"/>
    <n v="6.6"/>
    <n v="3"/>
    <s v="Magasin"/>
    <n v="148.19999999999999"/>
    <n v="380"/>
    <n v="7.6000000000000005"/>
    <n v="372.4"/>
    <n v="296.39999999999998"/>
    <n v="76"/>
    <n v="0.20408163265306123"/>
    <n v="2025"/>
    <n v="3"/>
    <s v="2025-03"/>
    <s v="T1"/>
    <s v="50+"/>
    <s v="moyen"/>
    <s v="Rapide"/>
    <s v="Faible"/>
  </r>
  <r>
    <s v="TX0000552"/>
    <d v="2025-04-16T00:00:00"/>
    <s v="CLI00266"/>
    <s v="PRD011"/>
    <s v="AG008"/>
    <s v="COM020"/>
    <n v="1"/>
    <n v="240"/>
    <n v="0"/>
    <s v="Cash"/>
    <s v="Validée"/>
    <s v="Client 00266"/>
    <s v="Lubumbashi"/>
    <s v="Institution"/>
    <s v="Switch 24 Ports"/>
    <s v="Réseau"/>
    <s v="Premium"/>
    <s v="Agence Lubumbashi 2"/>
    <s v="Lubumbashi"/>
    <s v="Commercial 020"/>
    <n v="45"/>
    <x v="0"/>
    <n v="58"/>
    <n v="7.2"/>
    <n v="2"/>
    <s v="Web"/>
    <n v="177.6"/>
    <n v="240"/>
    <n v="0"/>
    <n v="240"/>
    <n v="177.6"/>
    <n v="62.400000000000006"/>
    <n v="0.26"/>
    <n v="2025"/>
    <n v="4"/>
    <s v="2025-04"/>
    <s v="T2"/>
    <s v="40-49"/>
    <s v="bon"/>
    <s v="Rapide"/>
    <s v="Faible"/>
  </r>
  <r>
    <s v="TX0000553"/>
    <d v="2025-11-23T00:00:00"/>
    <s v="CLI01461"/>
    <s v="PRD016"/>
    <s v="AG015"/>
    <s v="COM037"/>
    <n v="6"/>
    <n v="420"/>
    <n v="0.1"/>
    <s v="Carte"/>
    <s v="Validée"/>
    <s v="Client 01461"/>
    <s v="Kinshasa"/>
    <s v="ONG"/>
    <s v="Projecteur HD"/>
    <s v="Bureautique"/>
    <s v="Premium"/>
    <s v="Agence Goma 3"/>
    <s v="Goma"/>
    <s v="Commercial 037"/>
    <n v="50"/>
    <x v="0"/>
    <n v="53"/>
    <n v="6.8"/>
    <n v="5"/>
    <s v="Magasin"/>
    <n v="273"/>
    <n v="2520"/>
    <n v="252"/>
    <n v="2268"/>
    <n v="1638"/>
    <n v="630"/>
    <n v="0.27777777777777779"/>
    <n v="2025"/>
    <n v="11"/>
    <s v="2025-11"/>
    <s v="T4"/>
    <s v="50+"/>
    <s v="moyen"/>
    <s v="Moyen"/>
    <s v="Elevée"/>
  </r>
  <r>
    <s v="TX0000554"/>
    <d v="2025-02-20T00:00:00"/>
    <s v="CLI01490"/>
    <s v="PRD002"/>
    <s v="AG013"/>
    <s v="COM041"/>
    <n v="10"/>
    <n v="350"/>
    <n v="0.05"/>
    <s v="Cash"/>
    <s v="Validée"/>
    <s v="Client 01490"/>
    <s v="Matadi"/>
    <s v="Indépendant"/>
    <s v="Smartphone Pro X"/>
    <s v="Électronique"/>
    <s v="Premium"/>
    <s v="Agence Kinshasa 3"/>
    <s v="Kinshasa"/>
    <s v="Commercial 041"/>
    <n v="36"/>
    <x v="0"/>
    <n v="17"/>
    <n v="6.8"/>
    <n v="3"/>
    <s v="Magasin"/>
    <n v="213.5"/>
    <n v="3500"/>
    <n v="175"/>
    <n v="3325"/>
    <n v="2135"/>
    <n v="1190"/>
    <n v="0.35789473684210527"/>
    <n v="2025"/>
    <n v="2"/>
    <s v="2025-02"/>
    <s v="T1"/>
    <s v="30-39"/>
    <s v="moyen"/>
    <s v="Rapide"/>
    <s v="Elevée"/>
  </r>
  <r>
    <s v="TX0000555"/>
    <d v="2025-10-18T00:00:00"/>
    <s v="CLI02191"/>
    <s v="PRD003"/>
    <s v="AG002"/>
    <s v="COM029"/>
    <n v="3"/>
    <n v="780"/>
    <n v="0"/>
    <s v="Virement"/>
    <s v="Validée"/>
    <s v="Client 02191"/>
    <s v="Kolwezi"/>
    <s v="Grande entreprise"/>
    <s v="Laptop Business 14"/>
    <s v="Informatique"/>
    <s v="Premium"/>
    <s v="Agence Lubumbashi 1"/>
    <s v="Lubumbashi"/>
    <s v="Commercial 029"/>
    <n v="50"/>
    <x v="0"/>
    <n v="18"/>
    <n v="7.2"/>
    <n v="3"/>
    <s v="WhatsApp"/>
    <n v="468"/>
    <n v="2340"/>
    <n v="0"/>
    <n v="2340"/>
    <n v="1404"/>
    <n v="936"/>
    <n v="0.4"/>
    <n v="2025"/>
    <n v="10"/>
    <s v="2025-10"/>
    <s v="T4"/>
    <s v="50+"/>
    <s v="bon"/>
    <s v="Rapide"/>
    <s v="Elevée"/>
  </r>
  <r>
    <s v="TX0000556"/>
    <d v="2025-08-22T00:00:00"/>
    <s v="CLI00749"/>
    <s v="PRD008"/>
    <s v="AG008"/>
    <s v="COM045"/>
    <n v="1"/>
    <n v="35"/>
    <n v="0.05"/>
    <s v="Virement"/>
    <s v="Validée"/>
    <s v="Client 00749"/>
    <s v="Goma"/>
    <s v="Grande entreprise"/>
    <s v="Clavier Pro"/>
    <s v="Informatique"/>
    <s v="Entrée de gamme"/>
    <s v="Agence Lubumbashi 2"/>
    <s v="Lubumbashi"/>
    <s v="Commercial 045"/>
    <n v="41"/>
    <x v="0"/>
    <n v="4"/>
    <n v="3.4"/>
    <n v="9"/>
    <s v="WhatsApp"/>
    <n v="24.15"/>
    <n v="35"/>
    <n v="1.75"/>
    <n v="33.25"/>
    <n v="24.15"/>
    <n v="9.1000000000000014"/>
    <n v="0.27368421052631581"/>
    <n v="2025"/>
    <n v="8"/>
    <s v="2025-08"/>
    <s v="T3"/>
    <s v="40-49"/>
    <s v="faible"/>
    <s v="Long"/>
    <s v="Faible"/>
  </r>
  <r>
    <s v="TX0000557"/>
    <d v="2025-03-09T00:00:00"/>
    <s v="CLI00375"/>
    <s v="PRD007"/>
    <s v="AG003"/>
    <s v="COM058"/>
    <n v="3"/>
    <n v="145"/>
    <n v="0"/>
    <s v="Carte"/>
    <s v="Validée"/>
    <s v="Client 00375"/>
    <s v="Lubumbashi"/>
    <s v="Indépendant"/>
    <s v="Écran 24 pouces"/>
    <s v="Informatique"/>
    <s v="Standard"/>
    <s v="Agence Goma 1"/>
    <s v="Goma"/>
    <s v="Commercial 058"/>
    <n v="49"/>
    <x v="0"/>
    <n v="55"/>
    <n v="4.7"/>
    <n v="7"/>
    <s v="Magasin"/>
    <n v="97.15"/>
    <n v="435"/>
    <n v="0"/>
    <n v="435"/>
    <n v="291.45000000000005"/>
    <n v="143.54999999999995"/>
    <n v="0.3299999999999999"/>
    <n v="2025"/>
    <n v="3"/>
    <s v="2025-03"/>
    <s v="T1"/>
    <s v="40-49"/>
    <s v="faible"/>
    <s v="Long"/>
    <s v="Faible"/>
  </r>
  <r>
    <s v="TX0000558"/>
    <d v="2025-01-27T00:00:00"/>
    <s v="CLI01955"/>
    <s v="PRD015"/>
    <s v="AG004"/>
    <s v="COM035"/>
    <n v="2"/>
    <n v="48"/>
    <n v="0.08"/>
    <s v="Cash"/>
    <s v="Validée"/>
    <s v="Client 01955"/>
    <s v="Kisangani"/>
    <s v="ONG"/>
    <s v="Webcam HD"/>
    <s v="Électronique"/>
    <s v="Entrée de gamme"/>
    <s v="Agence Kisangani 1"/>
    <s v="Kisangani"/>
    <s v="Commercial 035"/>
    <n v="48"/>
    <x v="1"/>
    <n v="50"/>
    <n v="8.1999999999999993"/>
    <n v="1"/>
    <s v="Magasin"/>
    <n v="37.44"/>
    <n v="96"/>
    <n v="7.68"/>
    <n v="88.32"/>
    <n v="74.88"/>
    <n v="13.439999999999998"/>
    <n v="0.15217391304347824"/>
    <n v="2025"/>
    <n v="1"/>
    <s v="2025-01"/>
    <s v="T1"/>
    <s v="40-49"/>
    <s v="bon"/>
    <s v="Rapide"/>
    <s v="Faible"/>
  </r>
  <r>
    <s v="TX0000559"/>
    <d v="2025-04-12T00:00:00"/>
    <s v="CLI00477"/>
    <s v="PRD015"/>
    <s v="AG003"/>
    <s v="COM031"/>
    <n v="1"/>
    <n v="48"/>
    <n v="0.05"/>
    <s v="Carte"/>
    <s v="Validée"/>
    <s v="Client 00477"/>
    <s v="Lubumbashi"/>
    <s v="Grande entreprise"/>
    <s v="Webcam HD"/>
    <s v="Électronique"/>
    <s v="Entrée de gamme"/>
    <s v="Agence Goma 1"/>
    <s v="Goma"/>
    <s v="Commercial 031"/>
    <n v="51"/>
    <x v="0"/>
    <n v="50"/>
    <n v="6.2"/>
    <n v="6"/>
    <s v="Magasin"/>
    <n v="37.44"/>
    <n v="48"/>
    <n v="2.4000000000000004"/>
    <n v="45.6"/>
    <n v="37.44"/>
    <n v="8.1600000000000037"/>
    <n v="0.17894736842105272"/>
    <n v="2025"/>
    <n v="4"/>
    <s v="2025-04"/>
    <s v="T2"/>
    <s v="50+"/>
    <s v="moyen"/>
    <s v="Moyen"/>
    <s v="Faible"/>
  </r>
  <r>
    <s v="TX0000560"/>
    <d v="2025-02-27T00:00:00"/>
    <s v="CLI01229"/>
    <s v="PRD001"/>
    <s v="AG014"/>
    <s v="COM056"/>
    <n v="4"/>
    <n v="120"/>
    <n v="0.02"/>
    <s v="Carte"/>
    <s v="Validée"/>
    <s v="Client 01229"/>
    <s v="Kinshasa"/>
    <s v="Indépendant"/>
    <s v="Smartphone A1"/>
    <s v="Électronique"/>
    <s v="Entrée de gamme"/>
    <s v="Agence Lubumbashi 3"/>
    <s v="Lubumbashi"/>
    <s v="Commercial 056"/>
    <n v="54"/>
    <x v="1"/>
    <n v="67"/>
    <n v="6"/>
    <n v="6"/>
    <s v="WhatsApp"/>
    <n v="73.2"/>
    <n v="480"/>
    <n v="9.6"/>
    <n v="470.4"/>
    <n v="292.8"/>
    <n v="177.59999999999997"/>
    <n v="0.37755102040816318"/>
    <n v="2025"/>
    <n v="2"/>
    <s v="2025-02"/>
    <s v="T1"/>
    <s v="50+"/>
    <s v="moyen"/>
    <s v="Moyen"/>
    <s v="Faible"/>
  </r>
  <r>
    <s v="TX0000561"/>
    <d v="2025-07-28T00:00:00"/>
    <s v="CLI01869"/>
    <s v="PRD001"/>
    <s v="AG009"/>
    <s v="COM049"/>
    <n v="3"/>
    <n v="120"/>
    <n v="0.02"/>
    <s v="Carte"/>
    <s v="Validée"/>
    <s v="Client 01869"/>
    <s v="Kinshasa"/>
    <s v="PME"/>
    <s v="Smartphone A1"/>
    <s v="Électronique"/>
    <s v="Entrée de gamme"/>
    <s v="Agence Goma 2"/>
    <s v="Goma"/>
    <s v="Commercial 049"/>
    <n v="42"/>
    <x v="0"/>
    <n v="19"/>
    <n v="4.5999999999999996"/>
    <n v="8"/>
    <s v="Web"/>
    <n v="73.2"/>
    <n v="360"/>
    <n v="7.2"/>
    <n v="352.8"/>
    <n v="219.60000000000002"/>
    <n v="133.19999999999999"/>
    <n v="0.37755102040816324"/>
    <n v="2025"/>
    <n v="7"/>
    <s v="2025-07"/>
    <s v="T3"/>
    <s v="40-49"/>
    <s v="faible"/>
    <s v="Long"/>
    <s v="Faible"/>
  </r>
  <r>
    <s v="TX0000562"/>
    <d v="2025-09-30T00:00:00"/>
    <s v="CLI01980"/>
    <s v="PRD010"/>
    <s v="AG010"/>
    <s v="COM017"/>
    <n v="1"/>
    <n v="95"/>
    <n v="0"/>
    <s v="Virement"/>
    <s v="Validée"/>
    <s v="Client 01980"/>
    <s v="Kisangani"/>
    <s v="Institution"/>
    <s v="Routeur Business"/>
    <s v="Réseau"/>
    <s v="Standard"/>
    <s v="Agence Kisangani 2"/>
    <s v="Kisangani"/>
    <s v="Commercial 017"/>
    <n v="45"/>
    <x v="1"/>
    <n v="5"/>
    <n v="7.1"/>
    <n v="4"/>
    <s v="Web"/>
    <n v="70.3"/>
    <n v="95"/>
    <n v="0"/>
    <n v="95"/>
    <n v="70.3"/>
    <n v="24.700000000000003"/>
    <n v="0.26"/>
    <n v="2025"/>
    <n v="9"/>
    <s v="2025-09"/>
    <s v="T3"/>
    <s v="40-49"/>
    <s v="bon"/>
    <s v="Moyen"/>
    <s v="Faible"/>
  </r>
  <r>
    <s v="TX0000563"/>
    <d v="2025-06-13T00:00:00"/>
    <s v="CLI00457"/>
    <s v="PRD006"/>
    <s v="AG016"/>
    <s v="COM001"/>
    <n v="5"/>
    <n v="190"/>
    <n v="0.05"/>
    <s v="Mobile Money"/>
    <s v="Validée"/>
    <s v="Client 00457"/>
    <s v="Kinshasa"/>
    <s v="ONG"/>
    <s v="Imprimante Office"/>
    <s v="Bureautique"/>
    <s v="Standard"/>
    <s v="Agence Kisangani 3"/>
    <s v="Kisangani"/>
    <s v="Commercial 001"/>
    <n v="28"/>
    <x v="0"/>
    <n v="29"/>
    <n v="6.7"/>
    <n v="4"/>
    <s v="Téléphone"/>
    <n v="148.19999999999999"/>
    <n v="950"/>
    <n v="47.5"/>
    <n v="902.5"/>
    <n v="741"/>
    <n v="161.5"/>
    <n v="0.17894736842105263"/>
    <n v="2025"/>
    <n v="6"/>
    <s v="2025-06"/>
    <s v="T2"/>
    <s v="22-29"/>
    <s v="moyen"/>
    <s v="Moyen"/>
    <s v="Moyenne"/>
  </r>
  <r>
    <s v="TX0000564"/>
    <d v="2025-06-05T00:00:00"/>
    <s v="CLI00733"/>
    <s v="PRD003"/>
    <s v="AG014"/>
    <s v="COM044"/>
    <n v="1"/>
    <n v="780"/>
    <n v="0.1"/>
    <s v="Mobile Money"/>
    <s v="Validée"/>
    <s v="Client 00733"/>
    <s v="Lubumbashi"/>
    <s v="Indépendant"/>
    <s v="Laptop Business 14"/>
    <s v="Informatique"/>
    <s v="Premium"/>
    <s v="Agence Lubumbashi 3"/>
    <s v="Lubumbashi"/>
    <s v="Commercial 044"/>
    <n v="53"/>
    <x v="1"/>
    <n v="27"/>
    <n v="6.3"/>
    <n v="5"/>
    <s v="Téléphone"/>
    <n v="468"/>
    <n v="780"/>
    <n v="78"/>
    <n v="702"/>
    <n v="468"/>
    <n v="234"/>
    <n v="0.33333333333333331"/>
    <n v="2025"/>
    <n v="6"/>
    <s v="2025-06"/>
    <s v="T2"/>
    <s v="50+"/>
    <s v="moyen"/>
    <s v="Moyen"/>
    <s v="Moyenne"/>
  </r>
  <r>
    <s v="TX0000565"/>
    <d v="2025-04-29T00:00:00"/>
    <s v="CLI00749"/>
    <s v="PRD007"/>
    <s v="AG004"/>
    <s v="COM049"/>
    <n v="1"/>
    <n v="145"/>
    <n v="0.05"/>
    <s v="Virement"/>
    <s v="Validée"/>
    <s v="Client 00749"/>
    <s v="Goma"/>
    <s v="Grande entreprise"/>
    <s v="Écran 24 pouces"/>
    <s v="Informatique"/>
    <s v="Standard"/>
    <s v="Agence Kisangani 1"/>
    <s v="Kisangani"/>
    <s v="Commercial 049"/>
    <n v="41"/>
    <x v="0"/>
    <n v="4"/>
    <n v="5.4"/>
    <n v="7"/>
    <s v="Web"/>
    <n v="97.15"/>
    <n v="145"/>
    <n v="7.25"/>
    <n v="137.75"/>
    <n v="97.15"/>
    <n v="40.599999999999994"/>
    <n v="0.29473684210526313"/>
    <n v="2025"/>
    <n v="4"/>
    <s v="2025-04"/>
    <s v="T2"/>
    <s v="40-49"/>
    <s v="moyen"/>
    <s v="Long"/>
    <s v="Faible"/>
  </r>
  <r>
    <s v="TX0000566"/>
    <d v="2025-06-03T00:00:00"/>
    <s v="CLI02173"/>
    <s v="PRD016"/>
    <s v="AG004"/>
    <s v="COM044"/>
    <n v="6"/>
    <n v="420"/>
    <n v="0"/>
    <s v="Carte"/>
    <s v="Validée"/>
    <s v="Client 02173"/>
    <s v="Kisangani"/>
    <s v="Indépendant"/>
    <s v="Projecteur HD"/>
    <s v="Bureautique"/>
    <s v="Premium"/>
    <s v="Agence Kisangani 1"/>
    <s v="Kisangani"/>
    <s v="Commercial 044"/>
    <n v="53"/>
    <x v="1"/>
    <n v="56"/>
    <n v="3.9"/>
    <n v="8"/>
    <s v="Web"/>
    <n v="273"/>
    <n v="2520"/>
    <n v="0"/>
    <n v="2520"/>
    <n v="1638"/>
    <n v="882"/>
    <n v="0.35"/>
    <n v="2025"/>
    <n v="6"/>
    <s v="2025-06"/>
    <s v="T2"/>
    <s v="50+"/>
    <s v="faible"/>
    <s v="Long"/>
    <s v="Elevée"/>
  </r>
  <r>
    <s v="TX0000568"/>
    <d v="2025-05-15T00:00:00"/>
    <s v="CLI01941"/>
    <s v="PRD014"/>
    <s v="AG009"/>
    <s v="COM015"/>
    <n v="2"/>
    <n v="65"/>
    <n v="0.1"/>
    <s v="Virement"/>
    <s v="Validée"/>
    <s v="Client 01941"/>
    <s v="Goma"/>
    <s v="Institution"/>
    <s v="Casque Pro"/>
    <s v="Électronique"/>
    <s v="Standard"/>
    <s v="Agence Goma 2"/>
    <s v="Goma"/>
    <s v="Commercial 015"/>
    <n v="59"/>
    <x v="1"/>
    <n v="67"/>
    <n v="9.1"/>
    <n v="1"/>
    <s v="Web"/>
    <n v="47.45"/>
    <n v="130"/>
    <n v="13"/>
    <n v="117"/>
    <n v="94.9"/>
    <n v="22.099999999999994"/>
    <n v="0.18888888888888883"/>
    <n v="2025"/>
    <n v="5"/>
    <s v="2025-05"/>
    <s v="T2"/>
    <s v="50+"/>
    <s v="excellent"/>
    <s v="Rapide"/>
    <s v="Faible"/>
  </r>
  <r>
    <s v="TX0000569"/>
    <d v="2025-06-11T00:00:00"/>
    <s v="CLI01255"/>
    <s v="PRD011"/>
    <s v="AG012"/>
    <s v="COM054"/>
    <n v="2"/>
    <n v="240"/>
    <n v="0.02"/>
    <s v="Mobile Money"/>
    <s v="Validée"/>
    <s v="Client 01255"/>
    <s v="Lubumbashi"/>
    <s v="PME"/>
    <s v="Switch 24 Ports"/>
    <s v="Réseau"/>
    <s v="Premium"/>
    <s v="Agence Kolwezi 2"/>
    <s v="Kolwezi"/>
    <s v="Commercial 054"/>
    <n v="26"/>
    <x v="1"/>
    <n v="71"/>
    <n v="4.5999999999999996"/>
    <n v="8"/>
    <s v="Téléphone"/>
    <n v="177.6"/>
    <n v="480"/>
    <n v="9.6"/>
    <n v="470.4"/>
    <n v="355.2"/>
    <n v="115.19999999999999"/>
    <n v="0.24489795918367346"/>
    <n v="2025"/>
    <n v="6"/>
    <s v="2025-06"/>
    <s v="T2"/>
    <s v="22-29"/>
    <s v="faible"/>
    <s v="Long"/>
    <s v="Faible"/>
  </r>
  <r>
    <s v="TX0000570"/>
    <d v="2025-07-01T00:00:00"/>
    <s v="CLI00024"/>
    <s v="PRD013"/>
    <s v="AG002"/>
    <s v="COM027"/>
    <n v="3"/>
    <n v="110"/>
    <n v="0"/>
    <s v="Mobile Money"/>
    <s v="Validée"/>
    <s v="Client 00024"/>
    <s v="Kolwezi"/>
    <s v="ONG"/>
    <s v="Disque SSD 1TB"/>
    <s v="Informatique"/>
    <s v="Premium"/>
    <s v="Agence Lubumbashi 1"/>
    <s v="Lubumbashi"/>
    <s v="Commercial 027"/>
    <n v="28"/>
    <x v="0"/>
    <n v="57"/>
    <n v="5"/>
    <n v="8"/>
    <s v="Web"/>
    <n v="72.599999999999994"/>
    <n v="330"/>
    <n v="0"/>
    <n v="330"/>
    <n v="217.79999999999998"/>
    <n v="112.20000000000002"/>
    <n v="0.34"/>
    <n v="2025"/>
    <n v="7"/>
    <s v="2025-07"/>
    <s v="T3"/>
    <s v="22-29"/>
    <s v="moyen"/>
    <s v="Long"/>
    <s v="Faible"/>
  </r>
  <r>
    <s v="TX0000571"/>
    <d v="2025-05-12T00:00:00"/>
    <s v="CLI00080"/>
    <s v="PRD007"/>
    <s v="AG007"/>
    <s v="COM043"/>
    <n v="2"/>
    <n v="145"/>
    <n v="0"/>
    <s v="Cash"/>
    <s v="Validée"/>
    <s v="Client 00080"/>
    <s v="Goma"/>
    <s v="Grande entreprise"/>
    <s v="Écran 24 pouces"/>
    <s v="Informatique"/>
    <s v="Standard"/>
    <s v="Agence Kinshasa 2"/>
    <s v="Kinshasa"/>
    <s v="Commercial 043"/>
    <n v="26"/>
    <x v="0"/>
    <n v="54"/>
    <n v="6.5"/>
    <n v="4"/>
    <s v="WhatsApp"/>
    <n v="97.15"/>
    <n v="290"/>
    <n v="0"/>
    <n v="290"/>
    <n v="194.3"/>
    <n v="95.699999999999989"/>
    <n v="0.32999999999999996"/>
    <n v="2025"/>
    <n v="5"/>
    <s v="2025-05"/>
    <s v="T2"/>
    <s v="22-29"/>
    <s v="moyen"/>
    <s v="Moyen"/>
    <s v="Faible"/>
  </r>
  <r>
    <s v="TX0000572"/>
    <d v="2025-04-13T00:00:00"/>
    <s v="CLI01567"/>
    <s v="PRD011"/>
    <s v="AG018"/>
    <s v="COM036"/>
    <n v="4"/>
    <n v="240"/>
    <n v="0.05"/>
    <s v="Mobile Money"/>
    <s v="Validée"/>
    <s v="Client 01567"/>
    <s v="Kisangani"/>
    <s v="Indépendant"/>
    <s v="Switch 24 Ports"/>
    <s v="Réseau"/>
    <s v="Premium"/>
    <s v="Agence Kolwezi 3"/>
    <s v="Kolwezi"/>
    <s v="Commercial 036"/>
    <n v="51"/>
    <x v="1"/>
    <n v="7"/>
    <n v="6.5"/>
    <n v="4"/>
    <s v="Magasin"/>
    <n v="177.6"/>
    <n v="960"/>
    <n v="48"/>
    <n v="912"/>
    <n v="710.4"/>
    <n v="201.60000000000002"/>
    <n v="0.22105263157894739"/>
    <n v="2025"/>
    <n v="4"/>
    <s v="2025-04"/>
    <s v="T2"/>
    <s v="50+"/>
    <s v="moyen"/>
    <s v="Moyen"/>
    <s v="Moyenne"/>
  </r>
  <r>
    <s v="TX0000574"/>
    <d v="2025-05-24T00:00:00"/>
    <s v="CLI00189"/>
    <s v="PRD013"/>
    <s v="AG016"/>
    <s v="COM016"/>
    <n v="20"/>
    <n v="110"/>
    <n v="0.05"/>
    <s v="Mobile Money"/>
    <s v="Validée"/>
    <s v="Client 00189"/>
    <s v="Kolwezi"/>
    <s v="Grande entreprise"/>
    <s v="Disque SSD 1TB"/>
    <s v="Informatique"/>
    <s v="Premium"/>
    <s v="Agence Kisangani 3"/>
    <s v="Kisangani"/>
    <s v="Commercial 016"/>
    <n v="46"/>
    <x v="1"/>
    <n v="12"/>
    <n v="5.8"/>
    <n v="6"/>
    <s v="Téléphone"/>
    <n v="72.599999999999994"/>
    <n v="2200"/>
    <n v="110"/>
    <n v="2090"/>
    <n v="1452"/>
    <n v="638"/>
    <n v="0.30526315789473685"/>
    <n v="2025"/>
    <n v="5"/>
    <s v="2025-05"/>
    <s v="T2"/>
    <s v="40-49"/>
    <s v="moyen"/>
    <s v="Moyen"/>
    <s v="Elevée"/>
  </r>
  <r>
    <s v="TX0000575"/>
    <d v="2025-07-09T00:00:00"/>
    <s v="CLI00230"/>
    <s v="PRD011"/>
    <s v="AG009"/>
    <s v="COM035"/>
    <n v="2"/>
    <n v="240"/>
    <n v="0"/>
    <s v="Cash"/>
    <s v="Validée"/>
    <s v="Client 00230"/>
    <s v="Goma"/>
    <s v="ONG"/>
    <s v="Switch 24 Ports"/>
    <s v="Réseau"/>
    <s v="Premium"/>
    <s v="Agence Goma 2"/>
    <s v="Goma"/>
    <s v="Commercial 035"/>
    <n v="45"/>
    <x v="0"/>
    <n v="11"/>
    <n v="4.8"/>
    <n v="8"/>
    <s v="Web"/>
    <n v="177.6"/>
    <n v="480"/>
    <n v="0"/>
    <n v="480"/>
    <n v="355.2"/>
    <n v="124.80000000000001"/>
    <n v="0.26"/>
    <n v="2025"/>
    <n v="7"/>
    <s v="2025-07"/>
    <s v="T3"/>
    <s v="40-49"/>
    <s v="faible"/>
    <s v="Long"/>
    <s v="Faible"/>
  </r>
  <r>
    <s v="TX0000576"/>
    <d v="2025-03-19T00:00:00"/>
    <s v="CLI00304"/>
    <s v="PRD011"/>
    <s v="AG014"/>
    <s v="COM053"/>
    <n v="5"/>
    <n v="240"/>
    <n v="0.05"/>
    <s v="Virement"/>
    <s v="Validée"/>
    <s v="Client 00304"/>
    <s v="Goma"/>
    <s v="PME"/>
    <s v="Switch 24 Ports"/>
    <s v="Réseau"/>
    <s v="Premium"/>
    <s v="Agence Lubumbashi 3"/>
    <s v="Lubumbashi"/>
    <s v="Commercial 053"/>
    <n v="44"/>
    <x v="0"/>
    <n v="53"/>
    <n v="5"/>
    <n v="7"/>
    <s v="Téléphone"/>
    <n v="177.6"/>
    <n v="1200"/>
    <n v="60"/>
    <n v="1140"/>
    <n v="888"/>
    <n v="252"/>
    <n v="0.22105263157894736"/>
    <n v="2025"/>
    <n v="3"/>
    <s v="2025-03"/>
    <s v="T1"/>
    <s v="40-49"/>
    <s v="moyen"/>
    <s v="Long"/>
    <s v="Elevée"/>
  </r>
  <r>
    <s v="TX0000577"/>
    <d v="2025-10-21T00:00:00"/>
    <s v="CLI00361"/>
    <s v="PRD015"/>
    <s v="AG008"/>
    <s v="COM021"/>
    <n v="3"/>
    <n v="48"/>
    <n v="0.08"/>
    <s v="Virement"/>
    <s v="Validée"/>
    <s v="Client 00361"/>
    <s v="Matadi"/>
    <s v="Institution"/>
    <s v="Webcam HD"/>
    <s v="Électronique"/>
    <s v="Entrée de gamme"/>
    <s v="Agence Lubumbashi 2"/>
    <s v="Lubumbashi"/>
    <s v="Commercial 021"/>
    <n v="34"/>
    <x v="1"/>
    <n v="29"/>
    <n v="7.8"/>
    <n v="2"/>
    <s v="Magasin"/>
    <n v="37.44"/>
    <n v="144"/>
    <n v="11.52"/>
    <n v="132.47999999999999"/>
    <n v="112.32"/>
    <n v="20.159999999999997"/>
    <n v="0.15217391304347824"/>
    <n v="2025"/>
    <n v="10"/>
    <s v="2025-10"/>
    <s v="T4"/>
    <s v="30-39"/>
    <s v="bon"/>
    <s v="Rapide"/>
    <s v="Faible"/>
  </r>
  <r>
    <s v="TX0000579"/>
    <d v="2025-06-14T00:00:00"/>
    <s v="CLI01480"/>
    <s v="PRD015"/>
    <s v="AG007"/>
    <s v="COM012"/>
    <n v="2"/>
    <n v="48"/>
    <n v="0.02"/>
    <s v="Virement"/>
    <s v="Validée"/>
    <s v="Client 01480"/>
    <s v="Matadi"/>
    <s v="Institution"/>
    <s v="Webcam HD"/>
    <s v="Électronique"/>
    <s v="Entrée de gamme"/>
    <s v="Agence Kinshasa 2"/>
    <s v="Kinshasa"/>
    <s v="Commercial 012"/>
    <n v="34"/>
    <x v="1"/>
    <n v="48"/>
    <n v="6.2"/>
    <n v="4"/>
    <s v="Téléphone"/>
    <n v="37.44"/>
    <n v="96"/>
    <n v="1.92"/>
    <n v="94.08"/>
    <n v="74.88"/>
    <n v="19.200000000000003"/>
    <n v="0.20408163265306126"/>
    <n v="2025"/>
    <n v="6"/>
    <s v="2025-06"/>
    <s v="T2"/>
    <s v="30-39"/>
    <s v="moyen"/>
    <s v="Moyen"/>
    <s v="Faible"/>
  </r>
  <r>
    <s v="TX0000580"/>
    <d v="2025-03-03T00:00:00"/>
    <s v="CLI01061"/>
    <s v="PRD009"/>
    <s v="AG001"/>
    <s v="COM009"/>
    <n v="3"/>
    <n v="22"/>
    <n v="0.02"/>
    <s v="Mobile Money"/>
    <s v="Validée"/>
    <s v="Client 01061"/>
    <s v="Kinshasa"/>
    <s v="Grande entreprise"/>
    <s v="Souris Wireless"/>
    <s v="Informatique"/>
    <s v="Entrée de gamme"/>
    <s v="Agence Kinshasa 1"/>
    <s v="Kinshasa"/>
    <s v="Commercial 009"/>
    <n v="42"/>
    <x v="1"/>
    <n v="57"/>
    <n v="5.7"/>
    <n v="6"/>
    <s v="Magasin"/>
    <n v="14.96"/>
    <n v="66"/>
    <n v="1.32"/>
    <n v="64.680000000000007"/>
    <n v="44.88"/>
    <n v="19.800000000000004"/>
    <n v="0.30612244897959184"/>
    <n v="2025"/>
    <n v="3"/>
    <s v="2025-03"/>
    <s v="T1"/>
    <s v="40-49"/>
    <s v="moyen"/>
    <s v="Moyen"/>
    <s v="Faible"/>
  </r>
  <r>
    <s v="TX0000581"/>
    <d v="2025-01-09T00:00:00"/>
    <s v="CLI00197"/>
    <s v="PRD002"/>
    <s v="AG017"/>
    <s v="COM024"/>
    <n v="3"/>
    <n v="350"/>
    <n v="0"/>
    <s v="Virement"/>
    <s v="Validée"/>
    <s v="Client 00197"/>
    <s v="Matadi"/>
    <s v="ONG"/>
    <s v="Smartphone Pro X"/>
    <s v="Électronique"/>
    <s v="Premium"/>
    <s v="Agence Matadi 3"/>
    <s v="Matadi"/>
    <s v="Commercial 024"/>
    <n v="57"/>
    <x v="1"/>
    <n v="53"/>
    <n v="5.4"/>
    <n v="7"/>
    <s v="WhatsApp"/>
    <n v="213.5"/>
    <n v="1050"/>
    <n v="0"/>
    <n v="1050"/>
    <n v="640.5"/>
    <n v="409.5"/>
    <n v="0.39"/>
    <n v="2025"/>
    <n v="1"/>
    <s v="2025-01"/>
    <s v="T1"/>
    <s v="50+"/>
    <s v="moyen"/>
    <s v="Long"/>
    <s v="Elevée"/>
  </r>
  <r>
    <s v="TX0000583"/>
    <d v="2025-02-14T00:00:00"/>
    <s v="CLI00461"/>
    <s v="PRD006"/>
    <s v="AG017"/>
    <s v="COM055"/>
    <n v="3"/>
    <n v="190"/>
    <n v="0.02"/>
    <s v="Carte"/>
    <s v="Validée"/>
    <s v="Client 00461"/>
    <s v="Goma"/>
    <s v="PME"/>
    <s v="Imprimante Office"/>
    <s v="Bureautique"/>
    <s v="Standard"/>
    <s v="Agence Matadi 3"/>
    <s v="Matadi"/>
    <s v="Commercial 055"/>
    <n v="43"/>
    <x v="0"/>
    <n v="20"/>
    <n v="6.5"/>
    <n v="4"/>
    <s v="Magasin"/>
    <n v="148.19999999999999"/>
    <n v="570"/>
    <n v="11.4"/>
    <n v="558.6"/>
    <n v="444.59999999999997"/>
    <n v="114.00000000000006"/>
    <n v="0.20408163265306131"/>
    <n v="2025"/>
    <n v="2"/>
    <s v="2025-02"/>
    <s v="T1"/>
    <s v="40-49"/>
    <s v="moyen"/>
    <s v="Moyen"/>
    <s v="Moyenne"/>
  </r>
  <r>
    <s v="TX0000584"/>
    <d v="2025-03-19T00:00:00"/>
    <s v="CLI01766"/>
    <s v="PRD009"/>
    <s v="AG015"/>
    <s v="COM029"/>
    <n v="3"/>
    <n v="22"/>
    <n v="0"/>
    <s v="Carte"/>
    <s v="Validée"/>
    <s v="Client 01766"/>
    <s v="Kolwezi"/>
    <s v="Indépendant"/>
    <s v="Souris Wireless"/>
    <s v="Informatique"/>
    <s v="Entrée de gamme"/>
    <s v="Agence Goma 3"/>
    <s v="Goma"/>
    <s v="Commercial 029"/>
    <n v="57"/>
    <x v="1"/>
    <n v="6"/>
    <n v="8.3000000000000007"/>
    <n v="2"/>
    <s v="Téléphone"/>
    <n v="14.96"/>
    <n v="66"/>
    <n v="0"/>
    <n v="66"/>
    <n v="44.88"/>
    <n v="21.119999999999997"/>
    <n v="0.31999999999999995"/>
    <n v="2025"/>
    <n v="3"/>
    <s v="2025-03"/>
    <s v="T1"/>
    <s v="50+"/>
    <s v="bon"/>
    <s v="Rapide"/>
    <s v="Faible"/>
  </r>
  <r>
    <s v="TX0000585"/>
    <d v="2025-12-21T00:00:00"/>
    <s v="CLI01392"/>
    <s v="PRD015"/>
    <s v="AG017"/>
    <s v="COM050"/>
    <n v="4"/>
    <n v="48"/>
    <n v="0.02"/>
    <s v="Cash"/>
    <s v="Validée"/>
    <s v="Client 01392"/>
    <s v="Kisangani"/>
    <s v="PME"/>
    <s v="Webcam HD"/>
    <s v="Électronique"/>
    <s v="Entrée de gamme"/>
    <s v="Agence Matadi 3"/>
    <s v="Matadi"/>
    <s v="Commercial 050"/>
    <n v="56"/>
    <x v="1"/>
    <n v="65"/>
    <n v="7.7"/>
    <n v="3"/>
    <s v="Magasin"/>
    <n v="37.44"/>
    <n v="192"/>
    <n v="3.84"/>
    <n v="188.16"/>
    <n v="149.76"/>
    <n v="38.400000000000006"/>
    <n v="0.20408163265306126"/>
    <n v="2025"/>
    <n v="12"/>
    <s v="2025-12"/>
    <s v="T4"/>
    <s v="50+"/>
    <s v="bon"/>
    <s v="Rapide"/>
    <s v="Faible"/>
  </r>
  <r>
    <s v="TX0000586"/>
    <d v="2025-01-05T00:00:00"/>
    <s v="CLI01204"/>
    <s v="PRD001"/>
    <s v="AG013"/>
    <s v="COM002"/>
    <n v="1"/>
    <n v="120"/>
    <n v="0.02"/>
    <s v="Carte"/>
    <s v="Validée"/>
    <s v="Client 01204"/>
    <s v="Kinshasa"/>
    <s v="Institution"/>
    <s v="Smartphone A1"/>
    <s v="Électronique"/>
    <s v="Entrée de gamme"/>
    <s v="Agence Kinshasa 3"/>
    <s v="Kinshasa"/>
    <s v="Commercial 002"/>
    <n v="23"/>
    <x v="1"/>
    <n v="55"/>
    <n v="5.5"/>
    <n v="6"/>
    <s v="Magasin"/>
    <n v="73.2"/>
    <n v="120"/>
    <n v="2.4"/>
    <n v="117.6"/>
    <n v="73.2"/>
    <n v="44.399999999999991"/>
    <n v="0.37755102040816318"/>
    <n v="2025"/>
    <n v="1"/>
    <s v="2025-01"/>
    <s v="T1"/>
    <s v="22-29"/>
    <s v="moyen"/>
    <s v="Moyen"/>
    <s v="Faible"/>
  </r>
  <r>
    <s v="TX0000587"/>
    <d v="2025-12-01T00:00:00"/>
    <s v="CLI00913"/>
    <s v="PRD011"/>
    <s v="AG018"/>
    <s v="COM030"/>
    <n v="3"/>
    <n v="240"/>
    <n v="0.1"/>
    <s v="Virement"/>
    <s v="Validée"/>
    <s v="Client 00913"/>
    <s v="Kolwezi"/>
    <s v="Institution"/>
    <s v="Switch 24 Ports"/>
    <s v="Réseau"/>
    <s v="Premium"/>
    <s v="Agence Kolwezi 3"/>
    <s v="Kolwezi"/>
    <s v="Commercial 030"/>
    <n v="35"/>
    <x v="1"/>
    <n v="20"/>
    <n v="7.3"/>
    <n v="3"/>
    <s v="Web"/>
    <n v="177.6"/>
    <n v="720"/>
    <n v="72"/>
    <n v="648"/>
    <n v="532.79999999999995"/>
    <n v="115.20000000000005"/>
    <n v="0.17777777777777784"/>
    <n v="2025"/>
    <n v="12"/>
    <s v="2025-12"/>
    <s v="T4"/>
    <s v="30-39"/>
    <s v="bon"/>
    <s v="Rapide"/>
    <s v="Moyenne"/>
  </r>
  <r>
    <s v="TX0000588"/>
    <d v="2025-06-07T00:00:00"/>
    <s v="CLI00626"/>
    <s v="PRD007"/>
    <s v="AG005"/>
    <s v="COM014"/>
    <n v="1"/>
    <n v="145"/>
    <n v="0"/>
    <s v="Cash"/>
    <s v="Validée"/>
    <s v="Client 00626"/>
    <s v="Matadi"/>
    <s v="Institution"/>
    <s v="Écran 24 pouces"/>
    <s v="Informatique"/>
    <s v="Standard"/>
    <s v="Agence Matadi 1"/>
    <s v="Matadi"/>
    <s v="Commercial 014"/>
    <n v="43"/>
    <x v="1"/>
    <n v="40"/>
    <n v="5.5"/>
    <n v="6"/>
    <s v="Téléphone"/>
    <n v="97.15"/>
    <n v="145"/>
    <n v="0"/>
    <n v="145"/>
    <n v="97.15"/>
    <n v="47.849999999999994"/>
    <n v="0.32999999999999996"/>
    <n v="2025"/>
    <n v="6"/>
    <s v="2025-06"/>
    <s v="T2"/>
    <s v="40-49"/>
    <s v="moyen"/>
    <s v="Moyen"/>
    <s v="Faible"/>
  </r>
  <r>
    <s v="TX0000589"/>
    <d v="2025-06-11T00:00:00"/>
    <s v="CLI01428"/>
    <s v="PRD003"/>
    <s v="AG011"/>
    <s v="COM056"/>
    <n v="6"/>
    <n v="780"/>
    <n v="0.08"/>
    <s v="Carte"/>
    <s v="Validée"/>
    <s v="Client 01428"/>
    <s v="Kinshasa"/>
    <s v="Indépendant"/>
    <s v="Laptop Business 14"/>
    <s v="Informatique"/>
    <s v="Premium"/>
    <s v="Agence Matadi 2"/>
    <s v="Matadi"/>
    <s v="Commercial 056"/>
    <n v="28"/>
    <x v="0"/>
    <n v="17"/>
    <n v="7.6"/>
    <n v="2"/>
    <s v="Téléphone"/>
    <n v="468"/>
    <n v="4680"/>
    <n v="374.40000000000003"/>
    <n v="4305.6000000000004"/>
    <n v="2808"/>
    <n v="1497.6000000000004"/>
    <n v="0.34782608695652178"/>
    <n v="2025"/>
    <n v="6"/>
    <s v="2025-06"/>
    <s v="T2"/>
    <s v="22-29"/>
    <s v="bon"/>
    <s v="Rapide"/>
    <s v="Elevée"/>
  </r>
  <r>
    <s v="TX0000590"/>
    <d v="2025-04-22T00:00:00"/>
    <s v="CLI00669"/>
    <s v="PRD014"/>
    <s v="AG009"/>
    <s v="COM015"/>
    <n v="4"/>
    <n v="65"/>
    <n v="0"/>
    <s v="Carte"/>
    <s v="Validée"/>
    <s v="Client 00669"/>
    <s v="Lubumbashi"/>
    <s v="Grande entreprise"/>
    <s v="Casque Pro"/>
    <s v="Électronique"/>
    <s v="Standard"/>
    <s v="Agence Goma 2"/>
    <s v="Goma"/>
    <s v="Commercial 015"/>
    <n v="55"/>
    <x v="1"/>
    <n v="7"/>
    <n v="7.1"/>
    <n v="4"/>
    <s v="WhatsApp"/>
    <n v="47.45"/>
    <n v="260"/>
    <n v="0"/>
    <n v="260"/>
    <n v="189.8"/>
    <n v="70.199999999999989"/>
    <n v="0.26999999999999996"/>
    <n v="2025"/>
    <n v="4"/>
    <s v="2025-04"/>
    <s v="T2"/>
    <s v="50+"/>
    <s v="bon"/>
    <s v="Moyen"/>
    <s v="Faible"/>
  </r>
  <r>
    <s v="TX0000591"/>
    <d v="2025-08-16T00:00:00"/>
    <s v="CLI01801"/>
    <s v="PRD004"/>
    <s v="AG013"/>
    <s v="COM002"/>
    <n v="5"/>
    <n v="520"/>
    <n v="0.1"/>
    <s v="Carte"/>
    <s v="Validée"/>
    <s v="Client 01801"/>
    <s v="Matadi"/>
    <s v="Grande entreprise"/>
    <s v="Laptop Essential 15"/>
    <s v="Informatique"/>
    <s v="Standard"/>
    <s v="Agence Kinshasa 3"/>
    <s v="Kinshasa"/>
    <s v="Commercial 002"/>
    <n v="40"/>
    <x v="1"/>
    <n v="17"/>
    <n v="4.3"/>
    <n v="9"/>
    <s v="WhatsApp"/>
    <n v="348.4"/>
    <n v="2600"/>
    <n v="260"/>
    <n v="2340"/>
    <n v="1742"/>
    <n v="598"/>
    <n v="0.25555555555555554"/>
    <n v="2025"/>
    <n v="8"/>
    <s v="2025-08"/>
    <s v="T3"/>
    <s v="40-49"/>
    <s v="faible"/>
    <s v="Long"/>
    <s v="Elevée"/>
  </r>
  <r>
    <s v="TX0000592"/>
    <d v="2025-04-16T00:00:00"/>
    <s v="CLI01831"/>
    <s v="PRD015"/>
    <s v="AG013"/>
    <s v="COM013"/>
    <n v="4"/>
    <n v="48"/>
    <n v="0.05"/>
    <s v="Cash"/>
    <s v="Validée"/>
    <s v="Client 01831"/>
    <s v="Lubumbashi"/>
    <s v="Grande entreprise"/>
    <s v="Webcam HD"/>
    <s v="Électronique"/>
    <s v="Entrée de gamme"/>
    <s v="Agence Kinshasa 3"/>
    <s v="Kinshasa"/>
    <s v="Commercial 013"/>
    <n v="54"/>
    <x v="1"/>
    <n v="36"/>
    <n v="7.7"/>
    <n v="3"/>
    <s v="Téléphone"/>
    <n v="37.44"/>
    <n v="192"/>
    <n v="9.6000000000000014"/>
    <n v="182.4"/>
    <n v="149.76"/>
    <n v="32.640000000000015"/>
    <n v="0.17894736842105272"/>
    <n v="2025"/>
    <n v="4"/>
    <s v="2025-04"/>
    <s v="T2"/>
    <s v="50+"/>
    <s v="bon"/>
    <s v="Rapide"/>
    <s v="Faible"/>
  </r>
  <r>
    <s v="TX0000593"/>
    <d v="2025-04-18T00:00:00"/>
    <s v="CLI00718"/>
    <s v="PRD004"/>
    <s v="AG006"/>
    <s v="COM049"/>
    <n v="1"/>
    <n v="520"/>
    <n v="0.02"/>
    <s v="Virement"/>
    <s v="Validée"/>
    <s v="Client 00718"/>
    <s v="Kinshasa"/>
    <s v="Grande entreprise"/>
    <s v="Laptop Essential 15"/>
    <s v="Informatique"/>
    <s v="Standard"/>
    <s v="Agence Kolwezi 1"/>
    <s v="Kolwezi"/>
    <s v="Commercial 049"/>
    <n v="39"/>
    <x v="1"/>
    <n v="46"/>
    <n v="8.3000000000000007"/>
    <n v="2"/>
    <s v="Web"/>
    <n v="348.4"/>
    <n v="520"/>
    <n v="10.4"/>
    <n v="509.6"/>
    <n v="348.4"/>
    <n v="161.20000000000005"/>
    <n v="0.31632653061224497"/>
    <n v="2025"/>
    <n v="4"/>
    <s v="2025-04"/>
    <s v="T2"/>
    <s v="30-39"/>
    <s v="bon"/>
    <s v="Rapide"/>
    <s v="Moyenne"/>
  </r>
  <r>
    <s v="TX0000594"/>
    <d v="2025-02-16T00:00:00"/>
    <s v="CLI01298"/>
    <s v="PRD014"/>
    <s v="AG007"/>
    <s v="COM014"/>
    <n v="4"/>
    <n v="65"/>
    <n v="0"/>
    <s v="Mobile Money"/>
    <s v="Validée"/>
    <s v="Client 01298"/>
    <s v="Lubumbashi"/>
    <s v="Institution"/>
    <s v="Casque Pro"/>
    <s v="Électronique"/>
    <s v="Standard"/>
    <s v="Agence Kinshasa 2"/>
    <s v="Kinshasa"/>
    <s v="Commercial 014"/>
    <n v="60"/>
    <x v="0"/>
    <n v="38"/>
    <n v="8.4"/>
    <n v="1"/>
    <s v="Magasin"/>
    <n v="47.45"/>
    <n v="260"/>
    <n v="0"/>
    <n v="260"/>
    <n v="189.8"/>
    <n v="70.199999999999989"/>
    <n v="0.26999999999999996"/>
    <n v="2025"/>
    <n v="2"/>
    <s v="2025-02"/>
    <s v="T1"/>
    <s v="50+"/>
    <s v="bon"/>
    <s v="Rapide"/>
    <s v="Faible"/>
  </r>
  <r>
    <s v="TX0000595"/>
    <d v="2025-07-14T00:00:00"/>
    <s v="CLI00459"/>
    <s v="PRD015"/>
    <s v="AG001"/>
    <s v="COM001"/>
    <n v="4"/>
    <n v="48"/>
    <n v="0.02"/>
    <s v="Cash"/>
    <s v="Validée"/>
    <s v="Client 00459"/>
    <s v="Kolwezi"/>
    <s v="Indépendant"/>
    <s v="Webcam HD"/>
    <s v="Électronique"/>
    <s v="Entrée de gamme"/>
    <s v="Agence Kinshasa 1"/>
    <s v="Kinshasa"/>
    <s v="Commercial 001"/>
    <n v="29"/>
    <x v="0"/>
    <n v="50"/>
    <n v="4.3"/>
    <n v="9"/>
    <s v="Web"/>
    <n v="37.44"/>
    <n v="192"/>
    <n v="3.84"/>
    <n v="188.16"/>
    <n v="149.76"/>
    <n v="38.400000000000006"/>
    <n v="0.20408163265306126"/>
    <n v="2025"/>
    <n v="7"/>
    <s v="2025-07"/>
    <s v="T3"/>
    <s v="22-29"/>
    <s v="faible"/>
    <s v="Long"/>
    <s v="Faible"/>
  </r>
  <r>
    <s v="TX0000596"/>
    <d v="2025-11-30T00:00:00"/>
    <s v="CLI01270"/>
    <s v="PRD003"/>
    <s v="AG014"/>
    <s v="COM055"/>
    <n v="2"/>
    <n v="780"/>
    <n v="0.08"/>
    <s v="Cash"/>
    <s v="Validée"/>
    <s v="Client 01270"/>
    <s v="Goma"/>
    <s v="Indépendant"/>
    <s v="Laptop Business 14"/>
    <s v="Informatique"/>
    <s v="Premium"/>
    <s v="Agence Lubumbashi 3"/>
    <s v="Lubumbashi"/>
    <s v="Commercial 055"/>
    <n v="24"/>
    <x v="0"/>
    <n v="4"/>
    <n v="7.9"/>
    <n v="3"/>
    <s v="Magasin"/>
    <n v="468"/>
    <n v="1560"/>
    <n v="124.8"/>
    <n v="1435.2"/>
    <n v="936"/>
    <n v="499.20000000000005"/>
    <n v="0.34782608695652178"/>
    <n v="2025"/>
    <n v="11"/>
    <s v="2025-11"/>
    <s v="T4"/>
    <s v="22-29"/>
    <s v="bon"/>
    <s v="Rapide"/>
    <s v="Elevée"/>
  </r>
  <r>
    <s v="TX0000597"/>
    <d v="2025-11-28T00:00:00"/>
    <s v="CLI01597"/>
    <s v="PRD016"/>
    <s v="AG001"/>
    <s v="COM018"/>
    <n v="5"/>
    <n v="420"/>
    <n v="0"/>
    <s v="Carte"/>
    <s v="Validée"/>
    <s v="Client 01597"/>
    <s v="Lubumbashi"/>
    <s v="Indépendant"/>
    <s v="Projecteur HD"/>
    <s v="Bureautique"/>
    <s v="Premium"/>
    <s v="Agence Kinshasa 1"/>
    <s v="Kinshasa"/>
    <s v="Commercial 018"/>
    <n v="51"/>
    <x v="1"/>
    <n v="35"/>
    <n v="4.3"/>
    <n v="7"/>
    <s v="WhatsApp"/>
    <n v="273"/>
    <n v="2100"/>
    <n v="0"/>
    <n v="2100"/>
    <n v="1365"/>
    <n v="735"/>
    <n v="0.35"/>
    <n v="2025"/>
    <n v="11"/>
    <s v="2025-11"/>
    <s v="T4"/>
    <s v="50+"/>
    <s v="faible"/>
    <s v="Long"/>
    <s v="Elevée"/>
  </r>
  <r>
    <s v="TX0000598"/>
    <d v="2025-03-21T00:00:00"/>
    <s v="CLI00727"/>
    <s v="PRD001"/>
    <s v="AG005"/>
    <s v="COM034"/>
    <n v="1"/>
    <n v="120"/>
    <n v="0.02"/>
    <s v="Cash"/>
    <s v="Validée"/>
    <s v="Client 00727"/>
    <s v="Kisangani"/>
    <s v="Grande entreprise"/>
    <s v="Smartphone A1"/>
    <s v="Électronique"/>
    <s v="Entrée de gamme"/>
    <s v="Agence Matadi 1"/>
    <s v="Matadi"/>
    <s v="Commercial 034"/>
    <n v="52"/>
    <x v="1"/>
    <n v="18"/>
    <n v="3.9"/>
    <n v="8"/>
    <s v="Magasin"/>
    <n v="73.2"/>
    <n v="120"/>
    <n v="2.4"/>
    <n v="117.6"/>
    <n v="73.2"/>
    <n v="44.399999999999991"/>
    <n v="0.37755102040816318"/>
    <n v="2025"/>
    <n v="3"/>
    <s v="2025-03"/>
    <s v="T1"/>
    <s v="50+"/>
    <s v="faible"/>
    <s v="Long"/>
    <s v="Faible"/>
  </r>
  <r>
    <s v="TX0000599"/>
    <d v="2025-08-01T00:00:00"/>
    <s v="CLI00860"/>
    <s v="PRD010"/>
    <s v="AG012"/>
    <s v="COM040"/>
    <n v="5"/>
    <n v="95"/>
    <n v="0.02"/>
    <s v="Carte"/>
    <s v="Validée"/>
    <s v="Client 00860"/>
    <s v="Lubumbashi"/>
    <s v="PME"/>
    <s v="Routeur Business"/>
    <s v="Réseau"/>
    <s v="Standard"/>
    <s v="Agence Kolwezi 2"/>
    <s v="Kolwezi"/>
    <s v="Commercial 040"/>
    <n v="48"/>
    <x v="0"/>
    <n v="63"/>
    <n v="6.7"/>
    <n v="4"/>
    <s v="Magasin"/>
    <n v="70.3"/>
    <n v="475"/>
    <n v="9.5"/>
    <n v="465.5"/>
    <n v="351.5"/>
    <n v="114"/>
    <n v="0.24489795918367346"/>
    <n v="2025"/>
    <n v="8"/>
    <s v="2025-08"/>
    <s v="T3"/>
    <s v="40-49"/>
    <s v="moyen"/>
    <s v="Moyen"/>
    <s v="Faible"/>
  </r>
  <r>
    <s v="TX0000600"/>
    <d v="2025-02-26T00:00:00"/>
    <s v="CLI02125"/>
    <s v="PRD005"/>
    <s v="AG006"/>
    <s v="COM024"/>
    <n v="4"/>
    <n v="260"/>
    <n v="0"/>
    <s v="Mobile Money"/>
    <s v="Validée"/>
    <s v="Client 02125"/>
    <s v="Kinshasa"/>
    <s v="PME"/>
    <s v="Tablette T10"/>
    <s v="Électronique"/>
    <s v="Standard"/>
    <s v="Agence Kolwezi 1"/>
    <s v="Kolwezi"/>
    <s v="Commercial 024"/>
    <n v="60"/>
    <x v="0"/>
    <n v="5"/>
    <n v="8.8000000000000007"/>
    <n v="1"/>
    <s v="Web"/>
    <n v="189.8"/>
    <n v="1040"/>
    <n v="0"/>
    <n v="1040"/>
    <n v="759.2"/>
    <n v="280.79999999999995"/>
    <n v="0.26999999999999996"/>
    <n v="2025"/>
    <n v="2"/>
    <s v="2025-02"/>
    <s v="T1"/>
    <s v="50+"/>
    <s v="bon"/>
    <s v="Rapide"/>
    <s v="Elevée"/>
  </r>
  <r>
    <s v="TX0000601"/>
    <d v="2025-06-14T00:00:00"/>
    <s v="CLI01654"/>
    <s v="PRD012"/>
    <s v="AG009"/>
    <s v="COM040"/>
    <n v="1"/>
    <n v="180"/>
    <n v="0"/>
    <s v="Virement"/>
    <s v="Validée"/>
    <s v="Client 01654"/>
    <s v="Kinshasa"/>
    <s v="ONG"/>
    <s v="Onduleur 1200VA"/>
    <s v="Énergie"/>
    <s v="Standard"/>
    <s v="Agence Goma 2"/>
    <s v="Goma"/>
    <s v="Commercial 040"/>
    <n v="30"/>
    <x v="0"/>
    <n v="42"/>
    <n v="8.4"/>
    <n v="1"/>
    <s v="Web"/>
    <n v="129.6"/>
    <n v="180"/>
    <n v="0"/>
    <n v="180"/>
    <n v="129.6"/>
    <n v="50.400000000000006"/>
    <n v="0.28000000000000003"/>
    <n v="2025"/>
    <n v="6"/>
    <s v="2025-06"/>
    <s v="T2"/>
    <s v="30-39"/>
    <s v="bon"/>
    <s v="Rapide"/>
    <s v="Faible"/>
  </r>
  <r>
    <s v="TX0000602"/>
    <d v="2025-07-28T00:00:00"/>
    <s v="CLI01928"/>
    <s v="PRD002"/>
    <s v="AG005"/>
    <s v="COM059"/>
    <n v="1"/>
    <n v="350"/>
    <n v="0.02"/>
    <s v="Carte"/>
    <s v="Validée"/>
    <s v="Client 01928"/>
    <s v="Lubumbashi"/>
    <s v="Institution"/>
    <s v="Smartphone Pro X"/>
    <s v="Électronique"/>
    <s v="Premium"/>
    <s v="Agence Matadi 1"/>
    <s v="Matadi"/>
    <s v="Commercial 059"/>
    <n v="43"/>
    <x v="1"/>
    <n v="57"/>
    <n v="4.5999999999999996"/>
    <n v="8"/>
    <s v="Téléphone"/>
    <n v="213.5"/>
    <n v="350"/>
    <n v="7"/>
    <n v="343"/>
    <n v="213.5"/>
    <n v="129.5"/>
    <n v="0.37755102040816324"/>
    <n v="2025"/>
    <n v="7"/>
    <s v="2025-07"/>
    <s v="T3"/>
    <s v="40-49"/>
    <s v="faible"/>
    <s v="Long"/>
    <s v="Faible"/>
  </r>
  <r>
    <s v="TX0000603"/>
    <d v="2025-08-03T00:00:00"/>
    <s v="CLI00062"/>
    <s v="PRD012"/>
    <s v="AG008"/>
    <s v="COM006"/>
    <n v="20"/>
    <n v="180"/>
    <n v="0"/>
    <s v="Mobile Money"/>
    <s v="Validée"/>
    <s v="Client 00062"/>
    <s v="Lubumbashi"/>
    <s v="Indépendant"/>
    <s v="Onduleur 1200VA"/>
    <s v="Énergie"/>
    <s v="Standard"/>
    <s v="Agence Lubumbashi 2"/>
    <s v="Lubumbashi"/>
    <s v="Commercial 006"/>
    <n v="47"/>
    <x v="1"/>
    <n v="14"/>
    <n v="7.6"/>
    <n v="2"/>
    <s v="Magasin"/>
    <n v="129.6"/>
    <n v="3600"/>
    <n v="0"/>
    <n v="3600"/>
    <n v="2592"/>
    <n v="1008"/>
    <n v="0.28000000000000003"/>
    <n v="2025"/>
    <n v="8"/>
    <s v="2025-08"/>
    <s v="T3"/>
    <s v="40-49"/>
    <s v="bon"/>
    <s v="Rapide"/>
    <s v="Elevée"/>
  </r>
  <r>
    <s v="TX0000604"/>
    <d v="2025-11-05T00:00:00"/>
    <s v="CLI01701"/>
    <s v="PRD015"/>
    <s v="AG005"/>
    <s v="COM055"/>
    <n v="4"/>
    <n v="48"/>
    <n v="0"/>
    <s v="Virement"/>
    <s v="Validée"/>
    <s v="Client 01701"/>
    <s v="Kinshasa"/>
    <s v="ONG"/>
    <s v="Webcam HD"/>
    <s v="Électronique"/>
    <s v="Entrée de gamme"/>
    <s v="Agence Matadi 1"/>
    <s v="Matadi"/>
    <s v="Commercial 055"/>
    <n v="41"/>
    <x v="0"/>
    <n v="65"/>
    <n v="7.9"/>
    <n v="1"/>
    <s v="Téléphone"/>
    <n v="37.44"/>
    <n v="192"/>
    <n v="0"/>
    <n v="192"/>
    <n v="149.76"/>
    <n v="42.240000000000009"/>
    <n v="0.22000000000000006"/>
    <n v="2025"/>
    <n v="11"/>
    <s v="2025-11"/>
    <s v="T4"/>
    <s v="40-49"/>
    <s v="bon"/>
    <s v="Rapide"/>
    <s v="Faible"/>
  </r>
  <r>
    <s v="TX0000605"/>
    <d v="2025-10-04T00:00:00"/>
    <s v="CLI01053"/>
    <s v="PRD005"/>
    <s v="AG011"/>
    <s v="COM043"/>
    <n v="2"/>
    <n v="260"/>
    <n v="0.05"/>
    <s v="Cash"/>
    <s v="Validée"/>
    <s v="Client 01053"/>
    <s v="Goma"/>
    <s v="ONG"/>
    <s v="Tablette T10"/>
    <s v="Électronique"/>
    <s v="Standard"/>
    <s v="Agence Matadi 2"/>
    <s v="Matadi"/>
    <s v="Commercial 043"/>
    <n v="44"/>
    <x v="1"/>
    <n v="45"/>
    <n v="3.7"/>
    <n v="8"/>
    <s v="WhatsApp"/>
    <n v="189.8"/>
    <n v="520"/>
    <n v="26"/>
    <n v="494"/>
    <n v="379.6"/>
    <n v="114.39999999999998"/>
    <n v="0.231578947368421"/>
    <n v="2025"/>
    <n v="10"/>
    <s v="2025-10"/>
    <s v="T4"/>
    <s v="40-49"/>
    <s v="faible"/>
    <s v="Long"/>
    <s v="Faible"/>
  </r>
  <r>
    <s v="TX0000606"/>
    <d v="2025-03-08T00:00:00"/>
    <s v="CLI00804"/>
    <s v="PRD005"/>
    <s v="AG008"/>
    <s v="COM033"/>
    <n v="4"/>
    <n v="260"/>
    <n v="0"/>
    <s v="Carte"/>
    <s v="Validée"/>
    <s v="Client 00804"/>
    <s v="Matadi"/>
    <s v="Indépendant"/>
    <s v="Tablette T10"/>
    <s v="Électronique"/>
    <s v="Standard"/>
    <s v="Agence Lubumbashi 2"/>
    <s v="Lubumbashi"/>
    <s v="Commercial 033"/>
    <n v="57"/>
    <x v="0"/>
    <n v="33"/>
    <n v="8.4"/>
    <n v="1"/>
    <s v="Web"/>
    <n v="189.8"/>
    <n v="1040"/>
    <n v="0"/>
    <n v="1040"/>
    <n v="759.2"/>
    <n v="280.79999999999995"/>
    <n v="0.26999999999999996"/>
    <n v="2025"/>
    <n v="3"/>
    <s v="2025-03"/>
    <s v="T1"/>
    <s v="50+"/>
    <s v="bon"/>
    <s v="Rapide"/>
    <s v="Elevée"/>
  </r>
  <r>
    <s v="TX0000607"/>
    <d v="2025-11-11T00:00:00"/>
    <s v="CLI00389"/>
    <s v="PRD013"/>
    <s v="AG010"/>
    <s v="COM057"/>
    <n v="1"/>
    <n v="110"/>
    <n v="0"/>
    <s v="Virement"/>
    <s v="Validée"/>
    <s v="Client 00389"/>
    <s v="Kinshasa"/>
    <s v="Grande entreprise"/>
    <s v="Disque SSD 1TB"/>
    <s v="Informatique"/>
    <s v="Premium"/>
    <s v="Agence Kisangani 2"/>
    <s v="Kisangani"/>
    <s v="Commercial 057"/>
    <n v="49"/>
    <x v="1"/>
    <n v="53"/>
    <n v="7.6"/>
    <n v="2"/>
    <s v="Web"/>
    <n v="72.599999999999994"/>
    <n v="110"/>
    <n v="0"/>
    <n v="110"/>
    <n v="72.599999999999994"/>
    <n v="37.400000000000006"/>
    <n v="0.34"/>
    <n v="2025"/>
    <n v="11"/>
    <s v="2025-11"/>
    <s v="T4"/>
    <s v="40-49"/>
    <s v="bon"/>
    <s v="Rapide"/>
    <s v="Faible"/>
  </r>
  <r>
    <s v="TX0000608"/>
    <d v="2025-10-30T00:00:00"/>
    <s v="CLI01234"/>
    <s v="PRD011"/>
    <s v="AG015"/>
    <s v="COM043"/>
    <n v="2"/>
    <n v="240"/>
    <n v="0.05"/>
    <s v="Virement"/>
    <s v="Validée"/>
    <s v="Client 01234"/>
    <s v="Kisangani"/>
    <s v="ONG"/>
    <s v="Switch 24 Ports"/>
    <s v="Réseau"/>
    <s v="Premium"/>
    <s v="Agence Goma 3"/>
    <s v="Goma"/>
    <s v="Commercial 043"/>
    <n v="39"/>
    <x v="1"/>
    <n v="48"/>
    <n v="9.3000000000000007"/>
    <n v="1"/>
    <s v="Téléphone"/>
    <n v="177.6"/>
    <n v="480"/>
    <n v="24"/>
    <n v="456"/>
    <n v="355.2"/>
    <n v="100.80000000000001"/>
    <n v="0.22105263157894739"/>
    <n v="2025"/>
    <n v="10"/>
    <s v="2025-10"/>
    <s v="T4"/>
    <s v="30-39"/>
    <s v="excellent"/>
    <s v="Rapide"/>
    <s v="Faible"/>
  </r>
  <r>
    <s v="TX0000609"/>
    <d v="2025-12-05T00:00:00"/>
    <s v="CLI00540"/>
    <s v="PRD011"/>
    <s v="AG014"/>
    <s v="COM024"/>
    <n v="1"/>
    <n v="240"/>
    <n v="0.08"/>
    <s v="Cash"/>
    <s v="Validée"/>
    <s v="Client 00540"/>
    <s v="Lubumbashi"/>
    <s v="Indépendant"/>
    <s v="Switch 24 Ports"/>
    <s v="Réseau"/>
    <s v="Premium"/>
    <s v="Agence Lubumbashi 3"/>
    <s v="Lubumbashi"/>
    <s v="Commercial 024"/>
    <n v="42"/>
    <x v="0"/>
    <n v="50"/>
    <n v="8.1"/>
    <n v="2"/>
    <s v="Téléphone"/>
    <n v="177.6"/>
    <n v="240"/>
    <n v="19.2"/>
    <n v="220.8"/>
    <n v="177.6"/>
    <n v="43.200000000000017"/>
    <n v="0.19565217391304354"/>
    <n v="2025"/>
    <n v="12"/>
    <s v="2025-12"/>
    <s v="T4"/>
    <s v="40-49"/>
    <s v="bon"/>
    <s v="Rapide"/>
    <s v="Faible"/>
  </r>
  <r>
    <s v="TX0000610"/>
    <d v="2025-01-08T00:00:00"/>
    <s v="CLI01578"/>
    <s v="PRD002"/>
    <s v="AG007"/>
    <s v="COM012"/>
    <n v="1"/>
    <n v="350"/>
    <n v="0"/>
    <s v="Carte"/>
    <s v="Validée"/>
    <s v="Client 01578"/>
    <s v="Matadi"/>
    <s v="Grande entreprise"/>
    <s v="Smartphone Pro X"/>
    <s v="Électronique"/>
    <s v="Premium"/>
    <s v="Agence Kinshasa 2"/>
    <s v="Kinshasa"/>
    <s v="Commercial 012"/>
    <n v="42"/>
    <x v="0"/>
    <n v="7"/>
    <n v="2.9"/>
    <n v="9"/>
    <s v="Magasin"/>
    <n v="213.5"/>
    <n v="350"/>
    <n v="0"/>
    <n v="350"/>
    <n v="213.5"/>
    <n v="136.5"/>
    <n v="0.39"/>
    <n v="2025"/>
    <n v="1"/>
    <s v="2025-01"/>
    <s v="T1"/>
    <s v="40-49"/>
    <s v="faible"/>
    <s v="Long"/>
    <s v="Faible"/>
  </r>
  <r>
    <s v="TX0000611"/>
    <d v="2025-06-26T00:00:00"/>
    <s v="CLI01322"/>
    <s v="PRD001"/>
    <s v="AG016"/>
    <s v="COM031"/>
    <n v="1"/>
    <n v="120"/>
    <n v="0.1"/>
    <s v="Mobile Money"/>
    <s v="Validée"/>
    <s v="Client 01322"/>
    <s v="Kolwezi"/>
    <s v="Indépendant"/>
    <s v="Smartphone A1"/>
    <s v="Électronique"/>
    <s v="Entrée de gamme"/>
    <s v="Agence Kisangani 3"/>
    <s v="Kisangani"/>
    <s v="Commercial 031"/>
    <n v="32"/>
    <x v="0"/>
    <n v="14"/>
    <n v="5.6"/>
    <n v="7"/>
    <s v="Web"/>
    <n v="73.2"/>
    <n v="120"/>
    <n v="12"/>
    <n v="108"/>
    <n v="73.2"/>
    <n v="34.799999999999997"/>
    <n v="0.32222222222222219"/>
    <n v="2025"/>
    <n v="6"/>
    <s v="2025-06"/>
    <s v="T2"/>
    <s v="30-39"/>
    <s v="moyen"/>
    <s v="Long"/>
    <s v="Faible"/>
  </r>
  <r>
    <s v="TX0000612"/>
    <d v="2025-08-14T00:00:00"/>
    <s v="CLI00880"/>
    <s v="PRD015"/>
    <s v="AG009"/>
    <s v="COM035"/>
    <n v="1"/>
    <n v="48"/>
    <n v="0"/>
    <s v="Virement"/>
    <s v="Validée"/>
    <s v="Client 00880"/>
    <s v="Kolwezi"/>
    <s v="Indépendant"/>
    <s v="Webcam HD"/>
    <s v="Électronique"/>
    <s v="Entrée de gamme"/>
    <s v="Agence Goma 2"/>
    <s v="Goma"/>
    <s v="Commercial 035"/>
    <n v="22"/>
    <x v="1"/>
    <n v="6"/>
    <n v="4.8"/>
    <n v="8"/>
    <s v="WhatsApp"/>
    <n v="37.44"/>
    <n v="48"/>
    <n v="0"/>
    <n v="48"/>
    <n v="37.44"/>
    <n v="10.560000000000002"/>
    <n v="0.22000000000000006"/>
    <n v="2025"/>
    <n v="8"/>
    <s v="2025-08"/>
    <s v="T3"/>
    <s v="22-29"/>
    <s v="faible"/>
    <s v="Long"/>
    <s v="Faible"/>
  </r>
  <r>
    <s v="TX0000613"/>
    <d v="2025-09-07T00:00:00"/>
    <s v="CLI00764"/>
    <s v="PRD009"/>
    <s v="AG011"/>
    <s v="COM052"/>
    <n v="4"/>
    <n v="22"/>
    <n v="0.02"/>
    <s v="Cash"/>
    <s v="Validée"/>
    <s v="Client 00764"/>
    <s v="Lubumbashi"/>
    <s v="Institution"/>
    <s v="Souris Wireless"/>
    <s v="Informatique"/>
    <s v="Entrée de gamme"/>
    <s v="Agence Matadi 2"/>
    <s v="Matadi"/>
    <s v="Commercial 052"/>
    <n v="38"/>
    <x v="1"/>
    <n v="64"/>
    <n v="7.5"/>
    <n v="3"/>
    <s v="Magasin"/>
    <n v="14.96"/>
    <n v="88"/>
    <n v="1.76"/>
    <n v="86.24"/>
    <n v="59.84"/>
    <n v="26.399999999999991"/>
    <n v="0.30612244897959173"/>
    <n v="2025"/>
    <n v="9"/>
    <s v="2025-09"/>
    <s v="T3"/>
    <s v="30-39"/>
    <s v="bon"/>
    <s v="Rapide"/>
    <s v="Faible"/>
  </r>
  <r>
    <s v="TX0000614"/>
    <d v="2025-07-07T00:00:00"/>
    <s v="CLI01403"/>
    <s v="PRD009"/>
    <s v="AG003"/>
    <s v="COM051"/>
    <n v="2"/>
    <n v="22"/>
    <n v="0"/>
    <s v="Carte"/>
    <s v="Validée"/>
    <s v="Client 01403"/>
    <s v="Matadi"/>
    <s v="Institution"/>
    <s v="Souris Wireless"/>
    <s v="Informatique"/>
    <s v="Entrée de gamme"/>
    <s v="Agence Goma 1"/>
    <s v="Goma"/>
    <s v="Commercial 051"/>
    <n v="42"/>
    <x v="0"/>
    <n v="47"/>
    <n v="2.9"/>
    <n v="9"/>
    <s v="Téléphone"/>
    <n v="14.96"/>
    <n v="44"/>
    <n v="0"/>
    <n v="44"/>
    <n v="29.92"/>
    <n v="14.079999999999998"/>
    <n v="0.31999999999999995"/>
    <n v="2025"/>
    <n v="7"/>
    <s v="2025-07"/>
    <s v="T3"/>
    <s v="40-49"/>
    <s v="faible"/>
    <s v="Long"/>
    <s v="Faible"/>
  </r>
  <r>
    <s v="TX0000615"/>
    <d v="2025-12-31T00:00:00"/>
    <s v="CLI01874"/>
    <s v="PRD004"/>
    <s v="AG004"/>
    <s v="COM036"/>
    <n v="2"/>
    <n v="520"/>
    <n v="0.1"/>
    <s v="Virement"/>
    <s v="Validée"/>
    <s v="Client 01874"/>
    <s v="Lubumbashi"/>
    <s v="Institution"/>
    <s v="Laptop Essential 15"/>
    <s v="Informatique"/>
    <s v="Standard"/>
    <s v="Agence Kisangani 1"/>
    <s v="Kisangani"/>
    <s v="Commercial 036"/>
    <n v="31"/>
    <x v="1"/>
    <n v="23"/>
    <n v="8.6999999999999993"/>
    <n v="2"/>
    <s v="Magasin"/>
    <n v="348.4"/>
    <n v="1040"/>
    <n v="104"/>
    <n v="936"/>
    <n v="696.8"/>
    <n v="239.20000000000005"/>
    <n v="0.25555555555555559"/>
    <n v="2025"/>
    <n v="12"/>
    <s v="2025-12"/>
    <s v="T4"/>
    <s v="30-39"/>
    <s v="bon"/>
    <s v="Rapide"/>
    <s v="Moyenne"/>
  </r>
  <r>
    <s v="TX0000616"/>
    <d v="2025-07-23T00:00:00"/>
    <s v="CLI01787"/>
    <s v="PRD003"/>
    <s v="AG017"/>
    <s v="COM012"/>
    <n v="5"/>
    <n v="780"/>
    <n v="0.05"/>
    <s v="Carte"/>
    <s v="Validée"/>
    <s v="Client 01787"/>
    <s v="Kisangani"/>
    <s v="Grande entreprise"/>
    <s v="Laptop Business 14"/>
    <s v="Informatique"/>
    <s v="Premium"/>
    <s v="Agence Matadi 3"/>
    <s v="Matadi"/>
    <s v="Commercial 012"/>
    <n v="27"/>
    <x v="1"/>
    <n v="9"/>
    <n v="8.5"/>
    <n v="2"/>
    <s v="Web"/>
    <n v="468"/>
    <n v="3900"/>
    <n v="195"/>
    <n v="3705"/>
    <n v="2340"/>
    <n v="1365"/>
    <n v="0.36842105263157893"/>
    <n v="2025"/>
    <n v="7"/>
    <s v="2025-07"/>
    <s v="T3"/>
    <s v="22-29"/>
    <s v="bon"/>
    <s v="Rapide"/>
    <s v="Elevée"/>
  </r>
  <r>
    <s v="TX0000617"/>
    <d v="2025-07-01T00:00:00"/>
    <s v="CLI00909"/>
    <s v="PRD001"/>
    <s v="AG007"/>
    <s v="COM047"/>
    <n v="3"/>
    <n v="120"/>
    <n v="0.1"/>
    <s v="Carte"/>
    <s v="Validée"/>
    <s v="Client 00909"/>
    <s v="Kolwezi"/>
    <s v="ONG"/>
    <s v="Smartphone A1"/>
    <s v="Électronique"/>
    <s v="Entrée de gamme"/>
    <s v="Agence Kinshasa 2"/>
    <s v="Kinshasa"/>
    <s v="Commercial 047"/>
    <n v="23"/>
    <x v="0"/>
    <n v="72"/>
    <n v="6.3"/>
    <n v="5"/>
    <s v="Web"/>
    <n v="73.2"/>
    <n v="360"/>
    <n v="36"/>
    <n v="324"/>
    <n v="219.60000000000002"/>
    <n v="104.39999999999998"/>
    <n v="0.32222222222222213"/>
    <n v="2025"/>
    <n v="7"/>
    <s v="2025-07"/>
    <s v="T3"/>
    <s v="22-29"/>
    <s v="moyen"/>
    <s v="Moyen"/>
    <s v="Faible"/>
  </r>
  <r>
    <s v="TX0000618"/>
    <d v="2025-10-04T00:00:00"/>
    <s v="CLI02174"/>
    <s v="PRD002"/>
    <s v="AG018"/>
    <s v="COM024"/>
    <n v="1"/>
    <n v="350"/>
    <n v="0.05"/>
    <s v="Carte"/>
    <s v="Validée"/>
    <s v="Client 02174"/>
    <s v="Kinshasa"/>
    <s v="Institution"/>
    <s v="Smartphone Pro X"/>
    <s v="Électronique"/>
    <s v="Premium"/>
    <s v="Agence Kolwezi 3"/>
    <s v="Kolwezi"/>
    <s v="Commercial 024"/>
    <n v="24"/>
    <x v="1"/>
    <n v="23"/>
    <n v="3.9"/>
    <n v="8"/>
    <s v="WhatsApp"/>
    <n v="213.5"/>
    <n v="350"/>
    <n v="17.5"/>
    <n v="332.5"/>
    <n v="213.5"/>
    <n v="119"/>
    <n v="0.35789473684210527"/>
    <n v="2025"/>
    <n v="10"/>
    <s v="2025-10"/>
    <s v="T4"/>
    <s v="22-29"/>
    <s v="faible"/>
    <s v="Long"/>
    <s v="Faible"/>
  </r>
  <r>
    <s v="TX0000619"/>
    <d v="2025-03-19T00:00:00"/>
    <s v="CLI00411"/>
    <s v="PRD006"/>
    <s v="AG008"/>
    <s v="COM054"/>
    <n v="3"/>
    <n v="190"/>
    <n v="0.05"/>
    <s v="Mobile Money"/>
    <s v="Validée"/>
    <s v="Client 00411"/>
    <s v="Goma"/>
    <s v="Indépendant"/>
    <s v="Imprimante Office"/>
    <s v="Bureautique"/>
    <s v="Standard"/>
    <s v="Agence Lubumbashi 2"/>
    <s v="Lubumbashi"/>
    <s v="Commercial 054"/>
    <n v="53"/>
    <x v="0"/>
    <n v="37"/>
    <n v="8.8000000000000007"/>
    <n v="1"/>
    <s v="Téléphone"/>
    <n v="148.19999999999999"/>
    <n v="570"/>
    <n v="28.5"/>
    <n v="541.5"/>
    <n v="444.59999999999997"/>
    <n v="96.900000000000034"/>
    <n v="0.17894736842105269"/>
    <n v="2025"/>
    <n v="3"/>
    <s v="2025-03"/>
    <s v="T1"/>
    <s v="50+"/>
    <s v="bon"/>
    <s v="Rapide"/>
    <s v="Moyenne"/>
  </r>
  <r>
    <s v="TX0000620"/>
    <d v="2025-07-19T00:00:00"/>
    <s v="CLI01141"/>
    <s v="PRD002"/>
    <s v="AG013"/>
    <s v="COM019"/>
    <n v="6"/>
    <n v="350"/>
    <n v="0.02"/>
    <s v="Mobile Money"/>
    <s v="Validée"/>
    <s v="Client 01141"/>
    <s v="Goma"/>
    <s v="Institution"/>
    <s v="Smartphone Pro X"/>
    <s v="Électronique"/>
    <s v="Premium"/>
    <s v="Agence Kinshasa 3"/>
    <s v="Kinshasa"/>
    <s v="Commercial 019"/>
    <n v="25"/>
    <x v="1"/>
    <n v="18"/>
    <n v="6.6"/>
    <n v="3"/>
    <s v="Web"/>
    <n v="213.5"/>
    <n v="2100"/>
    <n v="42"/>
    <n v="2058"/>
    <n v="1281"/>
    <n v="777"/>
    <n v="0.37755102040816324"/>
    <n v="2025"/>
    <n v="7"/>
    <s v="2025-07"/>
    <s v="T3"/>
    <s v="22-29"/>
    <s v="moyen"/>
    <s v="Rapide"/>
    <s v="Elevée"/>
  </r>
  <r>
    <s v="TX0000621"/>
    <d v="2025-05-09T00:00:00"/>
    <s v="CLI00558"/>
    <s v="PRD010"/>
    <s v="AG001"/>
    <s v="COM005"/>
    <n v="4"/>
    <n v="95"/>
    <n v="0.08"/>
    <s v="Virement"/>
    <s v="Validée"/>
    <s v="Client 00558"/>
    <s v="Kinshasa"/>
    <s v="PME"/>
    <s v="Routeur Business"/>
    <s v="Réseau"/>
    <s v="Standard"/>
    <s v="Agence Kinshasa 1"/>
    <s v="Kinshasa"/>
    <s v="Commercial 005"/>
    <n v="46"/>
    <x v="0"/>
    <n v="31"/>
    <n v="3.4"/>
    <n v="9"/>
    <s v="Web"/>
    <n v="70.3"/>
    <n v="380"/>
    <n v="30.400000000000002"/>
    <n v="349.6"/>
    <n v="281.2"/>
    <n v="68.400000000000034"/>
    <n v="0.19565217391304357"/>
    <n v="2025"/>
    <n v="5"/>
    <s v="2025-05"/>
    <s v="T2"/>
    <s v="40-49"/>
    <s v="faible"/>
    <s v="Long"/>
    <s v="Faible"/>
  </r>
  <r>
    <s v="TX0000622"/>
    <d v="2025-03-15T00:00:00"/>
    <s v="CLI00274"/>
    <s v="PRD002"/>
    <s v="AG014"/>
    <s v="COM009"/>
    <n v="2"/>
    <n v="350"/>
    <n v="0"/>
    <s v="Carte"/>
    <s v="Validée"/>
    <s v="Client 00274"/>
    <s v="Lubumbashi"/>
    <s v="Indépendant"/>
    <s v="Smartphone Pro X"/>
    <s v="Électronique"/>
    <s v="Premium"/>
    <s v="Agence Lubumbashi 3"/>
    <s v="Lubumbashi"/>
    <s v="Commercial 009"/>
    <n v="35"/>
    <x v="0"/>
    <n v="53"/>
    <n v="7.4"/>
    <n v="2"/>
    <s v="Téléphone"/>
    <n v="213.5"/>
    <n v="700"/>
    <n v="0"/>
    <n v="700"/>
    <n v="427"/>
    <n v="273"/>
    <n v="0.39"/>
    <n v="2025"/>
    <n v="3"/>
    <s v="2025-03"/>
    <s v="T1"/>
    <s v="30-39"/>
    <s v="bon"/>
    <s v="Rapide"/>
    <s v="Moyenne"/>
  </r>
  <r>
    <s v="TX0000623"/>
    <d v="2025-04-10T00:00:00"/>
    <s v="CLI00654"/>
    <s v="PRD014"/>
    <s v="AG013"/>
    <s v="COM038"/>
    <n v="1"/>
    <n v="65"/>
    <n v="0"/>
    <s v="Cash"/>
    <s v="Validée"/>
    <s v="Client 00654"/>
    <s v="Kinshasa"/>
    <s v="Institution"/>
    <s v="Casque Pro"/>
    <s v="Électronique"/>
    <s v="Standard"/>
    <s v="Agence Kinshasa 3"/>
    <s v="Kinshasa"/>
    <s v="Commercial 038"/>
    <n v="35"/>
    <x v="1"/>
    <n v="36"/>
    <n v="7.5"/>
    <n v="3"/>
    <s v="Web"/>
    <n v="47.45"/>
    <n v="65"/>
    <n v="0"/>
    <n v="65"/>
    <n v="47.45"/>
    <n v="17.549999999999997"/>
    <n v="0.26999999999999996"/>
    <n v="2025"/>
    <n v="4"/>
    <s v="2025-04"/>
    <s v="T2"/>
    <s v="30-39"/>
    <s v="bon"/>
    <s v="Rapide"/>
    <s v="Faible"/>
  </r>
  <r>
    <s v="TX0000624"/>
    <d v="2025-10-27T00:00:00"/>
    <s v="CLI01132"/>
    <s v="PRD005"/>
    <s v="AG013"/>
    <s v="COM008"/>
    <n v="10"/>
    <n v="260"/>
    <n v="0"/>
    <s v="Carte"/>
    <s v="Validée"/>
    <s v="Client 01132"/>
    <s v="Goma"/>
    <s v="Grande entreprise"/>
    <s v="Tablette T10"/>
    <s v="Électronique"/>
    <s v="Standard"/>
    <s v="Agence Kinshasa 3"/>
    <s v="Kinshasa"/>
    <s v="Commercial 008"/>
    <n v="42"/>
    <x v="1"/>
    <n v="7"/>
    <n v="5.3"/>
    <n v="6"/>
    <s v="WhatsApp"/>
    <n v="189.8"/>
    <n v="2600"/>
    <n v="0"/>
    <n v="2600"/>
    <n v="1898"/>
    <n v="702"/>
    <n v="0.27"/>
    <n v="2025"/>
    <n v="10"/>
    <s v="2025-10"/>
    <s v="T4"/>
    <s v="40-49"/>
    <s v="moyen"/>
    <s v="Moyen"/>
    <s v="Elevée"/>
  </r>
  <r>
    <s v="TX0000625"/>
    <d v="2025-03-02T00:00:00"/>
    <s v="CLI01129"/>
    <s v="PRD011"/>
    <s v="AG001"/>
    <s v="COM041"/>
    <n v="3"/>
    <n v="240"/>
    <n v="0.05"/>
    <s v="Cash"/>
    <s v="Validée"/>
    <s v="Client 01129"/>
    <s v="Kolwezi"/>
    <s v="ONG"/>
    <s v="Switch 24 Ports"/>
    <s v="Réseau"/>
    <s v="Premium"/>
    <s v="Agence Kinshasa 1"/>
    <s v="Kinshasa"/>
    <s v="Commercial 041"/>
    <n v="49"/>
    <x v="1"/>
    <n v="56"/>
    <n v="6.8"/>
    <n v="3"/>
    <s v="WhatsApp"/>
    <n v="177.6"/>
    <n v="720"/>
    <n v="36"/>
    <n v="684"/>
    <n v="532.79999999999995"/>
    <n v="151.20000000000005"/>
    <n v="0.22105263157894744"/>
    <n v="2025"/>
    <n v="3"/>
    <s v="2025-03"/>
    <s v="T1"/>
    <s v="40-49"/>
    <s v="moyen"/>
    <s v="Rapide"/>
    <s v="Moyenne"/>
  </r>
  <r>
    <s v="TX0000626"/>
    <d v="2025-03-05T00:00:00"/>
    <s v="CLI01930"/>
    <s v="PRD008"/>
    <s v="AG015"/>
    <s v="COM020"/>
    <n v="3"/>
    <n v="35"/>
    <n v="0.05"/>
    <s v="Mobile Money"/>
    <s v="Validée"/>
    <s v="Client 01930"/>
    <s v="Matadi"/>
    <s v="Grande entreprise"/>
    <s v="Clavier Pro"/>
    <s v="Informatique"/>
    <s v="Entrée de gamme"/>
    <s v="Agence Goma 3"/>
    <s v="Goma"/>
    <s v="Commercial 020"/>
    <n v="43"/>
    <x v="1"/>
    <n v="59"/>
    <n v="3.4"/>
    <n v="9"/>
    <s v="Web"/>
    <n v="24.15"/>
    <n v="105"/>
    <n v="5.25"/>
    <n v="99.75"/>
    <n v="72.449999999999989"/>
    <n v="27.300000000000011"/>
    <n v="0.27368421052631592"/>
    <n v="2025"/>
    <n v="3"/>
    <s v="2025-03"/>
    <s v="T1"/>
    <s v="40-49"/>
    <s v="faible"/>
    <s v="Long"/>
    <s v="Faible"/>
  </r>
  <r>
    <s v="TX0000627"/>
    <d v="2025-05-11T00:00:00"/>
    <s v="CLI01399"/>
    <s v="PRD009"/>
    <s v="AG002"/>
    <s v="COM025"/>
    <n v="1"/>
    <n v="22"/>
    <n v="0.02"/>
    <s v="Mobile Money"/>
    <s v="Validée"/>
    <s v="Client 01399"/>
    <s v="Kisangani"/>
    <s v="PME"/>
    <s v="Souris Wireless"/>
    <s v="Informatique"/>
    <s v="Entrée de gamme"/>
    <s v="Agence Lubumbashi 1"/>
    <s v="Lubumbashi"/>
    <s v="Commercial 025"/>
    <n v="32"/>
    <x v="0"/>
    <n v="35"/>
    <n v="8.1"/>
    <n v="3"/>
    <s v="Magasin"/>
    <n v="14.96"/>
    <n v="22"/>
    <n v="0.44"/>
    <n v="21.56"/>
    <n v="14.96"/>
    <n v="6.5999999999999979"/>
    <n v="0.30612244897959173"/>
    <n v="2025"/>
    <n v="5"/>
    <s v="2025-05"/>
    <s v="T2"/>
    <s v="30-39"/>
    <s v="bon"/>
    <s v="Rapide"/>
    <s v="Faible"/>
  </r>
  <r>
    <s v="TX0000628"/>
    <d v="2025-02-22T00:00:00"/>
    <s v="CLI01996"/>
    <s v="PRD010"/>
    <s v="AG008"/>
    <s v="COM034"/>
    <n v="1"/>
    <n v="95"/>
    <n v="0.08"/>
    <s v="Virement"/>
    <s v="Validée"/>
    <s v="Client 01996"/>
    <s v="Lubumbashi"/>
    <s v="Institution"/>
    <s v="Routeur Business"/>
    <s v="Réseau"/>
    <s v="Standard"/>
    <s v="Agence Lubumbashi 2"/>
    <s v="Lubumbashi"/>
    <s v="Commercial 034"/>
    <n v="43"/>
    <x v="0"/>
    <n v="56"/>
    <n v="4.3"/>
    <n v="9"/>
    <s v="Téléphone"/>
    <n v="70.3"/>
    <n v="95"/>
    <n v="7.6000000000000005"/>
    <n v="87.4"/>
    <n v="70.3"/>
    <n v="17.100000000000009"/>
    <n v="0.19565217391304357"/>
    <n v="2025"/>
    <n v="2"/>
    <s v="2025-02"/>
    <s v="T1"/>
    <s v="40-49"/>
    <s v="faible"/>
    <s v="Long"/>
    <s v="Faible"/>
  </r>
  <r>
    <s v="TX0000629"/>
    <d v="2025-11-23T00:00:00"/>
    <s v="CLI02026"/>
    <s v="PRD014"/>
    <s v="AG014"/>
    <s v="COM004"/>
    <n v="1"/>
    <n v="65"/>
    <n v="0.1"/>
    <s v="Virement"/>
    <s v="Validée"/>
    <s v="Client 02026"/>
    <s v="Kinshasa"/>
    <s v="Indépendant"/>
    <s v="Casque Pro"/>
    <s v="Électronique"/>
    <s v="Standard"/>
    <s v="Agence Lubumbashi 3"/>
    <s v="Lubumbashi"/>
    <s v="Commercial 004"/>
    <n v="60"/>
    <x v="1"/>
    <n v="38"/>
    <n v="4.0999999999999996"/>
    <n v="7"/>
    <s v="Téléphone"/>
    <n v="47.45"/>
    <n v="65"/>
    <n v="6.5"/>
    <n v="58.5"/>
    <n v="47.45"/>
    <n v="11.049999999999997"/>
    <n v="0.18888888888888883"/>
    <n v="2025"/>
    <n v="11"/>
    <s v="2025-11"/>
    <s v="T4"/>
    <s v="50+"/>
    <s v="faible"/>
    <s v="Long"/>
    <s v="Faible"/>
  </r>
  <r>
    <s v="TX0000630"/>
    <d v="2025-08-03T00:00:00"/>
    <s v="CLI01130"/>
    <s v="PRD009"/>
    <s v="AG017"/>
    <s v="COM022"/>
    <n v="3"/>
    <n v="22"/>
    <n v="0"/>
    <s v="Virement"/>
    <s v="Validée"/>
    <s v="Client 01130"/>
    <s v="Matadi"/>
    <s v="PME"/>
    <s v="Souris Wireless"/>
    <s v="Informatique"/>
    <s v="Entrée de gamme"/>
    <s v="Agence Matadi 3"/>
    <s v="Matadi"/>
    <s v="Commercial 022"/>
    <n v="44"/>
    <x v="0"/>
    <n v="30"/>
    <n v="6"/>
    <n v="4"/>
    <s v="Téléphone"/>
    <n v="14.96"/>
    <n v="66"/>
    <n v="0"/>
    <n v="66"/>
    <n v="44.88"/>
    <n v="21.119999999999997"/>
    <n v="0.31999999999999995"/>
    <n v="2025"/>
    <n v="8"/>
    <s v="2025-08"/>
    <s v="T3"/>
    <s v="40-49"/>
    <s v="moyen"/>
    <s v="Moyen"/>
    <s v="Faible"/>
  </r>
  <r>
    <s v="TX0000631"/>
    <d v="2025-09-11T00:00:00"/>
    <s v="CLI00415"/>
    <s v="PRD016"/>
    <s v="AG008"/>
    <s v="COM038"/>
    <n v="1"/>
    <n v="420"/>
    <n v="0.02"/>
    <s v="Virement"/>
    <s v="Validée"/>
    <s v="Client 00415"/>
    <s v="Goma"/>
    <s v="PME"/>
    <s v="Projecteur HD"/>
    <s v="Bureautique"/>
    <s v="Premium"/>
    <s v="Agence Lubumbashi 2"/>
    <s v="Lubumbashi"/>
    <s v="Commercial 038"/>
    <n v="57"/>
    <x v="0"/>
    <n v="43"/>
    <n v="5.7"/>
    <n v="6"/>
    <s v="WhatsApp"/>
    <n v="273"/>
    <n v="420"/>
    <n v="8.4"/>
    <n v="411.6"/>
    <n v="273"/>
    <n v="138.60000000000002"/>
    <n v="0.33673469387755106"/>
    <n v="2025"/>
    <n v="9"/>
    <s v="2025-09"/>
    <s v="T3"/>
    <s v="50+"/>
    <s v="moyen"/>
    <s v="Moyen"/>
    <s v="Faible"/>
  </r>
  <r>
    <s v="TX0000632"/>
    <d v="2025-12-08T00:00:00"/>
    <s v="CLI01999"/>
    <s v="PRD013"/>
    <s v="AG017"/>
    <s v="COM056"/>
    <n v="2"/>
    <n v="110"/>
    <n v="0.05"/>
    <s v="Cash"/>
    <s v="Validée"/>
    <s v="Client 01999"/>
    <s v="Goma"/>
    <s v="ONG"/>
    <s v="Disque SSD 1TB"/>
    <s v="Informatique"/>
    <s v="Premium"/>
    <s v="Agence Matadi 3"/>
    <s v="Matadi"/>
    <s v="Commercial 056"/>
    <n v="37"/>
    <x v="0"/>
    <n v="23"/>
    <n v="5"/>
    <n v="7"/>
    <s v="WhatsApp"/>
    <n v="72.599999999999994"/>
    <n v="220"/>
    <n v="11"/>
    <n v="209"/>
    <n v="145.19999999999999"/>
    <n v="63.800000000000011"/>
    <n v="0.3052631578947369"/>
    <n v="2025"/>
    <n v="12"/>
    <s v="2025-12"/>
    <s v="T4"/>
    <s v="30-39"/>
    <s v="moyen"/>
    <s v="Long"/>
    <s v="Faible"/>
  </r>
  <r>
    <s v="TX0000633"/>
    <d v="2025-05-03T00:00:00"/>
    <s v="CLI00404"/>
    <s v="PRD004"/>
    <s v="AG004"/>
    <s v="COM049"/>
    <n v="2"/>
    <n v="520"/>
    <n v="0.08"/>
    <s v="Mobile Money"/>
    <s v="Validée"/>
    <s v="Client 00404"/>
    <s v="Matadi"/>
    <s v="Institution"/>
    <s v="Laptop Essential 15"/>
    <s v="Informatique"/>
    <s v="Standard"/>
    <s v="Agence Kisangani 1"/>
    <s v="Kisangani"/>
    <s v="Commercial 049"/>
    <n v="25"/>
    <x v="0"/>
    <n v="36"/>
    <n v="5.5"/>
    <n v="6"/>
    <s v="Téléphone"/>
    <n v="348.4"/>
    <n v="1040"/>
    <n v="83.2"/>
    <n v="956.8"/>
    <n v="696.8"/>
    <n v="260"/>
    <n v="0.27173913043478259"/>
    <n v="2025"/>
    <n v="5"/>
    <s v="2025-05"/>
    <s v="T2"/>
    <s v="22-29"/>
    <s v="moyen"/>
    <s v="Moyen"/>
    <s v="Moyenne"/>
  </r>
  <r>
    <s v="TX0000635"/>
    <d v="2025-04-03T00:00:00"/>
    <s v="CLI01769"/>
    <s v="PRD001"/>
    <s v="AG007"/>
    <s v="COM037"/>
    <n v="1"/>
    <n v="120"/>
    <n v="0"/>
    <s v="Cash"/>
    <s v="Validée"/>
    <s v="Client 01769"/>
    <s v="Kolwezi"/>
    <s v="Institution"/>
    <s v="Smartphone A1"/>
    <s v="Électronique"/>
    <s v="Entrée de gamme"/>
    <s v="Agence Kinshasa 2"/>
    <s v="Kinshasa"/>
    <s v="Commercial 037"/>
    <n v="60"/>
    <x v="1"/>
    <n v="55"/>
    <n v="8.5"/>
    <n v="2"/>
    <s v="WhatsApp"/>
    <n v="73.2"/>
    <n v="120"/>
    <n v="0"/>
    <n v="120"/>
    <n v="73.2"/>
    <n v="46.8"/>
    <n v="0.38999999999999996"/>
    <n v="2025"/>
    <n v="4"/>
    <s v="2025-04"/>
    <s v="T2"/>
    <s v="50+"/>
    <s v="bon"/>
    <s v="Rapide"/>
    <s v="Faible"/>
  </r>
  <r>
    <s v="TX0000636"/>
    <d v="2025-05-10T00:00:00"/>
    <s v="CLI01689"/>
    <s v="PRD001"/>
    <s v="AG015"/>
    <s v="COM055"/>
    <n v="2"/>
    <n v="120"/>
    <n v="0.08"/>
    <s v="Virement"/>
    <s v="Validée"/>
    <s v="Client 01689"/>
    <s v="Matadi"/>
    <s v="Grande entreprise"/>
    <s v="Smartphone A1"/>
    <s v="Électronique"/>
    <s v="Entrée de gamme"/>
    <s v="Agence Goma 3"/>
    <s v="Goma"/>
    <s v="Commercial 055"/>
    <n v="42"/>
    <x v="1"/>
    <n v="13"/>
    <n v="8.1"/>
    <n v="3"/>
    <s v="Web"/>
    <n v="73.2"/>
    <n v="240"/>
    <n v="19.2"/>
    <n v="220.8"/>
    <n v="146.4"/>
    <n v="74.400000000000006"/>
    <n v="0.33695652173913043"/>
    <n v="2025"/>
    <n v="5"/>
    <s v="2025-05"/>
    <s v="T2"/>
    <s v="40-49"/>
    <s v="bon"/>
    <s v="Rapide"/>
    <s v="Faible"/>
  </r>
  <r>
    <s v="TX0000637"/>
    <d v="2025-01-25T00:00:00"/>
    <s v="CLI01019"/>
    <s v="PRD009"/>
    <s v="AG015"/>
    <s v="COM051"/>
    <n v="2"/>
    <n v="22"/>
    <n v="0.08"/>
    <s v="Virement"/>
    <s v="Validée"/>
    <s v="Client 01019"/>
    <s v="Kolwezi"/>
    <s v="Indépendant"/>
    <s v="Souris Wireless"/>
    <s v="Informatique"/>
    <s v="Entrée de gamme"/>
    <s v="Agence Goma 3"/>
    <s v="Goma"/>
    <s v="Commercial 051"/>
    <n v="39"/>
    <x v="1"/>
    <n v="51"/>
    <n v="8"/>
    <n v="2"/>
    <s v="Téléphone"/>
    <n v="14.96"/>
    <n v="44"/>
    <n v="3.52"/>
    <n v="40.479999999999997"/>
    <n v="29.92"/>
    <n v="10.559999999999995"/>
    <n v="0.26086956521739119"/>
    <n v="2025"/>
    <n v="1"/>
    <s v="2025-01"/>
    <s v="T1"/>
    <s v="30-39"/>
    <s v="bon"/>
    <s v="Rapide"/>
    <s v="Faible"/>
  </r>
  <r>
    <s v="TX0000638"/>
    <d v="2025-10-08T00:00:00"/>
    <s v="CLI00658"/>
    <s v="PRD007"/>
    <s v="AG018"/>
    <s v="COM050"/>
    <n v="3"/>
    <n v="145"/>
    <n v="0.08"/>
    <s v="Mobile Money"/>
    <s v="Validée"/>
    <s v="Client 00658"/>
    <s v="Kinshasa"/>
    <s v="Institution"/>
    <s v="Écran 24 pouces"/>
    <s v="Informatique"/>
    <s v="Standard"/>
    <s v="Agence Kolwezi 3"/>
    <s v="Kolwezi"/>
    <s v="Commercial 050"/>
    <n v="60"/>
    <x v="1"/>
    <n v="35"/>
    <n v="7.3"/>
    <n v="3"/>
    <s v="Magasin"/>
    <n v="97.15"/>
    <n v="435"/>
    <n v="34.800000000000004"/>
    <n v="400.2"/>
    <n v="291.45000000000005"/>
    <n v="108.74999999999994"/>
    <n v="0.27173913043478248"/>
    <n v="2025"/>
    <n v="10"/>
    <s v="2025-10"/>
    <s v="T4"/>
    <s v="50+"/>
    <s v="bon"/>
    <s v="Rapide"/>
    <s v="Faible"/>
  </r>
  <r>
    <s v="TX0000639"/>
    <d v="2025-06-30T00:00:00"/>
    <s v="CLI00705"/>
    <s v="PRD016"/>
    <s v="AG003"/>
    <s v="COM022"/>
    <n v="3"/>
    <n v="420"/>
    <n v="0.08"/>
    <s v="Carte"/>
    <s v="Validée"/>
    <s v="Client 00705"/>
    <s v="Goma"/>
    <s v="ONG"/>
    <s v="Projecteur HD"/>
    <s v="Bureautique"/>
    <s v="Premium"/>
    <s v="Agence Goma 1"/>
    <s v="Goma"/>
    <s v="Commercial 022"/>
    <n v="60"/>
    <x v="0"/>
    <n v="55"/>
    <n v="7.2"/>
    <n v="2"/>
    <s v="Téléphone"/>
    <n v="273"/>
    <n v="1260"/>
    <n v="100.8"/>
    <n v="1159.2"/>
    <n v="819"/>
    <n v="340.20000000000005"/>
    <n v="0.29347826086956524"/>
    <n v="2025"/>
    <n v="6"/>
    <s v="2025-06"/>
    <s v="T2"/>
    <s v="50+"/>
    <s v="bon"/>
    <s v="Rapide"/>
    <s v="Elevée"/>
  </r>
  <r>
    <s v="TX0000640"/>
    <d v="2025-07-27T00:00:00"/>
    <s v="CLI01253"/>
    <s v="PRD004"/>
    <s v="AG003"/>
    <s v="COM041"/>
    <n v="2"/>
    <n v="520"/>
    <n v="0.02"/>
    <s v="Carte"/>
    <s v="Validée"/>
    <s v="Client 01253"/>
    <s v="Matadi"/>
    <s v="Institution"/>
    <s v="Laptop Essential 15"/>
    <s v="Informatique"/>
    <s v="Standard"/>
    <s v="Agence Goma 1"/>
    <s v="Goma"/>
    <s v="Commercial 041"/>
    <n v="36"/>
    <x v="1"/>
    <n v="35"/>
    <n v="3.7"/>
    <n v="8"/>
    <s v="WhatsApp"/>
    <n v="348.4"/>
    <n v="1040"/>
    <n v="20.8"/>
    <n v="1019.2"/>
    <n v="696.8"/>
    <n v="322.40000000000009"/>
    <n v="0.31632653061224497"/>
    <n v="2025"/>
    <n v="7"/>
    <s v="2025-07"/>
    <s v="T3"/>
    <s v="30-39"/>
    <s v="faible"/>
    <s v="Long"/>
    <s v="Elevée"/>
  </r>
  <r>
    <s v="TX0000642"/>
    <d v="2025-10-25T00:00:00"/>
    <s v="CLI01323"/>
    <s v="PRD001"/>
    <s v="AG004"/>
    <s v="COM013"/>
    <n v="2"/>
    <n v="120"/>
    <n v="0.05"/>
    <s v="Virement"/>
    <s v="Validée"/>
    <s v="Client 01323"/>
    <s v="Kolwezi"/>
    <s v="ONG"/>
    <s v="Smartphone A1"/>
    <s v="Électronique"/>
    <s v="Entrée de gamme"/>
    <s v="Agence Kisangani 1"/>
    <s v="Kisangani"/>
    <s v="Commercial 013"/>
    <n v="60"/>
    <x v="0"/>
    <n v="14"/>
    <n v="7.3"/>
    <n v="3"/>
    <s v="Web"/>
    <n v="73.2"/>
    <n v="240"/>
    <n v="12"/>
    <n v="228"/>
    <n v="146.4"/>
    <n v="81.599999999999994"/>
    <n v="0.35789473684210527"/>
    <n v="2025"/>
    <n v="10"/>
    <s v="2025-10"/>
    <s v="T4"/>
    <s v="50+"/>
    <s v="bon"/>
    <s v="Rapide"/>
    <s v="Faible"/>
  </r>
  <r>
    <s v="TX0000643"/>
    <d v="2025-02-17T00:00:00"/>
    <s v="CLI00729"/>
    <s v="PRD013"/>
    <s v="AG003"/>
    <s v="COM013"/>
    <n v="1"/>
    <n v="110"/>
    <n v="0.05"/>
    <s v="Mobile Money"/>
    <s v="Validée"/>
    <s v="Client 00729"/>
    <s v="Goma"/>
    <s v="PME"/>
    <s v="Disque SSD 1TB"/>
    <s v="Informatique"/>
    <s v="Premium"/>
    <s v="Agence Goma 1"/>
    <s v="Goma"/>
    <s v="Commercial 013"/>
    <n v="45"/>
    <x v="0"/>
    <n v="70"/>
    <n v="4.8"/>
    <n v="8"/>
    <s v="WhatsApp"/>
    <n v="72.599999999999994"/>
    <n v="110"/>
    <n v="5.5"/>
    <n v="104.5"/>
    <n v="72.599999999999994"/>
    <n v="31.900000000000006"/>
    <n v="0.3052631578947369"/>
    <n v="2025"/>
    <n v="2"/>
    <s v="2025-02"/>
    <s v="T1"/>
    <s v="40-49"/>
    <s v="faible"/>
    <s v="Long"/>
    <s v="Faible"/>
  </r>
  <r>
    <s v="TX0000644"/>
    <d v="2025-07-23T00:00:00"/>
    <s v="CLI00598"/>
    <s v="PRD011"/>
    <s v="AG018"/>
    <s v="COM023"/>
    <n v="1"/>
    <n v="240"/>
    <n v="0.02"/>
    <s v="Cash"/>
    <s v="Validée"/>
    <s v="Client 00598"/>
    <s v="Kisangani"/>
    <s v="ONG"/>
    <s v="Switch 24 Ports"/>
    <s v="Réseau"/>
    <s v="Premium"/>
    <s v="Agence Kolwezi 3"/>
    <s v="Kolwezi"/>
    <s v="Commercial 023"/>
    <n v="28"/>
    <x v="1"/>
    <n v="49"/>
    <n v="3.5"/>
    <n v="8"/>
    <s v="Web"/>
    <n v="177.6"/>
    <n v="240"/>
    <n v="4.8"/>
    <n v="235.2"/>
    <n v="177.6"/>
    <n v="57.599999999999994"/>
    <n v="0.24489795918367346"/>
    <n v="2025"/>
    <n v="7"/>
    <s v="2025-07"/>
    <s v="T3"/>
    <s v="22-29"/>
    <s v="faible"/>
    <s v="Long"/>
    <s v="Faible"/>
  </r>
  <r>
    <s v="TX0000645"/>
    <d v="2025-08-15T00:00:00"/>
    <s v="CLI01204"/>
    <s v="PRD003"/>
    <s v="AG011"/>
    <s v="COM015"/>
    <n v="5"/>
    <n v="780"/>
    <n v="0"/>
    <s v="Carte"/>
    <s v="Validée"/>
    <s v="Client 01204"/>
    <s v="Kinshasa"/>
    <s v="Institution"/>
    <s v="Laptop Business 14"/>
    <s v="Informatique"/>
    <s v="Premium"/>
    <s v="Agence Matadi 2"/>
    <s v="Matadi"/>
    <s v="Commercial 015"/>
    <n v="23"/>
    <x v="1"/>
    <n v="55"/>
    <n v="6.7"/>
    <n v="4"/>
    <s v="WhatsApp"/>
    <n v="468"/>
    <n v="3900"/>
    <n v="0"/>
    <n v="3900"/>
    <n v="2340"/>
    <n v="1560"/>
    <n v="0.4"/>
    <n v="2025"/>
    <n v="8"/>
    <s v="2025-08"/>
    <s v="T3"/>
    <s v="22-29"/>
    <s v="moyen"/>
    <s v="Moyen"/>
    <s v="Elevée"/>
  </r>
  <r>
    <s v="TX0000646"/>
    <d v="2025-12-22T00:00:00"/>
    <s v="CLI01122"/>
    <s v="PRD001"/>
    <s v="AG016"/>
    <s v="COM015"/>
    <n v="20"/>
    <n v="120"/>
    <n v="0"/>
    <s v="Carte"/>
    <s v="Validée"/>
    <s v="Client 01122"/>
    <s v="Lubumbashi"/>
    <s v="Grande entreprise"/>
    <s v="Smartphone A1"/>
    <s v="Électronique"/>
    <s v="Entrée de gamme"/>
    <s v="Agence Kisangani 3"/>
    <s v="Kisangani"/>
    <s v="Commercial 015"/>
    <n v="42"/>
    <x v="0"/>
    <n v="5"/>
    <n v="5.4"/>
    <n v="7"/>
    <s v="Téléphone"/>
    <n v="73.2"/>
    <n v="2400"/>
    <n v="0"/>
    <n v="2400"/>
    <n v="1464"/>
    <n v="936"/>
    <n v="0.39"/>
    <n v="2025"/>
    <n v="12"/>
    <s v="2025-12"/>
    <s v="T4"/>
    <s v="40-49"/>
    <s v="moyen"/>
    <s v="Long"/>
    <s v="Elevée"/>
  </r>
  <r>
    <s v="TX0000647"/>
    <d v="2025-05-05T00:00:00"/>
    <s v="CLI00885"/>
    <s v="PRD005"/>
    <s v="AG001"/>
    <s v="COM019"/>
    <n v="10"/>
    <n v="260"/>
    <n v="0.1"/>
    <s v="Mobile Money"/>
    <s v="Validée"/>
    <s v="Client 00885"/>
    <s v="Lubumbashi"/>
    <s v="Indépendant"/>
    <s v="Tablette T10"/>
    <s v="Électronique"/>
    <s v="Standard"/>
    <s v="Agence Kinshasa 1"/>
    <s v="Kinshasa"/>
    <s v="Commercial 019"/>
    <n v="32"/>
    <x v="1"/>
    <n v="24"/>
    <n v="6.7"/>
    <n v="4"/>
    <s v="Web"/>
    <n v="189.8"/>
    <n v="2600"/>
    <n v="260"/>
    <n v="2340"/>
    <n v="1898"/>
    <n v="442"/>
    <n v="0.18888888888888888"/>
    <n v="2025"/>
    <n v="5"/>
    <s v="2025-05"/>
    <s v="T2"/>
    <s v="30-39"/>
    <s v="moyen"/>
    <s v="Moyen"/>
    <s v="Elevée"/>
  </r>
  <r>
    <s v="TX0000648"/>
    <d v="2025-09-23T00:00:00"/>
    <s v="CLI01698"/>
    <s v="PRD007"/>
    <s v="AG014"/>
    <s v="COM012"/>
    <n v="3"/>
    <n v="145"/>
    <n v="0.08"/>
    <s v="Mobile Money"/>
    <s v="Validée"/>
    <s v="Client 01698"/>
    <s v="Kinshasa"/>
    <s v="Institution"/>
    <s v="Écran 24 pouces"/>
    <s v="Informatique"/>
    <s v="Standard"/>
    <s v="Agence Lubumbashi 3"/>
    <s v="Lubumbashi"/>
    <s v="Commercial 012"/>
    <n v="25"/>
    <x v="1"/>
    <n v="29"/>
    <n v="4.4000000000000004"/>
    <n v="8"/>
    <s v="Magasin"/>
    <n v="97.15"/>
    <n v="435"/>
    <n v="34.800000000000004"/>
    <n v="400.2"/>
    <n v="291.45000000000005"/>
    <n v="108.74999999999994"/>
    <n v="0.27173913043478248"/>
    <n v="2025"/>
    <n v="9"/>
    <s v="2025-09"/>
    <s v="T3"/>
    <s v="22-29"/>
    <s v="faible"/>
    <s v="Long"/>
    <s v="Faible"/>
  </r>
  <r>
    <s v="TX0000649"/>
    <d v="2025-07-06T00:00:00"/>
    <s v="CLI01491"/>
    <s v="PRD009"/>
    <s v="AG014"/>
    <s v="COM024"/>
    <n v="6"/>
    <n v="22"/>
    <n v="0"/>
    <s v="Virement"/>
    <s v="Validée"/>
    <s v="Client 01491"/>
    <s v="Matadi"/>
    <s v="Institution"/>
    <s v="Souris Wireless"/>
    <s v="Informatique"/>
    <s v="Entrée de gamme"/>
    <s v="Agence Lubumbashi 3"/>
    <s v="Lubumbashi"/>
    <s v="Commercial 024"/>
    <n v="34"/>
    <x v="1"/>
    <n v="39"/>
    <n v="3.1"/>
    <n v="9"/>
    <s v="WhatsApp"/>
    <n v="14.96"/>
    <n v="132"/>
    <n v="0"/>
    <n v="132"/>
    <n v="89.76"/>
    <n v="42.239999999999995"/>
    <n v="0.31999999999999995"/>
    <n v="2025"/>
    <n v="7"/>
    <s v="2025-07"/>
    <s v="T3"/>
    <s v="30-39"/>
    <s v="faible"/>
    <s v="Long"/>
    <s v="Faible"/>
  </r>
  <r>
    <s v="TX0000650"/>
    <d v="2025-12-26T00:00:00"/>
    <s v="CLI00316"/>
    <s v="PRD005"/>
    <s v="AG011"/>
    <s v="COM056"/>
    <n v="1"/>
    <n v="260"/>
    <n v="0.05"/>
    <s v="Carte"/>
    <s v="Validée"/>
    <s v="Client 00316"/>
    <s v="Goma"/>
    <s v="PME"/>
    <s v="Tablette T10"/>
    <s v="Électronique"/>
    <s v="Standard"/>
    <s v="Agence Matadi 2"/>
    <s v="Matadi"/>
    <s v="Commercial 056"/>
    <n v="29"/>
    <x v="0"/>
    <n v="67"/>
    <n v="7.2"/>
    <n v="2"/>
    <s v="WhatsApp"/>
    <n v="189.8"/>
    <n v="260"/>
    <n v="13"/>
    <n v="247"/>
    <n v="189.8"/>
    <n v="57.199999999999989"/>
    <n v="0.231578947368421"/>
    <n v="2025"/>
    <n v="12"/>
    <s v="2025-12"/>
    <s v="T4"/>
    <s v="22-29"/>
    <s v="bon"/>
    <s v="Rapide"/>
    <s v="Faible"/>
  </r>
  <r>
    <s v="TX0000651"/>
    <d v="2025-02-23T00:00:00"/>
    <s v="CLI02079"/>
    <s v="PRD016"/>
    <s v="AG018"/>
    <s v="COM021"/>
    <n v="4"/>
    <n v="420"/>
    <n v="0.05"/>
    <s v="Carte"/>
    <s v="Validée"/>
    <s v="Client 02079"/>
    <s v="Lubumbashi"/>
    <s v="Indépendant"/>
    <s v="Projecteur HD"/>
    <s v="Bureautique"/>
    <s v="Premium"/>
    <s v="Agence Kolwezi 3"/>
    <s v="Kolwezi"/>
    <s v="Commercial 021"/>
    <n v="40"/>
    <x v="0"/>
    <n v="16"/>
    <n v="4.2"/>
    <n v="8"/>
    <s v="Web"/>
    <n v="273"/>
    <n v="1680"/>
    <n v="84"/>
    <n v="1596"/>
    <n v="1092"/>
    <n v="504"/>
    <n v="0.31578947368421051"/>
    <n v="2025"/>
    <n v="2"/>
    <s v="2025-02"/>
    <s v="T1"/>
    <s v="40-49"/>
    <s v="faible"/>
    <s v="Long"/>
    <s v="Elevée"/>
  </r>
  <r>
    <s v="TX0000652"/>
    <d v="2025-01-28T00:00:00"/>
    <s v="CLI00918"/>
    <s v="PRD015"/>
    <s v="AG009"/>
    <s v="COM037"/>
    <n v="2"/>
    <n v="48"/>
    <n v="0.02"/>
    <s v="Mobile Money"/>
    <s v="Validée"/>
    <s v="Client 00918"/>
    <s v="Kolwezi"/>
    <s v="ONG"/>
    <s v="Webcam HD"/>
    <s v="Électronique"/>
    <s v="Entrée de gamme"/>
    <s v="Agence Goma 2"/>
    <s v="Goma"/>
    <s v="Commercial 037"/>
    <n v="47"/>
    <x v="0"/>
    <n v="58"/>
    <n v="6.8"/>
    <n v="5"/>
    <s v="Magasin"/>
    <n v="37.44"/>
    <n v="96"/>
    <n v="1.92"/>
    <n v="94.08"/>
    <n v="74.88"/>
    <n v="19.200000000000003"/>
    <n v="0.20408163265306126"/>
    <n v="2025"/>
    <n v="1"/>
    <s v="2025-01"/>
    <s v="T1"/>
    <s v="40-49"/>
    <s v="moyen"/>
    <s v="Moyen"/>
    <s v="Faible"/>
  </r>
  <r>
    <s v="TX0000653"/>
    <d v="2025-08-18T00:00:00"/>
    <s v="CLI00265"/>
    <s v="PRD006"/>
    <s v="AG001"/>
    <s v="COM036"/>
    <n v="3"/>
    <n v="190"/>
    <n v="0"/>
    <s v="Virement"/>
    <s v="Validée"/>
    <s v="Client 00265"/>
    <s v="Goma"/>
    <s v="ONG"/>
    <s v="Imprimante Office"/>
    <s v="Bureautique"/>
    <s v="Standard"/>
    <s v="Agence Kinshasa 1"/>
    <s v="Kinshasa"/>
    <s v="Commercial 036"/>
    <n v="23"/>
    <x v="0"/>
    <n v="55"/>
    <n v="6.7"/>
    <n v="4"/>
    <s v="Web"/>
    <n v="148.19999999999999"/>
    <n v="570"/>
    <n v="0"/>
    <n v="570"/>
    <n v="444.59999999999997"/>
    <n v="125.40000000000003"/>
    <n v="0.22000000000000006"/>
    <n v="2025"/>
    <n v="8"/>
    <s v="2025-08"/>
    <s v="T3"/>
    <s v="22-29"/>
    <s v="moyen"/>
    <s v="Moyen"/>
    <s v="Moyenne"/>
  </r>
  <r>
    <s v="TX0000654"/>
    <d v="2025-05-22T00:00:00"/>
    <s v="CLI00606"/>
    <s v="PRD003"/>
    <s v="AG012"/>
    <s v="COM005"/>
    <n v="3"/>
    <n v="780"/>
    <n v="0.08"/>
    <s v="Cash"/>
    <s v="Validée"/>
    <s v="Client 00606"/>
    <s v="Kolwezi"/>
    <s v="Institution"/>
    <s v="Laptop Business 14"/>
    <s v="Informatique"/>
    <s v="Premium"/>
    <s v="Agence Kolwezi 2"/>
    <s v="Kolwezi"/>
    <s v="Commercial 005"/>
    <n v="36"/>
    <x v="0"/>
    <n v="41"/>
    <n v="3.7"/>
    <n v="8"/>
    <s v="Téléphone"/>
    <n v="468"/>
    <n v="2340"/>
    <n v="187.20000000000002"/>
    <n v="2152.8000000000002"/>
    <n v="1404"/>
    <n v="748.80000000000018"/>
    <n v="0.34782608695652178"/>
    <n v="2025"/>
    <n v="5"/>
    <s v="2025-05"/>
    <s v="T2"/>
    <s v="30-39"/>
    <s v="faible"/>
    <s v="Long"/>
    <s v="Elevée"/>
  </r>
  <r>
    <s v="TX0000655"/>
    <d v="2025-04-21T00:00:00"/>
    <s v="CLI02011"/>
    <s v="PRD014"/>
    <s v="AG005"/>
    <s v="COM026"/>
    <n v="3"/>
    <n v="65"/>
    <n v="0"/>
    <s v="Virement"/>
    <s v="Validée"/>
    <s v="Client 02011"/>
    <s v="Kolwezi"/>
    <s v="PME"/>
    <s v="Casque Pro"/>
    <s v="Électronique"/>
    <s v="Standard"/>
    <s v="Agence Matadi 1"/>
    <s v="Matadi"/>
    <s v="Commercial 026"/>
    <n v="47"/>
    <x v="0"/>
    <n v="33"/>
    <n v="4.0999999999999996"/>
    <n v="7"/>
    <s v="Web"/>
    <n v="47.45"/>
    <n v="195"/>
    <n v="0"/>
    <n v="195"/>
    <n v="142.35000000000002"/>
    <n v="52.649999999999977"/>
    <n v="0.26999999999999991"/>
    <n v="2025"/>
    <n v="4"/>
    <s v="2025-04"/>
    <s v="T2"/>
    <s v="40-49"/>
    <s v="faible"/>
    <s v="Long"/>
    <s v="Faible"/>
  </r>
  <r>
    <s v="TX0000656"/>
    <d v="2025-10-04T00:00:00"/>
    <s v="CLI02081"/>
    <s v="PRD014"/>
    <s v="AG005"/>
    <s v="COM050"/>
    <n v="20"/>
    <n v="65"/>
    <n v="0.05"/>
    <s v="Virement"/>
    <s v="Validée"/>
    <s v="Client 02081"/>
    <s v="Kisangani"/>
    <s v="Indépendant"/>
    <s v="Casque Pro"/>
    <s v="Électronique"/>
    <s v="Standard"/>
    <s v="Agence Matadi 1"/>
    <s v="Matadi"/>
    <s v="Commercial 050"/>
    <n v="46"/>
    <x v="0"/>
    <n v="41"/>
    <n v="4.3"/>
    <n v="7"/>
    <s v="Magasin"/>
    <n v="47.45"/>
    <n v="1300"/>
    <n v="65"/>
    <n v="1235"/>
    <n v="949"/>
    <n v="286"/>
    <n v="0.23157894736842105"/>
    <n v="2025"/>
    <n v="10"/>
    <s v="2025-10"/>
    <s v="T4"/>
    <s v="40-49"/>
    <s v="faible"/>
    <s v="Long"/>
    <s v="Elevée"/>
  </r>
  <r>
    <s v="TX0000657"/>
    <d v="2025-02-06T00:00:00"/>
    <s v="CLI00217"/>
    <s v="PRD012"/>
    <s v="AG004"/>
    <s v="COM050"/>
    <n v="3"/>
    <n v="180"/>
    <n v="0.05"/>
    <s v="Mobile Money"/>
    <s v="Validée"/>
    <s v="Client 00217"/>
    <s v="Kinshasa"/>
    <s v="Indépendant"/>
    <s v="Onduleur 1200VA"/>
    <s v="Énergie"/>
    <s v="Standard"/>
    <s v="Agence Kisangani 1"/>
    <s v="Kisangani"/>
    <s v="Commercial 050"/>
    <n v="41"/>
    <x v="1"/>
    <n v="14"/>
    <n v="8.1"/>
    <n v="2"/>
    <s v="Web"/>
    <n v="129.6"/>
    <n v="540"/>
    <n v="27"/>
    <n v="513"/>
    <n v="388.79999999999995"/>
    <n v="124.20000000000005"/>
    <n v="0.24210526315789482"/>
    <n v="2025"/>
    <n v="2"/>
    <s v="2025-02"/>
    <s v="T1"/>
    <s v="40-49"/>
    <s v="bon"/>
    <s v="Rapide"/>
    <s v="Moyenne"/>
  </r>
  <r>
    <s v="TX0000658"/>
    <d v="2025-04-03T00:00:00"/>
    <s v="CLI00798"/>
    <s v="PRD008"/>
    <s v="AG006"/>
    <s v="COM054"/>
    <n v="1"/>
    <n v="35"/>
    <n v="0.02"/>
    <s v="Cash"/>
    <s v="Validée"/>
    <s v="Client 00798"/>
    <s v="Lubumbashi"/>
    <s v="Indépendant"/>
    <s v="Clavier Pro"/>
    <s v="Informatique"/>
    <s v="Entrée de gamme"/>
    <s v="Agence Kolwezi 1"/>
    <s v="Kolwezi"/>
    <s v="Commercial 054"/>
    <n v="30"/>
    <x v="0"/>
    <n v="16"/>
    <n v="8.1"/>
    <n v="3"/>
    <s v="Magasin"/>
    <n v="24.15"/>
    <n v="35"/>
    <n v="0.70000000000000007"/>
    <n v="34.299999999999997"/>
    <n v="24.15"/>
    <n v="10.149999999999999"/>
    <n v="0.29591836734693877"/>
    <n v="2025"/>
    <n v="4"/>
    <s v="2025-04"/>
    <s v="T2"/>
    <s v="30-39"/>
    <s v="bon"/>
    <s v="Rapide"/>
    <s v="Faible"/>
  </r>
  <r>
    <s v="TX0000659"/>
    <d v="2025-07-28T00:00:00"/>
    <s v="CLI00386"/>
    <s v="PRD013"/>
    <s v="AG013"/>
    <s v="COM052"/>
    <n v="2"/>
    <n v="110"/>
    <n v="0.02"/>
    <s v="Carte"/>
    <s v="Validée"/>
    <s v="Client 00386"/>
    <s v="Matadi"/>
    <s v="Indépendant"/>
    <s v="Disque SSD 1TB"/>
    <s v="Informatique"/>
    <s v="Premium"/>
    <s v="Agence Kinshasa 3"/>
    <s v="Kinshasa"/>
    <s v="Commercial 052"/>
    <n v="28"/>
    <x v="1"/>
    <n v="43"/>
    <n v="3.9"/>
    <n v="8"/>
    <s v="Téléphone"/>
    <n v="72.599999999999994"/>
    <n v="220"/>
    <n v="4.4000000000000004"/>
    <n v="215.6"/>
    <n v="145.19999999999999"/>
    <n v="70.400000000000006"/>
    <n v="0.32653061224489799"/>
    <n v="2025"/>
    <n v="7"/>
    <s v="2025-07"/>
    <s v="T3"/>
    <s v="22-29"/>
    <s v="faible"/>
    <s v="Long"/>
    <s v="Faible"/>
  </r>
  <r>
    <s v="TX0000660"/>
    <d v="2025-04-01T00:00:00"/>
    <s v="CLI00750"/>
    <s v="PRD004"/>
    <s v="AG010"/>
    <s v="COM023"/>
    <n v="4"/>
    <n v="520"/>
    <n v="0"/>
    <s v="Mobile Money"/>
    <s v="Validée"/>
    <s v="Client 00750"/>
    <s v="Matadi"/>
    <s v="PME"/>
    <s v="Laptop Essential 15"/>
    <s v="Informatique"/>
    <s v="Standard"/>
    <s v="Agence Kisangani 2"/>
    <s v="Kisangani"/>
    <s v="Commercial 023"/>
    <n v="59"/>
    <x v="1"/>
    <n v="69"/>
    <n v="4.0999999999999996"/>
    <n v="7"/>
    <s v="Téléphone"/>
    <n v="348.4"/>
    <n v="2080"/>
    <n v="0"/>
    <n v="2080"/>
    <n v="1393.6"/>
    <n v="686.40000000000009"/>
    <n v="0.33000000000000007"/>
    <n v="2025"/>
    <n v="4"/>
    <s v="2025-04"/>
    <s v="T2"/>
    <s v="50+"/>
    <s v="faible"/>
    <s v="Long"/>
    <s v="Elevée"/>
  </r>
  <r>
    <s v="TX0000661"/>
    <d v="2025-06-29T00:00:00"/>
    <s v="CLI01068"/>
    <s v="PRD013"/>
    <s v="AG007"/>
    <s v="COM015"/>
    <n v="20"/>
    <n v="110"/>
    <n v="0.08"/>
    <s v="Cash"/>
    <s v="Validée"/>
    <s v="Client 01068"/>
    <s v="Lubumbashi"/>
    <s v="Institution"/>
    <s v="Disque SSD 1TB"/>
    <s v="Informatique"/>
    <s v="Premium"/>
    <s v="Agence Kinshasa 2"/>
    <s v="Kinshasa"/>
    <s v="Commercial 015"/>
    <n v="28"/>
    <x v="0"/>
    <n v="12"/>
    <n v="5.5"/>
    <n v="6"/>
    <s v="Magasin"/>
    <n v="72.599999999999994"/>
    <n v="2200"/>
    <n v="176"/>
    <n v="2024"/>
    <n v="1452"/>
    <n v="572"/>
    <n v="0.28260869565217389"/>
    <n v="2025"/>
    <n v="6"/>
    <s v="2025-06"/>
    <s v="T2"/>
    <s v="22-29"/>
    <s v="moyen"/>
    <s v="Moyen"/>
    <s v="Elevée"/>
  </r>
  <r>
    <s v="TX0000662"/>
    <d v="2025-11-07T00:00:00"/>
    <s v="CLI00386"/>
    <s v="PRD009"/>
    <s v="AG001"/>
    <s v="COM057"/>
    <n v="1"/>
    <n v="22"/>
    <n v="0.05"/>
    <s v="Cash"/>
    <s v="Validée"/>
    <s v="Client 00386"/>
    <s v="Matadi"/>
    <s v="Indépendant"/>
    <s v="Souris Wireless"/>
    <s v="Informatique"/>
    <s v="Entrée de gamme"/>
    <s v="Agence Kinshasa 1"/>
    <s v="Kinshasa"/>
    <s v="Commercial 057"/>
    <n v="28"/>
    <x v="1"/>
    <n v="43"/>
    <n v="8.6"/>
    <n v="1"/>
    <s v="Téléphone"/>
    <n v="14.96"/>
    <n v="22"/>
    <n v="1.1000000000000001"/>
    <n v="20.9"/>
    <n v="14.96"/>
    <n v="5.9399999999999977"/>
    <n v="0.28421052631578936"/>
    <n v="2025"/>
    <n v="11"/>
    <s v="2025-11"/>
    <s v="T4"/>
    <s v="22-29"/>
    <s v="bon"/>
    <s v="Rapide"/>
    <s v="Faible"/>
  </r>
  <r>
    <s v="TX0000663"/>
    <d v="2025-01-07T00:00:00"/>
    <s v="CLI00392"/>
    <s v="PRD006"/>
    <s v="AG001"/>
    <s v="COM034"/>
    <n v="1"/>
    <n v="190"/>
    <n v="0.02"/>
    <s v="Virement"/>
    <s v="Validée"/>
    <s v="Client 00392"/>
    <s v="Kolwezi"/>
    <s v="Institution"/>
    <s v="Imprimante Office"/>
    <s v="Bureautique"/>
    <s v="Standard"/>
    <s v="Agence Kinshasa 1"/>
    <s v="Kinshasa"/>
    <s v="Commercial 034"/>
    <n v="59"/>
    <x v="1"/>
    <n v="49"/>
    <n v="6.1"/>
    <n v="5"/>
    <s v="Téléphone"/>
    <n v="148.19999999999999"/>
    <n v="190"/>
    <n v="3.8000000000000003"/>
    <n v="186.2"/>
    <n v="148.19999999999999"/>
    <n v="38"/>
    <n v="0.20408163265306123"/>
    <n v="2025"/>
    <n v="1"/>
    <s v="2025-01"/>
    <s v="T1"/>
    <s v="50+"/>
    <s v="moyen"/>
    <s v="Moyen"/>
    <s v="Faible"/>
  </r>
  <r>
    <s v="TX0000665"/>
    <d v="2025-04-01T00:00:00"/>
    <s v="CLI00398"/>
    <s v="PRD005"/>
    <s v="AG012"/>
    <s v="COM037"/>
    <n v="5"/>
    <n v="260"/>
    <n v="0.08"/>
    <s v="Cash"/>
    <s v="Validée"/>
    <s v="Client 00398"/>
    <s v="Goma"/>
    <s v="Institution"/>
    <s v="Tablette T10"/>
    <s v="Électronique"/>
    <s v="Standard"/>
    <s v="Agence Kolwezi 2"/>
    <s v="Kolwezi"/>
    <s v="Commercial 037"/>
    <n v="42"/>
    <x v="0"/>
    <n v="11"/>
    <n v="4.3"/>
    <n v="9"/>
    <s v="Web"/>
    <n v="189.8"/>
    <n v="1300"/>
    <n v="104"/>
    <n v="1196"/>
    <n v="949"/>
    <n v="247"/>
    <n v="0.20652173913043478"/>
    <n v="2025"/>
    <n v="4"/>
    <s v="2025-04"/>
    <s v="T2"/>
    <s v="40-49"/>
    <s v="faible"/>
    <s v="Long"/>
    <s v="Elevée"/>
  </r>
  <r>
    <s v="TX0000666"/>
    <d v="2025-10-03T00:00:00"/>
    <s v="CLI01824"/>
    <s v="PRD001"/>
    <s v="AG002"/>
    <s v="COM060"/>
    <n v="5"/>
    <n v="120"/>
    <n v="0.1"/>
    <s v="Cash"/>
    <s v="Validée"/>
    <s v="Client 01824"/>
    <s v="Kolwezi"/>
    <s v="Indépendant"/>
    <s v="Smartphone A1"/>
    <s v="Électronique"/>
    <s v="Entrée de gamme"/>
    <s v="Agence Lubumbashi 1"/>
    <s v="Lubumbashi"/>
    <s v="Commercial 060"/>
    <n v="27"/>
    <x v="1"/>
    <n v="51"/>
    <n v="6.2"/>
    <n v="6"/>
    <s v="WhatsApp"/>
    <n v="73.2"/>
    <n v="600"/>
    <n v="60"/>
    <n v="540"/>
    <n v="366"/>
    <n v="174"/>
    <n v="0.32222222222222224"/>
    <n v="2025"/>
    <n v="10"/>
    <s v="2025-10"/>
    <s v="T4"/>
    <s v="22-29"/>
    <s v="moyen"/>
    <s v="Moyen"/>
    <s v="Moyenne"/>
  </r>
  <r>
    <s v="TX0000667"/>
    <d v="2025-12-16T00:00:00"/>
    <s v="CLI01277"/>
    <s v="PRD010"/>
    <s v="AG004"/>
    <s v="COM023"/>
    <n v="1"/>
    <n v="95"/>
    <n v="0.05"/>
    <s v="Carte"/>
    <s v="Validée"/>
    <s v="Client 01277"/>
    <s v="Goma"/>
    <s v="Grande entreprise"/>
    <s v="Routeur Business"/>
    <s v="Réseau"/>
    <s v="Standard"/>
    <s v="Agence Kisangani 1"/>
    <s v="Kisangani"/>
    <s v="Commercial 023"/>
    <n v="24"/>
    <x v="1"/>
    <n v="20"/>
    <n v="4.0999999999999996"/>
    <n v="8"/>
    <s v="Magasin"/>
    <n v="70.3"/>
    <n v="95"/>
    <n v="4.75"/>
    <n v="90.25"/>
    <n v="70.3"/>
    <n v="19.950000000000003"/>
    <n v="0.22105263157894739"/>
    <n v="2025"/>
    <n v="12"/>
    <s v="2025-12"/>
    <s v="T4"/>
    <s v="22-29"/>
    <s v="faible"/>
    <s v="Long"/>
    <s v="Faible"/>
  </r>
  <r>
    <s v="TX0000668"/>
    <d v="2025-06-22T00:00:00"/>
    <s v="CLI02039"/>
    <s v="PRD007"/>
    <s v="AG005"/>
    <s v="COM040"/>
    <n v="6"/>
    <n v="145"/>
    <n v="0.08"/>
    <s v="Mobile Money"/>
    <s v="Validée"/>
    <s v="Client 02039"/>
    <s v="Kolwezi"/>
    <s v="Institution"/>
    <s v="Écran 24 pouces"/>
    <s v="Informatique"/>
    <s v="Standard"/>
    <s v="Agence Matadi 1"/>
    <s v="Matadi"/>
    <s v="Commercial 040"/>
    <n v="41"/>
    <x v="1"/>
    <n v="44"/>
    <n v="7.9"/>
    <n v="1"/>
    <s v="WhatsApp"/>
    <n v="97.15"/>
    <n v="870"/>
    <n v="69.600000000000009"/>
    <n v="800.4"/>
    <n v="582.90000000000009"/>
    <n v="217.49999999999989"/>
    <n v="0.27173913043478248"/>
    <n v="2025"/>
    <n v="6"/>
    <s v="2025-06"/>
    <s v="T2"/>
    <s v="40-49"/>
    <s v="bon"/>
    <s v="Rapide"/>
    <s v="Moyenne"/>
  </r>
  <r>
    <s v="TX0000669"/>
    <d v="2025-07-07T00:00:00"/>
    <s v="CLI00477"/>
    <s v="PRD003"/>
    <s v="AG011"/>
    <s v="COM016"/>
    <n v="1"/>
    <n v="780"/>
    <n v="0.1"/>
    <s v="Mobile Money"/>
    <s v="Validée"/>
    <s v="Client 00477"/>
    <s v="Lubumbashi"/>
    <s v="Grande entreprise"/>
    <s v="Laptop Business 14"/>
    <s v="Informatique"/>
    <s v="Premium"/>
    <s v="Agence Matadi 2"/>
    <s v="Matadi"/>
    <s v="Commercial 016"/>
    <n v="51"/>
    <x v="0"/>
    <n v="50"/>
    <n v="5.9"/>
    <n v="5"/>
    <s v="WhatsApp"/>
    <n v="468"/>
    <n v="780"/>
    <n v="78"/>
    <n v="702"/>
    <n v="468"/>
    <n v="234"/>
    <n v="0.33333333333333331"/>
    <n v="2025"/>
    <n v="7"/>
    <s v="2025-07"/>
    <s v="T3"/>
    <s v="50+"/>
    <s v="moyen"/>
    <s v="Moyen"/>
    <s v="Moyenne"/>
  </r>
  <r>
    <s v="TX0000670"/>
    <d v="2025-09-03T00:00:00"/>
    <s v="CLI01656"/>
    <s v="PRD002"/>
    <s v="AG012"/>
    <s v="COM004"/>
    <n v="4"/>
    <n v="350"/>
    <n v="0.08"/>
    <s v="Cash"/>
    <s v="Validée"/>
    <s v="Client 01656"/>
    <s v="Goma"/>
    <s v="Indépendant"/>
    <s v="Smartphone Pro X"/>
    <s v="Électronique"/>
    <s v="Premium"/>
    <s v="Agence Kolwezi 2"/>
    <s v="Kolwezi"/>
    <s v="Commercial 004"/>
    <n v="50"/>
    <x v="1"/>
    <n v="5"/>
    <n v="4.5999999999999996"/>
    <n v="8"/>
    <s v="WhatsApp"/>
    <n v="213.5"/>
    <n v="1400"/>
    <n v="112"/>
    <n v="1288"/>
    <n v="854"/>
    <n v="434"/>
    <n v="0.33695652173913043"/>
    <n v="2025"/>
    <n v="9"/>
    <s v="2025-09"/>
    <s v="T3"/>
    <s v="50+"/>
    <s v="faible"/>
    <s v="Long"/>
    <s v="Elevée"/>
  </r>
  <r>
    <s v="TX0000671"/>
    <d v="2025-10-22T00:00:00"/>
    <s v="CLI00373"/>
    <s v="PRD011"/>
    <s v="AG017"/>
    <s v="COM037"/>
    <n v="4"/>
    <n v="240"/>
    <n v="0.05"/>
    <s v="Mobile Money"/>
    <s v="Validée"/>
    <s v="Client 00373"/>
    <s v="Lubumbashi"/>
    <s v="PME"/>
    <s v="Switch 24 Ports"/>
    <s v="Réseau"/>
    <s v="Premium"/>
    <s v="Agence Matadi 3"/>
    <s v="Matadi"/>
    <s v="Commercial 037"/>
    <n v="59"/>
    <x v="1"/>
    <n v="33"/>
    <n v="6.6"/>
    <n v="3"/>
    <s v="Magasin"/>
    <n v="177.6"/>
    <n v="960"/>
    <n v="48"/>
    <n v="912"/>
    <n v="710.4"/>
    <n v="201.60000000000002"/>
    <n v="0.22105263157894739"/>
    <n v="2025"/>
    <n v="10"/>
    <s v="2025-10"/>
    <s v="T4"/>
    <s v="50+"/>
    <s v="moyen"/>
    <s v="Rapide"/>
    <s v="Moyenne"/>
  </r>
  <r>
    <s v="TX0000672"/>
    <d v="2025-08-18T00:00:00"/>
    <s v="CLI00824"/>
    <s v="PRD010"/>
    <s v="AG011"/>
    <s v="COM009"/>
    <n v="4"/>
    <n v="95"/>
    <n v="0"/>
    <s v="Mobile Money"/>
    <s v="Validée"/>
    <s v="Client 00824"/>
    <s v="Kinshasa"/>
    <s v="ONG"/>
    <s v="Routeur Business"/>
    <s v="Réseau"/>
    <s v="Standard"/>
    <s v="Agence Matadi 2"/>
    <s v="Matadi"/>
    <s v="Commercial 009"/>
    <n v="24"/>
    <x v="0"/>
    <n v="32"/>
    <n v="4.0999999999999996"/>
    <n v="8"/>
    <s v="Web"/>
    <n v="70.3"/>
    <n v="380"/>
    <n v="0"/>
    <n v="380"/>
    <n v="281.2"/>
    <n v="98.800000000000011"/>
    <n v="0.26"/>
    <n v="2025"/>
    <n v="8"/>
    <s v="2025-08"/>
    <s v="T3"/>
    <s v="22-29"/>
    <s v="faible"/>
    <s v="Long"/>
    <s v="Faible"/>
  </r>
  <r>
    <s v="TX0000673"/>
    <d v="2025-09-09T00:00:00"/>
    <s v="CLI01545"/>
    <s v="PRD003"/>
    <s v="AG016"/>
    <s v="COM002"/>
    <n v="1"/>
    <n v="780"/>
    <n v="0.05"/>
    <s v="Mobile Money"/>
    <s v="Validée"/>
    <s v="Client 01545"/>
    <s v="Kinshasa"/>
    <s v="PME"/>
    <s v="Laptop Business 14"/>
    <s v="Informatique"/>
    <s v="Premium"/>
    <s v="Agence Kisangani 3"/>
    <s v="Kisangani"/>
    <s v="Commercial 002"/>
    <n v="27"/>
    <x v="0"/>
    <n v="3"/>
    <n v="7"/>
    <n v="3"/>
    <s v="Magasin"/>
    <n v="468"/>
    <n v="780"/>
    <n v="39"/>
    <n v="741"/>
    <n v="468"/>
    <n v="273"/>
    <n v="0.36842105263157893"/>
    <n v="2025"/>
    <n v="9"/>
    <s v="2025-09"/>
    <s v="T3"/>
    <s v="22-29"/>
    <s v="bon"/>
    <s v="Rapide"/>
    <s v="Moyenne"/>
  </r>
  <r>
    <s v="TX0000674"/>
    <d v="2025-12-17T00:00:00"/>
    <s v="CLI01253"/>
    <s v="PRD016"/>
    <s v="AG010"/>
    <s v="COM050"/>
    <n v="3"/>
    <n v="420"/>
    <n v="0.05"/>
    <s v="Cash"/>
    <s v="Validée"/>
    <s v="Client 01253"/>
    <s v="Matadi"/>
    <s v="Institution"/>
    <s v="Projecteur HD"/>
    <s v="Bureautique"/>
    <s v="Premium"/>
    <s v="Agence Kisangani 2"/>
    <s v="Kisangani"/>
    <s v="Commercial 050"/>
    <n v="36"/>
    <x v="1"/>
    <n v="35"/>
    <n v="6.8"/>
    <n v="5"/>
    <s v="Téléphone"/>
    <n v="273"/>
    <n v="1260"/>
    <n v="63"/>
    <n v="1197"/>
    <n v="819"/>
    <n v="378"/>
    <n v="0.31578947368421051"/>
    <n v="2025"/>
    <n v="12"/>
    <s v="2025-12"/>
    <s v="T4"/>
    <s v="30-39"/>
    <s v="moyen"/>
    <s v="Moyen"/>
    <s v="Elevée"/>
  </r>
  <r>
    <s v="TX0000675"/>
    <d v="2025-11-25T00:00:00"/>
    <s v="CLI00366"/>
    <s v="PRD010"/>
    <s v="AG018"/>
    <s v="COM012"/>
    <n v="2"/>
    <n v="95"/>
    <n v="0"/>
    <s v="Cash"/>
    <s v="Validée"/>
    <s v="Client 00366"/>
    <s v="Kinshasa"/>
    <s v="ONG"/>
    <s v="Routeur Business"/>
    <s v="Réseau"/>
    <s v="Standard"/>
    <s v="Agence Kolwezi 3"/>
    <s v="Kolwezi"/>
    <s v="Commercial 012"/>
    <n v="31"/>
    <x v="0"/>
    <n v="58"/>
    <n v="3.1"/>
    <n v="9"/>
    <s v="Web"/>
    <n v="70.3"/>
    <n v="190"/>
    <n v="0"/>
    <n v="190"/>
    <n v="140.6"/>
    <n v="49.400000000000006"/>
    <n v="0.26"/>
    <n v="2025"/>
    <n v="11"/>
    <s v="2025-11"/>
    <s v="T4"/>
    <s v="30-39"/>
    <s v="faible"/>
    <s v="Long"/>
    <s v="Faible"/>
  </r>
  <r>
    <s v="TX0000676"/>
    <d v="2025-10-03T00:00:00"/>
    <s v="CLI01241"/>
    <s v="PRD013"/>
    <s v="AG007"/>
    <s v="COM023"/>
    <n v="1"/>
    <n v="110"/>
    <n v="0.1"/>
    <s v="Mobile Money"/>
    <s v="Validée"/>
    <s v="Client 01241"/>
    <s v="Kolwezi"/>
    <s v="Grande entreprise"/>
    <s v="Disque SSD 1TB"/>
    <s v="Informatique"/>
    <s v="Premium"/>
    <s v="Agence Kinshasa 2"/>
    <s v="Kinshasa"/>
    <s v="Commercial 023"/>
    <n v="39"/>
    <x v="0"/>
    <n v="49"/>
    <n v="6"/>
    <n v="6"/>
    <s v="WhatsApp"/>
    <n v="72.599999999999994"/>
    <n v="110"/>
    <n v="11"/>
    <n v="99"/>
    <n v="72.599999999999994"/>
    <n v="26.400000000000006"/>
    <n v="0.26666666666666672"/>
    <n v="2025"/>
    <n v="10"/>
    <s v="2025-10"/>
    <s v="T4"/>
    <s v="30-39"/>
    <s v="moyen"/>
    <s v="Moyen"/>
    <s v="Faible"/>
  </r>
  <r>
    <s v="TX0000677"/>
    <d v="2025-12-15T00:00:00"/>
    <s v="CLI02147"/>
    <s v="PRD006"/>
    <s v="AG017"/>
    <s v="COM024"/>
    <n v="3"/>
    <n v="190"/>
    <n v="0"/>
    <s v="Cash"/>
    <s v="Validée"/>
    <s v="Client 02147"/>
    <s v="Goma"/>
    <s v="ONG"/>
    <s v="Imprimante Office"/>
    <s v="Bureautique"/>
    <s v="Standard"/>
    <s v="Agence Matadi 3"/>
    <s v="Matadi"/>
    <s v="Commercial 024"/>
    <n v="26"/>
    <x v="0"/>
    <n v="32"/>
    <n v="7.9"/>
    <n v="1"/>
    <s v="Magasin"/>
    <n v="148.19999999999999"/>
    <n v="570"/>
    <n v="0"/>
    <n v="570"/>
    <n v="444.59999999999997"/>
    <n v="125.40000000000003"/>
    <n v="0.22000000000000006"/>
    <n v="2025"/>
    <n v="12"/>
    <s v="2025-12"/>
    <s v="T4"/>
    <s v="22-29"/>
    <s v="bon"/>
    <s v="Rapide"/>
    <s v="Moyenne"/>
  </r>
  <r>
    <s v="TX0000678"/>
    <d v="2025-04-15T00:00:00"/>
    <s v="CLI00761"/>
    <s v="PRD008"/>
    <s v="AG011"/>
    <s v="COM005"/>
    <n v="2"/>
    <n v="35"/>
    <n v="0.05"/>
    <s v="Cash"/>
    <s v="Validée"/>
    <s v="Client 00761"/>
    <s v="Kinshasa"/>
    <s v="Grande entreprise"/>
    <s v="Clavier Pro"/>
    <s v="Informatique"/>
    <s v="Entrée de gamme"/>
    <s v="Agence Matadi 2"/>
    <s v="Matadi"/>
    <s v="Commercial 005"/>
    <n v="31"/>
    <x v="0"/>
    <n v="27"/>
    <n v="3.9"/>
    <n v="8"/>
    <s v="Magasin"/>
    <n v="24.15"/>
    <n v="70"/>
    <n v="3.5"/>
    <n v="66.5"/>
    <n v="48.3"/>
    <n v="18.200000000000003"/>
    <n v="0.27368421052631581"/>
    <n v="2025"/>
    <n v="4"/>
    <s v="2025-04"/>
    <s v="T2"/>
    <s v="30-39"/>
    <s v="faible"/>
    <s v="Long"/>
    <s v="Faible"/>
  </r>
  <r>
    <s v="TX0000680"/>
    <d v="2025-07-25T00:00:00"/>
    <s v="CLI01598"/>
    <s v="PRD008"/>
    <s v="AG012"/>
    <s v="COM059"/>
    <n v="1"/>
    <n v="35"/>
    <n v="0"/>
    <s v="Carte"/>
    <s v="Validée"/>
    <s v="Client 01598"/>
    <s v="Lubumbashi"/>
    <s v="Institution"/>
    <s v="Clavier Pro"/>
    <s v="Informatique"/>
    <s v="Entrée de gamme"/>
    <s v="Agence Kolwezi 2"/>
    <s v="Kolwezi"/>
    <s v="Commercial 059"/>
    <n v="55"/>
    <x v="1"/>
    <n v="65"/>
    <n v="3.3"/>
    <n v="9"/>
    <s v="Web"/>
    <n v="24.15"/>
    <n v="35"/>
    <n v="0"/>
    <n v="35"/>
    <n v="24.15"/>
    <n v="10.850000000000001"/>
    <n v="0.31000000000000005"/>
    <n v="2025"/>
    <n v="7"/>
    <s v="2025-07"/>
    <s v="T3"/>
    <s v="50+"/>
    <s v="faible"/>
    <s v="Long"/>
    <s v="Faible"/>
  </r>
  <r>
    <s v="TX0000681"/>
    <d v="2025-12-01T00:00:00"/>
    <s v="CLI01058"/>
    <s v="PRD014"/>
    <s v="AG010"/>
    <s v="COM014"/>
    <n v="4"/>
    <n v="65"/>
    <n v="0"/>
    <s v="Mobile Money"/>
    <s v="Validée"/>
    <s v="Client 01058"/>
    <s v="Lubumbashi"/>
    <s v="PME"/>
    <s v="Casque Pro"/>
    <s v="Électronique"/>
    <s v="Standard"/>
    <s v="Agence Kisangani 2"/>
    <s v="Kisangani"/>
    <s v="Commercial 014"/>
    <n v="26"/>
    <x v="1"/>
    <n v="68"/>
    <n v="4.2"/>
    <n v="9"/>
    <s v="Magasin"/>
    <n v="47.45"/>
    <n v="260"/>
    <n v="0"/>
    <n v="260"/>
    <n v="189.8"/>
    <n v="70.199999999999989"/>
    <n v="0.26999999999999996"/>
    <n v="2025"/>
    <n v="12"/>
    <s v="2025-12"/>
    <s v="T4"/>
    <s v="22-29"/>
    <s v="faible"/>
    <s v="Long"/>
    <s v="Faible"/>
  </r>
  <r>
    <s v="TX0000682"/>
    <d v="2025-04-08T00:00:00"/>
    <s v="CLI01704"/>
    <s v="PRD014"/>
    <s v="AG013"/>
    <s v="COM018"/>
    <n v="4"/>
    <n v="65"/>
    <n v="0.02"/>
    <s v="Virement"/>
    <s v="Validée"/>
    <s v="Client 01704"/>
    <s v="Lubumbashi"/>
    <s v="PME"/>
    <s v="Casque Pro"/>
    <s v="Électronique"/>
    <s v="Standard"/>
    <s v="Agence Kinshasa 3"/>
    <s v="Kinshasa"/>
    <s v="Commercial 018"/>
    <n v="51"/>
    <x v="1"/>
    <n v="51"/>
    <n v="8.1999999999999993"/>
    <n v="1"/>
    <s v="Web"/>
    <n v="47.45"/>
    <n v="260"/>
    <n v="5.2"/>
    <n v="254.8"/>
    <n v="189.8"/>
    <n v="65"/>
    <n v="0.25510204081632654"/>
    <n v="2025"/>
    <n v="4"/>
    <s v="2025-04"/>
    <s v="T2"/>
    <s v="50+"/>
    <s v="bon"/>
    <s v="Rapide"/>
    <s v="Faible"/>
  </r>
  <r>
    <s v="TX0000683"/>
    <d v="2025-12-06T00:00:00"/>
    <s v="CLI01620"/>
    <s v="PRD002"/>
    <s v="AG015"/>
    <s v="COM009"/>
    <n v="3"/>
    <n v="350"/>
    <n v="0"/>
    <s v="Cash"/>
    <s v="Validée"/>
    <s v="Client 01620"/>
    <s v="Kisangani"/>
    <s v="Grande entreprise"/>
    <s v="Smartphone Pro X"/>
    <s v="Électronique"/>
    <s v="Premium"/>
    <s v="Agence Goma 3"/>
    <s v="Goma"/>
    <s v="Commercial 009"/>
    <n v="25"/>
    <x v="0"/>
    <n v="49"/>
    <n v="4.2"/>
    <n v="9"/>
    <s v="Magasin"/>
    <n v="213.5"/>
    <n v="1050"/>
    <n v="0"/>
    <n v="1050"/>
    <n v="640.5"/>
    <n v="409.5"/>
    <n v="0.39"/>
    <n v="2025"/>
    <n v="12"/>
    <s v="2025-12"/>
    <s v="T4"/>
    <s v="22-29"/>
    <s v="faible"/>
    <s v="Long"/>
    <s v="Elevée"/>
  </r>
  <r>
    <s v="TX0000685"/>
    <d v="2025-05-26T00:00:00"/>
    <s v="CLI01632"/>
    <s v="PRD010"/>
    <s v="AG018"/>
    <s v="COM019"/>
    <n v="5"/>
    <n v="95"/>
    <n v="0"/>
    <s v="Cash"/>
    <s v="Validée"/>
    <s v="Client 01632"/>
    <s v="Lubumbashi"/>
    <s v="Institution"/>
    <s v="Routeur Business"/>
    <s v="Réseau"/>
    <s v="Standard"/>
    <s v="Agence Kolwezi 3"/>
    <s v="Kolwezi"/>
    <s v="Commercial 019"/>
    <n v="58"/>
    <x v="1"/>
    <n v="65"/>
    <n v="4.8"/>
    <n v="6"/>
    <s v="Magasin"/>
    <n v="70.3"/>
    <n v="475"/>
    <n v="0"/>
    <n v="475"/>
    <n v="351.5"/>
    <n v="123.5"/>
    <n v="0.26"/>
    <n v="2025"/>
    <n v="5"/>
    <s v="2025-05"/>
    <s v="T2"/>
    <s v="50+"/>
    <s v="faible"/>
    <s v="Moyen"/>
    <s v="Faible"/>
  </r>
  <r>
    <s v="TX0000686"/>
    <d v="2025-09-12T00:00:00"/>
    <s v="CLI01618"/>
    <s v="PRD007"/>
    <s v="AG003"/>
    <s v="COM036"/>
    <n v="1"/>
    <n v="145"/>
    <n v="0.05"/>
    <s v="Cash"/>
    <s v="Validée"/>
    <s v="Client 01618"/>
    <s v="Matadi"/>
    <s v="Grande entreprise"/>
    <s v="Écran 24 pouces"/>
    <s v="Informatique"/>
    <s v="Standard"/>
    <s v="Agence Goma 1"/>
    <s v="Goma"/>
    <s v="Commercial 036"/>
    <n v="34"/>
    <x v="1"/>
    <n v="15"/>
    <n v="6.8"/>
    <n v="5"/>
    <s v="Web"/>
    <n v="97.15"/>
    <n v="145"/>
    <n v="7.25"/>
    <n v="137.75"/>
    <n v="97.15"/>
    <n v="40.599999999999994"/>
    <n v="0.29473684210526313"/>
    <n v="2025"/>
    <n v="9"/>
    <s v="2025-09"/>
    <s v="T3"/>
    <s v="30-39"/>
    <s v="moyen"/>
    <s v="Moyen"/>
    <s v="Faible"/>
  </r>
  <r>
    <s v="TX0000687"/>
    <d v="2025-07-18T00:00:00"/>
    <s v="CLI00448"/>
    <s v="PRD004"/>
    <s v="AG008"/>
    <s v="COM003"/>
    <n v="1"/>
    <n v="520"/>
    <n v="0.1"/>
    <s v="Cash"/>
    <s v="Validée"/>
    <s v="Client 00448"/>
    <s v="Goma"/>
    <s v="Institution"/>
    <s v="Laptop Essential 15"/>
    <s v="Informatique"/>
    <s v="Standard"/>
    <s v="Agence Lubumbashi 2"/>
    <s v="Lubumbashi"/>
    <s v="Commercial 003"/>
    <n v="52"/>
    <x v="1"/>
    <n v="72"/>
    <n v="5.4"/>
    <n v="5"/>
    <s v="Téléphone"/>
    <n v="348.4"/>
    <n v="520"/>
    <n v="52"/>
    <n v="468"/>
    <n v="348.4"/>
    <n v="119.60000000000002"/>
    <n v="0.25555555555555559"/>
    <n v="2025"/>
    <n v="7"/>
    <s v="2025-07"/>
    <s v="T3"/>
    <s v="50+"/>
    <s v="moyen"/>
    <s v="Moyen"/>
    <s v="Faible"/>
  </r>
  <r>
    <s v="TX0000688"/>
    <d v="2025-11-02T00:00:00"/>
    <s v="CLI01520"/>
    <s v="PRD015"/>
    <s v="AG005"/>
    <s v="COM029"/>
    <n v="4"/>
    <n v="48"/>
    <n v="0.08"/>
    <s v="Carte"/>
    <s v="Validée"/>
    <s v="Client 01520"/>
    <s v="Kinshasa"/>
    <s v="Grande entreprise"/>
    <s v="Webcam HD"/>
    <s v="Électronique"/>
    <s v="Entrée de gamme"/>
    <s v="Agence Matadi 1"/>
    <s v="Matadi"/>
    <s v="Commercial 029"/>
    <n v="25"/>
    <x v="0"/>
    <n v="70"/>
    <n v="5.8"/>
    <n v="6"/>
    <s v="WhatsApp"/>
    <n v="37.44"/>
    <n v="192"/>
    <n v="15.36"/>
    <n v="176.64"/>
    <n v="149.76"/>
    <n v="26.879999999999995"/>
    <n v="0.15217391304347824"/>
    <n v="2025"/>
    <n v="11"/>
    <s v="2025-11"/>
    <s v="T4"/>
    <s v="22-29"/>
    <s v="moyen"/>
    <s v="Moyen"/>
    <s v="Faible"/>
  </r>
  <r>
    <s v="TX0000689"/>
    <d v="2025-06-24T00:00:00"/>
    <s v="CLI01303"/>
    <s v="PRD002"/>
    <s v="AG001"/>
    <s v="COM010"/>
    <n v="5"/>
    <n v="350"/>
    <n v="0"/>
    <s v="Carte"/>
    <s v="Validée"/>
    <s v="Client 01303"/>
    <s v="Goma"/>
    <s v="ONG"/>
    <s v="Smartphone Pro X"/>
    <s v="Électronique"/>
    <s v="Premium"/>
    <s v="Agence Kinshasa 1"/>
    <s v="Kinshasa"/>
    <s v="Commercial 010"/>
    <n v="40"/>
    <x v="1"/>
    <n v="5"/>
    <n v="7.1"/>
    <n v="4"/>
    <s v="Magasin"/>
    <n v="213.5"/>
    <n v="1750"/>
    <n v="0"/>
    <n v="1750"/>
    <n v="1067.5"/>
    <n v="682.5"/>
    <n v="0.39"/>
    <n v="2025"/>
    <n v="6"/>
    <s v="2025-06"/>
    <s v="T2"/>
    <s v="40-49"/>
    <s v="bon"/>
    <s v="Moyen"/>
    <s v="Elevée"/>
  </r>
  <r>
    <s v="TX0000690"/>
    <d v="2025-03-20T00:00:00"/>
    <s v="CLI00822"/>
    <s v="PRD002"/>
    <s v="AG013"/>
    <s v="COM025"/>
    <n v="10"/>
    <n v="350"/>
    <n v="0.05"/>
    <s v="Cash"/>
    <s v="Validée"/>
    <s v="Client 00822"/>
    <s v="Kolwezi"/>
    <s v="Grande entreprise"/>
    <s v="Smartphone Pro X"/>
    <s v="Électronique"/>
    <s v="Premium"/>
    <s v="Agence Kinshasa 3"/>
    <s v="Kinshasa"/>
    <s v="Commercial 025"/>
    <n v="23"/>
    <x v="1"/>
    <n v="56"/>
    <n v="4.4000000000000004"/>
    <n v="8"/>
    <s v="Magasin"/>
    <n v="213.5"/>
    <n v="3500"/>
    <n v="175"/>
    <n v="3325"/>
    <n v="2135"/>
    <n v="1190"/>
    <n v="0.35789473684210527"/>
    <n v="2025"/>
    <n v="3"/>
    <s v="2025-03"/>
    <s v="T1"/>
    <s v="22-29"/>
    <s v="faible"/>
    <s v="Long"/>
    <s v="Elevée"/>
  </r>
  <r>
    <s v="TX0000691"/>
    <d v="2025-08-14T00:00:00"/>
    <s v="CLI00797"/>
    <s v="PRD011"/>
    <s v="AG015"/>
    <s v="COM002"/>
    <n v="1"/>
    <n v="240"/>
    <n v="0"/>
    <s v="Virement"/>
    <s v="Validée"/>
    <s v="Client 00797"/>
    <s v="Kinshasa"/>
    <s v="ONG"/>
    <s v="Switch 24 Ports"/>
    <s v="Réseau"/>
    <s v="Premium"/>
    <s v="Agence Goma 3"/>
    <s v="Goma"/>
    <s v="Commercial 002"/>
    <n v="54"/>
    <x v="0"/>
    <n v="15"/>
    <n v="5.7"/>
    <n v="6"/>
    <s v="Magasin"/>
    <n v="177.6"/>
    <n v="240"/>
    <n v="0"/>
    <n v="240"/>
    <n v="177.6"/>
    <n v="62.400000000000006"/>
    <n v="0.26"/>
    <n v="2025"/>
    <n v="8"/>
    <s v="2025-08"/>
    <s v="T3"/>
    <s v="50+"/>
    <s v="moyen"/>
    <s v="Moyen"/>
    <s v="Faible"/>
  </r>
  <r>
    <s v="TX0000692"/>
    <d v="2025-12-17T00:00:00"/>
    <s v="CLI00588"/>
    <s v="PRD011"/>
    <s v="AG002"/>
    <s v="COM008"/>
    <n v="1"/>
    <n v="240"/>
    <n v="0.05"/>
    <s v="Cash"/>
    <s v="Validée"/>
    <s v="Client 00588"/>
    <s v="Kinshasa"/>
    <s v="Institution"/>
    <s v="Switch 24 Ports"/>
    <s v="Réseau"/>
    <s v="Premium"/>
    <s v="Agence Lubumbashi 1"/>
    <s v="Lubumbashi"/>
    <s v="Commercial 008"/>
    <n v="26"/>
    <x v="1"/>
    <n v="14"/>
    <n v="5.4"/>
    <n v="5"/>
    <s v="Web"/>
    <n v="177.6"/>
    <n v="240"/>
    <n v="12"/>
    <n v="228"/>
    <n v="177.6"/>
    <n v="50.400000000000006"/>
    <n v="0.22105263157894739"/>
    <n v="2025"/>
    <n v="12"/>
    <s v="2025-12"/>
    <s v="T4"/>
    <s v="22-29"/>
    <s v="moyen"/>
    <s v="Moyen"/>
    <s v="Faible"/>
  </r>
  <r>
    <s v="TX0000693"/>
    <d v="2025-03-15T00:00:00"/>
    <s v="CLI00696"/>
    <s v="PRD011"/>
    <s v="AG012"/>
    <s v="COM003"/>
    <n v="6"/>
    <n v="240"/>
    <n v="0.08"/>
    <s v="Carte"/>
    <s v="Validée"/>
    <s v="Client 00696"/>
    <s v="Kisangani"/>
    <s v="Grande entreprise"/>
    <s v="Switch 24 Ports"/>
    <s v="Réseau"/>
    <s v="Premium"/>
    <s v="Agence Kolwezi 2"/>
    <s v="Kolwezi"/>
    <s v="Commercial 003"/>
    <n v="29"/>
    <x v="1"/>
    <n v="63"/>
    <n v="6.5"/>
    <n v="4"/>
    <s v="Web"/>
    <n v="177.6"/>
    <n v="1440"/>
    <n v="115.2"/>
    <n v="1324.8"/>
    <n v="1065.5999999999999"/>
    <n v="259.20000000000005"/>
    <n v="0.19565217391304351"/>
    <n v="2025"/>
    <n v="3"/>
    <s v="2025-03"/>
    <s v="T1"/>
    <s v="22-29"/>
    <s v="moyen"/>
    <s v="Moyen"/>
    <s v="Elevée"/>
  </r>
  <r>
    <s v="TX0000694"/>
    <d v="2025-10-18T00:00:00"/>
    <s v="CLI00015"/>
    <s v="PRD002"/>
    <s v="AG013"/>
    <s v="COM050"/>
    <n v="1"/>
    <n v="350"/>
    <n v="0"/>
    <s v="Cash"/>
    <s v="Validée"/>
    <s v="Client 00015"/>
    <s v="Kolwezi"/>
    <s v="Grande entreprise"/>
    <s v="Smartphone Pro X"/>
    <s v="Électronique"/>
    <s v="Premium"/>
    <s v="Agence Kinshasa 3"/>
    <s v="Kinshasa"/>
    <s v="Commercial 050"/>
    <n v="52"/>
    <x v="0"/>
    <n v="43"/>
    <n v="8.8000000000000007"/>
    <n v="1"/>
    <s v="WhatsApp"/>
    <n v="213.5"/>
    <n v="350"/>
    <n v="0"/>
    <n v="350"/>
    <n v="213.5"/>
    <n v="136.5"/>
    <n v="0.39"/>
    <n v="2025"/>
    <n v="10"/>
    <s v="2025-10"/>
    <s v="T4"/>
    <s v="50+"/>
    <s v="bon"/>
    <s v="Rapide"/>
    <s v="Faible"/>
  </r>
  <r>
    <s v="TX0000695"/>
    <d v="2025-10-20T00:00:00"/>
    <s v="CLI00303"/>
    <s v="PRD001"/>
    <s v="AG016"/>
    <s v="COM060"/>
    <n v="3"/>
    <n v="120"/>
    <n v="0"/>
    <s v="Mobile Money"/>
    <s v="Validée"/>
    <s v="Client 00303"/>
    <s v="Lubumbashi"/>
    <s v="Indépendant"/>
    <s v="Smartphone A1"/>
    <s v="Électronique"/>
    <s v="Entrée de gamme"/>
    <s v="Agence Kisangani 3"/>
    <s v="Kisangani"/>
    <s v="Commercial 060"/>
    <n v="33"/>
    <x v="1"/>
    <n v="6"/>
    <n v="7.2"/>
    <n v="2"/>
    <s v="WhatsApp"/>
    <n v="73.2"/>
    <n v="360"/>
    <n v="0"/>
    <n v="360"/>
    <n v="219.60000000000002"/>
    <n v="140.39999999999998"/>
    <n v="0.38999999999999996"/>
    <n v="2025"/>
    <n v="10"/>
    <s v="2025-10"/>
    <s v="T4"/>
    <s v="30-39"/>
    <s v="bon"/>
    <s v="Rapide"/>
    <s v="Faible"/>
  </r>
  <r>
    <s v="TX0000696"/>
    <d v="2025-11-22T00:00:00"/>
    <s v="CLI00974"/>
    <s v="PRD016"/>
    <s v="AG009"/>
    <s v="COM023"/>
    <n v="2"/>
    <n v="420"/>
    <n v="0"/>
    <s v="Mobile Money"/>
    <s v="Validée"/>
    <s v="Client 00974"/>
    <s v="Goma"/>
    <s v="Institution"/>
    <s v="Projecteur HD"/>
    <s v="Bureautique"/>
    <s v="Premium"/>
    <s v="Agence Goma 2"/>
    <s v="Goma"/>
    <s v="Commercial 023"/>
    <n v="34"/>
    <x v="0"/>
    <n v="22"/>
    <n v="6.5"/>
    <n v="4"/>
    <s v="Magasin"/>
    <n v="273"/>
    <n v="840"/>
    <n v="0"/>
    <n v="840"/>
    <n v="546"/>
    <n v="294"/>
    <n v="0.35"/>
    <n v="2025"/>
    <n v="11"/>
    <s v="2025-11"/>
    <s v="T4"/>
    <s v="30-39"/>
    <s v="moyen"/>
    <s v="Moyen"/>
    <s v="Moyenne"/>
  </r>
  <r>
    <s v="TX0000698"/>
    <d v="2025-06-03T00:00:00"/>
    <s v="CLI01508"/>
    <s v="PRD001"/>
    <s v="AG014"/>
    <s v="COM052"/>
    <n v="1"/>
    <n v="120"/>
    <n v="0.02"/>
    <s v="Mobile Money"/>
    <s v="Validée"/>
    <s v="Client 01508"/>
    <s v="Kisangani"/>
    <s v="Institution"/>
    <s v="Smartphone A1"/>
    <s v="Électronique"/>
    <s v="Entrée de gamme"/>
    <s v="Agence Lubumbashi 3"/>
    <s v="Lubumbashi"/>
    <s v="Commercial 052"/>
    <n v="35"/>
    <x v="0"/>
    <n v="10"/>
    <n v="6.7"/>
    <n v="4"/>
    <s v="Magasin"/>
    <n v="73.2"/>
    <n v="120"/>
    <n v="2.4"/>
    <n v="117.6"/>
    <n v="73.2"/>
    <n v="44.399999999999991"/>
    <n v="0.37755102040816318"/>
    <n v="2025"/>
    <n v="6"/>
    <s v="2025-06"/>
    <s v="T2"/>
    <s v="30-39"/>
    <s v="moyen"/>
    <s v="Moyen"/>
    <s v="Faible"/>
  </r>
  <r>
    <s v="TX0000699"/>
    <d v="2025-11-17T00:00:00"/>
    <s v="CLI00930"/>
    <s v="PRD013"/>
    <s v="AG005"/>
    <s v="COM054"/>
    <n v="2"/>
    <n v="110"/>
    <n v="0.02"/>
    <s v="Mobile Money"/>
    <s v="Validée"/>
    <s v="Client 00930"/>
    <s v="Matadi"/>
    <s v="Indépendant"/>
    <s v="Disque SSD 1TB"/>
    <s v="Informatique"/>
    <s v="Premium"/>
    <s v="Agence Matadi 1"/>
    <s v="Matadi"/>
    <s v="Commercial 054"/>
    <n v="60"/>
    <x v="0"/>
    <n v="21"/>
    <n v="6.3"/>
    <n v="5"/>
    <s v="WhatsApp"/>
    <n v="72.599999999999994"/>
    <n v="220"/>
    <n v="4.4000000000000004"/>
    <n v="215.6"/>
    <n v="145.19999999999999"/>
    <n v="70.400000000000006"/>
    <n v="0.32653061224489799"/>
    <n v="2025"/>
    <n v="11"/>
    <s v="2025-11"/>
    <s v="T4"/>
    <s v="50+"/>
    <s v="moyen"/>
    <s v="Moyen"/>
    <s v="Faible"/>
  </r>
  <r>
    <s v="TX0000700"/>
    <d v="2025-08-26T00:00:00"/>
    <s v="CLI01887"/>
    <s v="PRD015"/>
    <s v="AG015"/>
    <s v="COM025"/>
    <n v="2"/>
    <n v="48"/>
    <n v="0"/>
    <s v="Mobile Money"/>
    <s v="Validée"/>
    <s v="Client 01887"/>
    <s v="Kolwezi"/>
    <s v="PME"/>
    <s v="Webcam HD"/>
    <s v="Électronique"/>
    <s v="Entrée de gamme"/>
    <s v="Agence Goma 3"/>
    <s v="Goma"/>
    <s v="Commercial 025"/>
    <n v="60"/>
    <x v="1"/>
    <n v="18"/>
    <n v="3.1"/>
    <n v="9"/>
    <s v="Web"/>
    <n v="37.44"/>
    <n v="96"/>
    <n v="0"/>
    <n v="96"/>
    <n v="74.88"/>
    <n v="21.120000000000005"/>
    <n v="0.22000000000000006"/>
    <n v="2025"/>
    <n v="8"/>
    <s v="2025-08"/>
    <s v="T3"/>
    <s v="50+"/>
    <s v="faible"/>
    <s v="Long"/>
    <s v="Faible"/>
  </r>
  <r>
    <s v="TX0000701"/>
    <d v="2025-12-31T00:00:00"/>
    <s v="CLI02171"/>
    <s v="PRD007"/>
    <s v="AG008"/>
    <s v="COM014"/>
    <n v="1"/>
    <n v="145"/>
    <n v="0"/>
    <s v="Virement"/>
    <s v="Validée"/>
    <s v="Client 02171"/>
    <s v="Goma"/>
    <s v="Indépendant"/>
    <s v="Écran 24 pouces"/>
    <s v="Informatique"/>
    <s v="Standard"/>
    <s v="Agence Lubumbashi 2"/>
    <s v="Lubumbashi"/>
    <s v="Commercial 014"/>
    <n v="27"/>
    <x v="0"/>
    <n v="27"/>
    <n v="6.5"/>
    <n v="4"/>
    <s v="Magasin"/>
    <n v="97.15"/>
    <n v="145"/>
    <n v="0"/>
    <n v="145"/>
    <n v="97.15"/>
    <n v="47.849999999999994"/>
    <n v="0.32999999999999996"/>
    <n v="2025"/>
    <n v="12"/>
    <s v="2025-12"/>
    <s v="T4"/>
    <s v="22-29"/>
    <s v="moyen"/>
    <s v="Moyen"/>
    <s v="Faible"/>
  </r>
  <r>
    <s v="TX0000702"/>
    <d v="2025-07-21T00:00:00"/>
    <s v="CLI01673"/>
    <s v="PRD012"/>
    <s v="AG010"/>
    <s v="COM014"/>
    <n v="1"/>
    <n v="180"/>
    <n v="0"/>
    <s v="Mobile Money"/>
    <s v="Validée"/>
    <s v="Client 01673"/>
    <s v="Lubumbashi"/>
    <s v="PME"/>
    <s v="Onduleur 1200VA"/>
    <s v="Énergie"/>
    <s v="Standard"/>
    <s v="Agence Kisangani 2"/>
    <s v="Kisangani"/>
    <s v="Commercial 014"/>
    <n v="37"/>
    <x v="1"/>
    <n v="53"/>
    <n v="3.4"/>
    <n v="9"/>
    <s v="WhatsApp"/>
    <n v="129.6"/>
    <n v="180"/>
    <n v="0"/>
    <n v="180"/>
    <n v="129.6"/>
    <n v="50.400000000000006"/>
    <n v="0.28000000000000003"/>
    <n v="2025"/>
    <n v="7"/>
    <s v="2025-07"/>
    <s v="T3"/>
    <s v="30-39"/>
    <s v="faible"/>
    <s v="Long"/>
    <s v="Faible"/>
  </r>
  <r>
    <s v="TX0000704"/>
    <d v="2025-12-22T00:00:00"/>
    <s v="CLI01769"/>
    <s v="PRD006"/>
    <s v="AG015"/>
    <s v="COM002"/>
    <n v="1"/>
    <n v="190"/>
    <n v="0.05"/>
    <s v="Carte"/>
    <s v="Validée"/>
    <s v="Client 01769"/>
    <s v="Kolwezi"/>
    <s v="Institution"/>
    <s v="Imprimante Office"/>
    <s v="Bureautique"/>
    <s v="Standard"/>
    <s v="Agence Goma 3"/>
    <s v="Goma"/>
    <s v="Commercial 002"/>
    <n v="60"/>
    <x v="1"/>
    <n v="55"/>
    <n v="6.8"/>
    <n v="5"/>
    <s v="WhatsApp"/>
    <n v="148.19999999999999"/>
    <n v="190"/>
    <n v="9.5"/>
    <n v="180.5"/>
    <n v="148.19999999999999"/>
    <n v="32.300000000000011"/>
    <n v="0.17894736842105269"/>
    <n v="2025"/>
    <n v="12"/>
    <s v="2025-12"/>
    <s v="T4"/>
    <s v="50+"/>
    <s v="moyen"/>
    <s v="Moyen"/>
    <s v="Faible"/>
  </r>
  <r>
    <s v="TX0000705"/>
    <d v="2025-07-30T00:00:00"/>
    <s v="CLI00639"/>
    <s v="PRD013"/>
    <s v="AG007"/>
    <s v="COM010"/>
    <n v="2"/>
    <n v="110"/>
    <n v="0"/>
    <s v="Carte"/>
    <s v="Validée"/>
    <s v="Client 00639"/>
    <s v="Kisangani"/>
    <s v="PME"/>
    <s v="Disque SSD 1TB"/>
    <s v="Informatique"/>
    <s v="Premium"/>
    <s v="Agence Kinshasa 2"/>
    <s v="Kinshasa"/>
    <s v="Commercial 010"/>
    <n v="29"/>
    <x v="1"/>
    <n v="11"/>
    <n v="7.6"/>
    <n v="2"/>
    <s v="Téléphone"/>
    <n v="72.599999999999994"/>
    <n v="220"/>
    <n v="0"/>
    <n v="220"/>
    <n v="145.19999999999999"/>
    <n v="74.800000000000011"/>
    <n v="0.34"/>
    <n v="2025"/>
    <n v="7"/>
    <s v="2025-07"/>
    <s v="T3"/>
    <s v="22-29"/>
    <s v="bon"/>
    <s v="Rapide"/>
    <s v="Faible"/>
  </r>
  <r>
    <s v="TX0000706"/>
    <d v="2025-11-18T00:00:00"/>
    <s v="CLI01994"/>
    <s v="PRD011"/>
    <s v="AG017"/>
    <s v="COM048"/>
    <n v="5"/>
    <n v="240"/>
    <n v="0.08"/>
    <s v="Cash"/>
    <s v="Validée"/>
    <s v="Client 01994"/>
    <s v="Kinshasa"/>
    <s v="Indépendant"/>
    <s v="Switch 24 Ports"/>
    <s v="Réseau"/>
    <s v="Premium"/>
    <s v="Agence Matadi 3"/>
    <s v="Matadi"/>
    <s v="Commercial 048"/>
    <n v="26"/>
    <x v="0"/>
    <n v="60"/>
    <n v="4.2"/>
    <n v="8"/>
    <s v="WhatsApp"/>
    <n v="177.6"/>
    <n v="1200"/>
    <n v="96"/>
    <n v="1104"/>
    <n v="888"/>
    <n v="216"/>
    <n v="0.19565217391304349"/>
    <n v="2025"/>
    <n v="11"/>
    <s v="2025-11"/>
    <s v="T4"/>
    <s v="22-29"/>
    <s v="faible"/>
    <s v="Long"/>
    <s v="Elevée"/>
  </r>
  <r>
    <s v="TX0000708"/>
    <d v="2025-06-07T00:00:00"/>
    <s v="CLI01462"/>
    <s v="PRD007"/>
    <s v="AG005"/>
    <s v="COM014"/>
    <n v="5"/>
    <n v="145"/>
    <n v="0"/>
    <s v="Virement"/>
    <s v="Validée"/>
    <s v="Client 01462"/>
    <s v="Kolwezi"/>
    <s v="ONG"/>
    <s v="Écran 24 pouces"/>
    <s v="Informatique"/>
    <s v="Standard"/>
    <s v="Agence Matadi 1"/>
    <s v="Matadi"/>
    <s v="Commercial 014"/>
    <n v="23"/>
    <x v="0"/>
    <n v="16"/>
    <n v="3.3"/>
    <n v="9"/>
    <s v="Magasin"/>
    <n v="97.15"/>
    <n v="725"/>
    <n v="0"/>
    <n v="725"/>
    <n v="485.75"/>
    <n v="239.25"/>
    <n v="0.33"/>
    <n v="2025"/>
    <n v="6"/>
    <s v="2025-06"/>
    <s v="T2"/>
    <s v="22-29"/>
    <s v="faible"/>
    <s v="Long"/>
    <s v="Moyenne"/>
  </r>
  <r>
    <s v="TX0000709"/>
    <d v="2025-03-31T00:00:00"/>
    <s v="CLI01830"/>
    <s v="PRD016"/>
    <s v="AG011"/>
    <s v="COM046"/>
    <n v="2"/>
    <n v="420"/>
    <n v="0"/>
    <s v="Carte"/>
    <s v="Validée"/>
    <s v="Client 01830"/>
    <s v="Kisangani"/>
    <s v="Grande entreprise"/>
    <s v="Projecteur HD"/>
    <s v="Bureautique"/>
    <s v="Premium"/>
    <s v="Agence Matadi 2"/>
    <s v="Matadi"/>
    <s v="Commercial 046"/>
    <n v="42"/>
    <x v="1"/>
    <n v="25"/>
    <n v="6.2"/>
    <n v="6"/>
    <s v="Téléphone"/>
    <n v="273"/>
    <n v="840"/>
    <n v="0"/>
    <n v="840"/>
    <n v="546"/>
    <n v="294"/>
    <n v="0.35"/>
    <n v="2025"/>
    <n v="3"/>
    <s v="2025-03"/>
    <s v="T1"/>
    <s v="40-49"/>
    <s v="moyen"/>
    <s v="Moyen"/>
    <s v="Moyenne"/>
  </r>
  <r>
    <s v="TX0000710"/>
    <d v="2025-09-30T00:00:00"/>
    <s v="CLI00623"/>
    <s v="PRD006"/>
    <s v="AG014"/>
    <s v="COM008"/>
    <n v="6"/>
    <n v="190"/>
    <n v="0.02"/>
    <s v="Carte"/>
    <s v="Validée"/>
    <s v="Client 00623"/>
    <s v="Kisangani"/>
    <s v="Grande entreprise"/>
    <s v="Imprimante Office"/>
    <s v="Bureautique"/>
    <s v="Standard"/>
    <s v="Agence Lubumbashi 3"/>
    <s v="Lubumbashi"/>
    <s v="Commercial 008"/>
    <n v="48"/>
    <x v="1"/>
    <n v="58"/>
    <n v="4.5999999999999996"/>
    <n v="8"/>
    <s v="Web"/>
    <n v="148.19999999999999"/>
    <n v="1140"/>
    <n v="22.8"/>
    <n v="1117.2"/>
    <n v="889.19999999999993"/>
    <n v="228.00000000000011"/>
    <n v="0.20408163265306131"/>
    <n v="2025"/>
    <n v="9"/>
    <s v="2025-09"/>
    <s v="T3"/>
    <s v="40-49"/>
    <s v="faible"/>
    <s v="Long"/>
    <s v="Elevée"/>
  </r>
  <r>
    <s v="TX0000711"/>
    <d v="2025-12-06T00:00:00"/>
    <s v="CLI01924"/>
    <s v="PRD009"/>
    <s v="AG008"/>
    <s v="COM008"/>
    <n v="10"/>
    <n v="22"/>
    <n v="0.02"/>
    <s v="Cash"/>
    <s v="Validée"/>
    <s v="Client 01924"/>
    <s v="Kinshasa"/>
    <s v="Indépendant"/>
    <s v="Souris Wireless"/>
    <s v="Informatique"/>
    <s v="Entrée de gamme"/>
    <s v="Agence Lubumbashi 2"/>
    <s v="Lubumbashi"/>
    <s v="Commercial 008"/>
    <n v="22"/>
    <x v="1"/>
    <n v="52"/>
    <n v="5.6"/>
    <n v="5"/>
    <s v="WhatsApp"/>
    <n v="14.96"/>
    <n v="220"/>
    <n v="4.4000000000000004"/>
    <n v="215.6"/>
    <n v="149.60000000000002"/>
    <n v="65.999999999999972"/>
    <n v="0.30612244897959173"/>
    <n v="2025"/>
    <n v="12"/>
    <s v="2025-12"/>
    <s v="T4"/>
    <s v="22-29"/>
    <s v="moyen"/>
    <s v="Moyen"/>
    <s v="Faible"/>
  </r>
  <r>
    <s v="TX0000713"/>
    <d v="2025-12-10T00:00:00"/>
    <s v="CLI00745"/>
    <s v="PRD015"/>
    <s v="AG001"/>
    <s v="COM032"/>
    <n v="3"/>
    <n v="48"/>
    <n v="0"/>
    <s v="Cash"/>
    <s v="Validée"/>
    <s v="Client 00745"/>
    <s v="Lubumbashi"/>
    <s v="ONG"/>
    <s v="Webcam HD"/>
    <s v="Électronique"/>
    <s v="Entrée de gamme"/>
    <s v="Agence Kinshasa 1"/>
    <s v="Kinshasa"/>
    <s v="Commercial 032"/>
    <n v="55"/>
    <x v="0"/>
    <n v="53"/>
    <n v="4.8"/>
    <n v="8"/>
    <s v="Téléphone"/>
    <n v="37.44"/>
    <n v="144"/>
    <n v="0"/>
    <n v="144"/>
    <n v="112.32"/>
    <n v="31.680000000000007"/>
    <n v="0.22000000000000006"/>
    <n v="2025"/>
    <n v="12"/>
    <s v="2025-12"/>
    <s v="T4"/>
    <s v="50+"/>
    <s v="faible"/>
    <s v="Long"/>
    <s v="Faible"/>
  </r>
  <r>
    <s v="TX0000715"/>
    <d v="2025-02-12T00:00:00"/>
    <s v="CLI00808"/>
    <s v="PRD011"/>
    <s v="AG010"/>
    <s v="COM046"/>
    <n v="2"/>
    <n v="240"/>
    <n v="0.1"/>
    <s v="Mobile Money"/>
    <s v="Validée"/>
    <s v="Client 00808"/>
    <s v="Lubumbashi"/>
    <s v="Institution"/>
    <s v="Switch 24 Ports"/>
    <s v="Réseau"/>
    <s v="Premium"/>
    <s v="Agence Kisangani 2"/>
    <s v="Kisangani"/>
    <s v="Commercial 046"/>
    <n v="46"/>
    <x v="1"/>
    <n v="50"/>
    <n v="8.1"/>
    <n v="2"/>
    <s v="Web"/>
    <n v="177.6"/>
    <n v="480"/>
    <n v="48"/>
    <n v="432"/>
    <n v="355.2"/>
    <n v="76.800000000000011"/>
    <n v="0.17777777777777781"/>
    <n v="2025"/>
    <n v="2"/>
    <s v="2025-02"/>
    <s v="T1"/>
    <s v="40-49"/>
    <s v="bon"/>
    <s v="Rapide"/>
    <s v="Faible"/>
  </r>
  <r>
    <s v="TX0000716"/>
    <d v="2025-05-10T00:00:00"/>
    <s v="CLI01712"/>
    <s v="PRD006"/>
    <s v="AG012"/>
    <s v="COM055"/>
    <n v="1"/>
    <n v="190"/>
    <n v="0"/>
    <s v="Cash"/>
    <s v="Validée"/>
    <s v="Client 01712"/>
    <s v="Goma"/>
    <s v="PME"/>
    <s v="Imprimante Office"/>
    <s v="Bureautique"/>
    <s v="Standard"/>
    <s v="Agence Kolwezi 2"/>
    <s v="Kolwezi"/>
    <s v="Commercial 055"/>
    <n v="33"/>
    <x v="1"/>
    <n v="41"/>
    <n v="5.6"/>
    <n v="7"/>
    <s v="Téléphone"/>
    <n v="148.19999999999999"/>
    <n v="190"/>
    <n v="0"/>
    <n v="190"/>
    <n v="148.19999999999999"/>
    <n v="41.800000000000011"/>
    <n v="0.22000000000000006"/>
    <n v="2025"/>
    <n v="5"/>
    <s v="2025-05"/>
    <s v="T2"/>
    <s v="30-39"/>
    <s v="moyen"/>
    <s v="Long"/>
    <s v="Faible"/>
  </r>
  <r>
    <s v="TX0000717"/>
    <d v="2025-06-06T00:00:00"/>
    <s v="CLI00684"/>
    <s v="PRD002"/>
    <s v="AG008"/>
    <s v="COM045"/>
    <n v="1"/>
    <n v="350"/>
    <n v="0.02"/>
    <s v="Virement"/>
    <s v="Validée"/>
    <s v="Client 00684"/>
    <s v="Goma"/>
    <s v="Grande entreprise"/>
    <s v="Smartphone Pro X"/>
    <s v="Électronique"/>
    <s v="Premium"/>
    <s v="Agence Lubumbashi 2"/>
    <s v="Lubumbashi"/>
    <s v="Commercial 045"/>
    <n v="60"/>
    <x v="0"/>
    <n v="64"/>
    <n v="6.3"/>
    <n v="5"/>
    <s v="WhatsApp"/>
    <n v="213.5"/>
    <n v="350"/>
    <n v="7"/>
    <n v="343"/>
    <n v="213.5"/>
    <n v="129.5"/>
    <n v="0.37755102040816324"/>
    <n v="2025"/>
    <n v="6"/>
    <s v="2025-06"/>
    <s v="T2"/>
    <s v="50+"/>
    <s v="moyen"/>
    <s v="Moyen"/>
    <s v="Faible"/>
  </r>
  <r>
    <s v="TX0000718"/>
    <d v="2025-01-17T00:00:00"/>
    <s v="CLI01877"/>
    <s v="PRD003"/>
    <s v="AG011"/>
    <s v="COM036"/>
    <n v="1"/>
    <n v="780"/>
    <n v="0.05"/>
    <s v="Cash"/>
    <s v="Validée"/>
    <s v="Client 01877"/>
    <s v="Lubumbashi"/>
    <s v="ONG"/>
    <s v="Laptop Business 14"/>
    <s v="Informatique"/>
    <s v="Premium"/>
    <s v="Agence Matadi 2"/>
    <s v="Matadi"/>
    <s v="Commercial 036"/>
    <n v="31"/>
    <x v="1"/>
    <n v="12"/>
    <n v="8.1999999999999993"/>
    <n v="1"/>
    <s v="Web"/>
    <n v="468"/>
    <n v="780"/>
    <n v="39"/>
    <n v="741"/>
    <n v="468"/>
    <n v="273"/>
    <n v="0.36842105263157893"/>
    <n v="2025"/>
    <n v="1"/>
    <s v="2025-01"/>
    <s v="T1"/>
    <s v="30-39"/>
    <s v="bon"/>
    <s v="Rapide"/>
    <s v="Moyenne"/>
  </r>
  <r>
    <s v="TX0000719"/>
    <d v="2025-08-29T00:00:00"/>
    <s v="CLI00079"/>
    <s v="PRD010"/>
    <s v="AG013"/>
    <s v="COM013"/>
    <n v="2"/>
    <n v="95"/>
    <n v="0"/>
    <s v="Virement"/>
    <s v="Validée"/>
    <s v="Client 00079"/>
    <s v="Kinshasa"/>
    <s v="PME"/>
    <s v="Routeur Business"/>
    <s v="Réseau"/>
    <s v="Standard"/>
    <s v="Agence Kinshasa 3"/>
    <s v="Kinshasa"/>
    <s v="Commercial 013"/>
    <n v="26"/>
    <x v="1"/>
    <n v="20"/>
    <n v="8.3000000000000007"/>
    <n v="2"/>
    <s v="Web"/>
    <n v="70.3"/>
    <n v="190"/>
    <n v="0"/>
    <n v="190"/>
    <n v="140.6"/>
    <n v="49.400000000000006"/>
    <n v="0.26"/>
    <n v="2025"/>
    <n v="8"/>
    <s v="2025-08"/>
    <s v="T3"/>
    <s v="22-29"/>
    <s v="bon"/>
    <s v="Rapide"/>
    <s v="Faible"/>
  </r>
  <r>
    <s v="TX0000721"/>
    <d v="2025-05-17T00:00:00"/>
    <s v="CLI01072"/>
    <s v="PRD007"/>
    <s v="AG016"/>
    <s v="COM019"/>
    <n v="1"/>
    <n v="145"/>
    <n v="0.02"/>
    <s v="Cash"/>
    <s v="Validée"/>
    <s v="Client 01072"/>
    <s v="Goma"/>
    <s v="PME"/>
    <s v="Écran 24 pouces"/>
    <s v="Informatique"/>
    <s v="Standard"/>
    <s v="Agence Kisangani 3"/>
    <s v="Kisangani"/>
    <s v="Commercial 019"/>
    <n v="26"/>
    <x v="1"/>
    <n v="8"/>
    <n v="3.7"/>
    <n v="8"/>
    <s v="WhatsApp"/>
    <n v="97.15"/>
    <n v="145"/>
    <n v="2.9"/>
    <n v="142.1"/>
    <n v="97.15"/>
    <n v="44.949999999999989"/>
    <n v="0.31632653061224481"/>
    <n v="2025"/>
    <n v="5"/>
    <s v="2025-05"/>
    <s v="T2"/>
    <s v="22-29"/>
    <s v="faible"/>
    <s v="Long"/>
    <s v="Faible"/>
  </r>
  <r>
    <s v="TX0000722"/>
    <d v="2025-03-07T00:00:00"/>
    <s v="CLI01306"/>
    <s v="PRD004"/>
    <s v="AG001"/>
    <s v="COM052"/>
    <n v="4"/>
    <n v="520"/>
    <n v="0"/>
    <s v="Carte"/>
    <s v="Validée"/>
    <s v="Client 01306"/>
    <s v="Kolwezi"/>
    <s v="Institution"/>
    <s v="Laptop Essential 15"/>
    <s v="Informatique"/>
    <s v="Standard"/>
    <s v="Agence Kinshasa 1"/>
    <s v="Kinshasa"/>
    <s v="Commercial 052"/>
    <n v="49"/>
    <x v="1"/>
    <n v="23"/>
    <n v="4.3"/>
    <n v="9"/>
    <s v="Web"/>
    <n v="348.4"/>
    <n v="2080"/>
    <n v="0"/>
    <n v="2080"/>
    <n v="1393.6"/>
    <n v="686.40000000000009"/>
    <n v="0.33000000000000007"/>
    <n v="2025"/>
    <n v="3"/>
    <s v="2025-03"/>
    <s v="T1"/>
    <s v="40-49"/>
    <s v="faible"/>
    <s v="Long"/>
    <s v="Elevée"/>
  </r>
  <r>
    <s v="TX0000723"/>
    <d v="2025-05-02T00:00:00"/>
    <s v="CLI01530"/>
    <s v="PRD003"/>
    <s v="AG005"/>
    <s v="COM037"/>
    <n v="4"/>
    <n v="780"/>
    <n v="0.1"/>
    <s v="Cash"/>
    <s v="Validée"/>
    <s v="Client 01530"/>
    <s v="Goma"/>
    <s v="Institution"/>
    <s v="Laptop Business 14"/>
    <s v="Informatique"/>
    <s v="Premium"/>
    <s v="Agence Matadi 1"/>
    <s v="Matadi"/>
    <s v="Commercial 037"/>
    <n v="34"/>
    <x v="1"/>
    <n v="49"/>
    <n v="6.8"/>
    <n v="3"/>
    <s v="Magasin"/>
    <n v="468"/>
    <n v="3120"/>
    <n v="312"/>
    <n v="2808"/>
    <n v="1872"/>
    <n v="936"/>
    <n v="0.33333333333333331"/>
    <n v="2025"/>
    <n v="5"/>
    <s v="2025-05"/>
    <s v="T2"/>
    <s v="30-39"/>
    <s v="moyen"/>
    <s v="Rapide"/>
    <s v="Elevée"/>
  </r>
  <r>
    <s v="TX0000724"/>
    <d v="2025-10-26T00:00:00"/>
    <s v="CLI00056"/>
    <s v="PRD011"/>
    <s v="AG003"/>
    <s v="COM010"/>
    <n v="3"/>
    <n v="240"/>
    <n v="0.1"/>
    <s v="Mobile Money"/>
    <s v="Validée"/>
    <s v="Client 00056"/>
    <s v="Kinshasa"/>
    <s v="Indépendant"/>
    <s v="Switch 24 Ports"/>
    <s v="Réseau"/>
    <s v="Premium"/>
    <s v="Agence Goma 1"/>
    <s v="Goma"/>
    <s v="Commercial 010"/>
    <n v="41"/>
    <x v="0"/>
    <n v="12"/>
    <n v="5.7"/>
    <n v="6"/>
    <s v="WhatsApp"/>
    <n v="177.6"/>
    <n v="720"/>
    <n v="72"/>
    <n v="648"/>
    <n v="532.79999999999995"/>
    <n v="115.20000000000005"/>
    <n v="0.17777777777777784"/>
    <n v="2025"/>
    <n v="10"/>
    <s v="2025-10"/>
    <s v="T4"/>
    <s v="40-49"/>
    <s v="moyen"/>
    <s v="Moyen"/>
    <s v="Moyenne"/>
  </r>
  <r>
    <s v="TX0000725"/>
    <d v="2025-12-27T00:00:00"/>
    <s v="CLI01356"/>
    <s v="PRD004"/>
    <s v="AG004"/>
    <s v="COM004"/>
    <n v="1"/>
    <n v="520"/>
    <n v="0.08"/>
    <s v="Cash"/>
    <s v="Validée"/>
    <s v="Client 01356"/>
    <s v="Lubumbashi"/>
    <s v="Indépendant"/>
    <s v="Laptop Essential 15"/>
    <s v="Informatique"/>
    <s v="Standard"/>
    <s v="Agence Kisangani 1"/>
    <s v="Kisangani"/>
    <s v="Commercial 004"/>
    <n v="33"/>
    <x v="0"/>
    <n v="5"/>
    <n v="4.5"/>
    <n v="7"/>
    <s v="Web"/>
    <n v="348.4"/>
    <n v="520"/>
    <n v="41.6"/>
    <n v="478.4"/>
    <n v="348.4"/>
    <n v="130"/>
    <n v="0.27173913043478259"/>
    <n v="2025"/>
    <n v="12"/>
    <s v="2025-12"/>
    <s v="T4"/>
    <s v="30-39"/>
    <s v="faible"/>
    <s v="Long"/>
    <s v="Faible"/>
  </r>
  <r>
    <s v="TX0000726"/>
    <d v="2025-12-18T00:00:00"/>
    <s v="CLI00376"/>
    <s v="PRD001"/>
    <s v="AG014"/>
    <s v="COM051"/>
    <n v="1"/>
    <n v="120"/>
    <n v="0"/>
    <s v="Cash"/>
    <s v="Validée"/>
    <s v="Client 00376"/>
    <s v="Matadi"/>
    <s v="Indépendant"/>
    <s v="Smartphone A1"/>
    <s v="Électronique"/>
    <s v="Entrée de gamme"/>
    <s v="Agence Lubumbashi 3"/>
    <s v="Lubumbashi"/>
    <s v="Commercial 051"/>
    <n v="32"/>
    <x v="0"/>
    <n v="54"/>
    <n v="7.8"/>
    <n v="2"/>
    <s v="Web"/>
    <n v="73.2"/>
    <n v="120"/>
    <n v="0"/>
    <n v="120"/>
    <n v="73.2"/>
    <n v="46.8"/>
    <n v="0.38999999999999996"/>
    <n v="2025"/>
    <n v="12"/>
    <s v="2025-12"/>
    <s v="T4"/>
    <s v="30-39"/>
    <s v="bon"/>
    <s v="Rapide"/>
    <s v="Faible"/>
  </r>
  <r>
    <s v="TX0000727"/>
    <d v="2025-04-12T00:00:00"/>
    <s v="CLI02169"/>
    <s v="PRD007"/>
    <s v="AG016"/>
    <s v="COM053"/>
    <n v="4"/>
    <n v="145"/>
    <n v="0.02"/>
    <s v="Carte"/>
    <s v="Validée"/>
    <s v="Client 02169"/>
    <s v="Goma"/>
    <s v="PME"/>
    <s v="Écran 24 pouces"/>
    <s v="Informatique"/>
    <s v="Standard"/>
    <s v="Agence Kisangani 3"/>
    <s v="Kisangani"/>
    <s v="Commercial 053"/>
    <n v="30"/>
    <x v="0"/>
    <n v="41"/>
    <n v="7.3"/>
    <n v="4"/>
    <s v="Web"/>
    <n v="97.15"/>
    <n v="580"/>
    <n v="11.6"/>
    <n v="568.4"/>
    <n v="388.6"/>
    <n v="179.79999999999995"/>
    <n v="0.31632653061224481"/>
    <n v="2025"/>
    <n v="4"/>
    <s v="2025-04"/>
    <s v="T2"/>
    <s v="30-39"/>
    <s v="bon"/>
    <s v="Moyen"/>
    <s v="Moyenne"/>
  </r>
  <r>
    <s v="TX0000728"/>
    <d v="2025-01-04T00:00:00"/>
    <s v="CLI00251"/>
    <s v="PRD015"/>
    <s v="AG006"/>
    <s v="COM033"/>
    <n v="1"/>
    <n v="48"/>
    <n v="0"/>
    <s v="Virement"/>
    <s v="Validée"/>
    <s v="Client 00251"/>
    <s v="Kisangani"/>
    <s v="PME"/>
    <s v="Webcam HD"/>
    <s v="Électronique"/>
    <s v="Entrée de gamme"/>
    <s v="Agence Kolwezi 1"/>
    <s v="Kolwezi"/>
    <s v="Commercial 033"/>
    <n v="41"/>
    <x v="0"/>
    <n v="50"/>
    <n v="2.9"/>
    <n v="9"/>
    <s v="WhatsApp"/>
    <n v="37.44"/>
    <n v="48"/>
    <n v="0"/>
    <n v="48"/>
    <n v="37.44"/>
    <n v="10.560000000000002"/>
    <n v="0.22000000000000006"/>
    <n v="2025"/>
    <n v="1"/>
    <s v="2025-01"/>
    <s v="T1"/>
    <s v="40-49"/>
    <s v="faible"/>
    <s v="Long"/>
    <s v="Faible"/>
  </r>
  <r>
    <s v="TX0000729"/>
    <d v="2025-04-06T00:00:00"/>
    <s v="CLI00776"/>
    <s v="PRD004"/>
    <s v="AG003"/>
    <s v="COM013"/>
    <n v="5"/>
    <n v="520"/>
    <n v="0.1"/>
    <s v="Carte"/>
    <s v="Validée"/>
    <s v="Client 00776"/>
    <s v="Kisangani"/>
    <s v="Institution"/>
    <s v="Laptop Essential 15"/>
    <s v="Informatique"/>
    <s v="Standard"/>
    <s v="Agence Goma 1"/>
    <s v="Goma"/>
    <s v="Commercial 013"/>
    <n v="49"/>
    <x v="1"/>
    <n v="54"/>
    <n v="6.9"/>
    <n v="4"/>
    <s v="Téléphone"/>
    <n v="348.4"/>
    <n v="2600"/>
    <n v="260"/>
    <n v="2340"/>
    <n v="1742"/>
    <n v="598"/>
    <n v="0.25555555555555554"/>
    <n v="2025"/>
    <n v="4"/>
    <s v="2025-04"/>
    <s v="T2"/>
    <s v="40-49"/>
    <s v="moyen"/>
    <s v="Moyen"/>
    <s v="Elevée"/>
  </r>
  <r>
    <s v="TX0000730"/>
    <d v="2025-05-27T00:00:00"/>
    <s v="CLI01216"/>
    <s v="PRD014"/>
    <s v="AG017"/>
    <s v="COM041"/>
    <n v="1"/>
    <n v="65"/>
    <n v="0"/>
    <s v="Virement"/>
    <s v="Validée"/>
    <s v="Client 01216"/>
    <s v="Matadi"/>
    <s v="Grande entreprise"/>
    <s v="Casque Pro"/>
    <s v="Électronique"/>
    <s v="Standard"/>
    <s v="Agence Matadi 3"/>
    <s v="Matadi"/>
    <s v="Commercial 041"/>
    <n v="55"/>
    <x v="0"/>
    <n v="52"/>
    <n v="4.8"/>
    <n v="8"/>
    <s v="WhatsApp"/>
    <n v="47.45"/>
    <n v="65"/>
    <n v="0"/>
    <n v="65"/>
    <n v="47.45"/>
    <n v="17.549999999999997"/>
    <n v="0.26999999999999996"/>
    <n v="2025"/>
    <n v="5"/>
    <s v="2025-05"/>
    <s v="T2"/>
    <s v="50+"/>
    <s v="faible"/>
    <s v="Long"/>
    <s v="Faible"/>
  </r>
  <r>
    <s v="TX0000731"/>
    <d v="2025-03-24T00:00:00"/>
    <s v="CLI02174"/>
    <s v="PRD001"/>
    <s v="AG009"/>
    <s v="COM019"/>
    <n v="1"/>
    <n v="120"/>
    <n v="0"/>
    <s v="Mobile Money"/>
    <s v="Validée"/>
    <s v="Client 02174"/>
    <s v="Kinshasa"/>
    <s v="Institution"/>
    <s v="Smartphone A1"/>
    <s v="Électronique"/>
    <s v="Entrée de gamme"/>
    <s v="Agence Goma 2"/>
    <s v="Goma"/>
    <s v="Commercial 019"/>
    <n v="24"/>
    <x v="1"/>
    <n v="23"/>
    <n v="5.7"/>
    <n v="5"/>
    <s v="WhatsApp"/>
    <n v="73.2"/>
    <n v="120"/>
    <n v="0"/>
    <n v="120"/>
    <n v="73.2"/>
    <n v="46.8"/>
    <n v="0.38999999999999996"/>
    <n v="2025"/>
    <n v="3"/>
    <s v="2025-03"/>
    <s v="T1"/>
    <s v="22-29"/>
    <s v="moyen"/>
    <s v="Moyen"/>
    <s v="Faible"/>
  </r>
  <r>
    <s v="TX0000732"/>
    <d v="2025-08-17T00:00:00"/>
    <s v="CLI00248"/>
    <s v="PRD014"/>
    <s v="AG003"/>
    <s v="COM044"/>
    <n v="1"/>
    <n v="65"/>
    <n v="0.08"/>
    <s v="Cash"/>
    <s v="Validée"/>
    <s v="Client 00248"/>
    <s v="Matadi"/>
    <s v="Indépendant"/>
    <s v="Casque Pro"/>
    <s v="Électronique"/>
    <s v="Standard"/>
    <s v="Agence Goma 1"/>
    <s v="Goma"/>
    <s v="Commercial 044"/>
    <n v="48"/>
    <x v="1"/>
    <n v="12"/>
    <n v="7.2"/>
    <n v="2"/>
    <s v="Téléphone"/>
    <n v="47.45"/>
    <n v="65"/>
    <n v="5.2"/>
    <n v="59.8"/>
    <n v="47.45"/>
    <n v="12.349999999999994"/>
    <n v="0.2065217391304347"/>
    <n v="2025"/>
    <n v="8"/>
    <s v="2025-08"/>
    <s v="T3"/>
    <s v="40-49"/>
    <s v="bon"/>
    <s v="Rapide"/>
    <s v="Faible"/>
  </r>
  <r>
    <s v="TX0000733"/>
    <d v="2025-06-13T00:00:00"/>
    <s v="CLI01481"/>
    <s v="PRD003"/>
    <s v="AG009"/>
    <s v="COM047"/>
    <n v="2"/>
    <n v="780"/>
    <n v="0.08"/>
    <s v="Mobile Money"/>
    <s v="Validée"/>
    <s v="Client 01481"/>
    <s v="Lubumbashi"/>
    <s v="PME"/>
    <s v="Laptop Business 14"/>
    <s v="Informatique"/>
    <s v="Premium"/>
    <s v="Agence Goma 2"/>
    <s v="Goma"/>
    <s v="Commercial 047"/>
    <n v="53"/>
    <x v="1"/>
    <n v="30"/>
    <n v="8.6999999999999993"/>
    <n v="2"/>
    <s v="WhatsApp"/>
    <n v="468"/>
    <n v="1560"/>
    <n v="124.8"/>
    <n v="1435.2"/>
    <n v="936"/>
    <n v="499.20000000000005"/>
    <n v="0.34782608695652178"/>
    <n v="2025"/>
    <n v="6"/>
    <s v="2025-06"/>
    <s v="T2"/>
    <s v="50+"/>
    <s v="bon"/>
    <s v="Rapide"/>
    <s v="Elevée"/>
  </r>
  <r>
    <s v="TX0000734"/>
    <d v="2025-04-08T00:00:00"/>
    <s v="CLI01230"/>
    <s v="PRD016"/>
    <s v="AG011"/>
    <s v="COM035"/>
    <n v="1"/>
    <n v="420"/>
    <n v="0"/>
    <s v="Cash"/>
    <s v="Validée"/>
    <s v="Client 01230"/>
    <s v="Lubumbashi"/>
    <s v="PME"/>
    <s v="Projecteur HD"/>
    <s v="Bureautique"/>
    <s v="Premium"/>
    <s v="Agence Matadi 2"/>
    <s v="Matadi"/>
    <s v="Commercial 035"/>
    <n v="26"/>
    <x v="0"/>
    <n v="50"/>
    <n v="4.5"/>
    <n v="7"/>
    <s v="Web"/>
    <n v="273"/>
    <n v="420"/>
    <n v="0"/>
    <n v="420"/>
    <n v="273"/>
    <n v="147"/>
    <n v="0.35"/>
    <n v="2025"/>
    <n v="4"/>
    <s v="2025-04"/>
    <s v="T2"/>
    <s v="22-29"/>
    <s v="faible"/>
    <s v="Long"/>
    <s v="Faible"/>
  </r>
  <r>
    <s v="TX0000735"/>
    <d v="2025-07-26T00:00:00"/>
    <s v="CLI01679"/>
    <s v="PRD015"/>
    <s v="AG015"/>
    <s v="COM021"/>
    <n v="2"/>
    <n v="48"/>
    <n v="0.02"/>
    <s v="Mobile Money"/>
    <s v="Validée"/>
    <s v="Client 01679"/>
    <s v="Lubumbashi"/>
    <s v="Indépendant"/>
    <s v="Webcam HD"/>
    <s v="Électronique"/>
    <s v="Entrée de gamme"/>
    <s v="Agence Goma 3"/>
    <s v="Goma"/>
    <s v="Commercial 021"/>
    <n v="51"/>
    <x v="1"/>
    <n v="16"/>
    <n v="6.2"/>
    <n v="4"/>
    <s v="Web"/>
    <n v="37.44"/>
    <n v="96"/>
    <n v="1.92"/>
    <n v="94.08"/>
    <n v="74.88"/>
    <n v="19.200000000000003"/>
    <n v="0.20408163265306126"/>
    <n v="2025"/>
    <n v="7"/>
    <s v="2025-07"/>
    <s v="T3"/>
    <s v="50+"/>
    <s v="moyen"/>
    <s v="Moyen"/>
    <s v="Faible"/>
  </r>
  <r>
    <s v="TX0000736"/>
    <d v="2025-03-13T00:00:00"/>
    <s v="CLI01580"/>
    <s v="PRD014"/>
    <s v="AG001"/>
    <s v="COM056"/>
    <n v="4"/>
    <n v="65"/>
    <n v="0.02"/>
    <s v="Carte"/>
    <s v="Validée"/>
    <s v="Client 01580"/>
    <s v="Lubumbashi"/>
    <s v="PME"/>
    <s v="Casque Pro"/>
    <s v="Électronique"/>
    <s v="Standard"/>
    <s v="Agence Kinshasa 1"/>
    <s v="Kinshasa"/>
    <s v="Commercial 056"/>
    <n v="46"/>
    <x v="0"/>
    <n v="22"/>
    <n v="7.9"/>
    <n v="3"/>
    <s v="Téléphone"/>
    <n v="47.45"/>
    <n v="260"/>
    <n v="5.2"/>
    <n v="254.8"/>
    <n v="189.8"/>
    <n v="65"/>
    <n v="0.25510204081632654"/>
    <n v="2025"/>
    <n v="3"/>
    <s v="2025-03"/>
    <s v="T1"/>
    <s v="40-49"/>
    <s v="bon"/>
    <s v="Rapide"/>
    <s v="Faible"/>
  </r>
  <r>
    <s v="TX0000737"/>
    <d v="2025-10-31T00:00:00"/>
    <s v="CLI00058"/>
    <s v="PRD014"/>
    <s v="AG006"/>
    <s v="COM010"/>
    <n v="10"/>
    <n v="65"/>
    <n v="0"/>
    <s v="Cash"/>
    <s v="Validée"/>
    <s v="Client 00058"/>
    <s v="Lubumbashi"/>
    <s v="Indépendant"/>
    <s v="Casque Pro"/>
    <s v="Électronique"/>
    <s v="Standard"/>
    <s v="Agence Kolwezi 1"/>
    <s v="Kolwezi"/>
    <s v="Commercial 010"/>
    <n v="32"/>
    <x v="1"/>
    <n v="16"/>
    <n v="5.4"/>
    <n v="5"/>
    <s v="Web"/>
    <n v="47.45"/>
    <n v="650"/>
    <n v="0"/>
    <n v="650"/>
    <n v="474.5"/>
    <n v="175.5"/>
    <n v="0.27"/>
    <n v="2025"/>
    <n v="10"/>
    <s v="2025-10"/>
    <s v="T4"/>
    <s v="30-39"/>
    <s v="moyen"/>
    <s v="Moyen"/>
    <s v="Moyenne"/>
  </r>
  <r>
    <s v="TX0000738"/>
    <d v="2025-04-12T00:00:00"/>
    <s v="CLI01935"/>
    <s v="PRD005"/>
    <s v="AG009"/>
    <s v="COM022"/>
    <n v="1"/>
    <n v="260"/>
    <n v="0.02"/>
    <s v="Carte"/>
    <s v="Validée"/>
    <s v="Client 01935"/>
    <s v="Goma"/>
    <s v="PME"/>
    <s v="Tablette T10"/>
    <s v="Électronique"/>
    <s v="Standard"/>
    <s v="Agence Goma 2"/>
    <s v="Goma"/>
    <s v="Commercial 022"/>
    <n v="49"/>
    <x v="0"/>
    <n v="66"/>
    <n v="4.3"/>
    <n v="9"/>
    <s v="WhatsApp"/>
    <n v="189.8"/>
    <n v="260"/>
    <n v="5.2"/>
    <n v="254.8"/>
    <n v="189.8"/>
    <n v="65"/>
    <n v="0.25510204081632654"/>
    <n v="2025"/>
    <n v="4"/>
    <s v="2025-04"/>
    <s v="T2"/>
    <s v="40-49"/>
    <s v="faible"/>
    <s v="Long"/>
    <s v="Faible"/>
  </r>
  <r>
    <s v="TX0000740"/>
    <d v="2025-02-24T00:00:00"/>
    <s v="CLI00655"/>
    <s v="PRD016"/>
    <s v="AG002"/>
    <s v="COM023"/>
    <n v="1"/>
    <n v="420"/>
    <n v="0"/>
    <s v="Mobile Money"/>
    <s v="Validée"/>
    <s v="Client 00655"/>
    <s v="Kisangani"/>
    <s v="Indépendant"/>
    <s v="Projecteur HD"/>
    <s v="Bureautique"/>
    <s v="Premium"/>
    <s v="Agence Lubumbashi 1"/>
    <s v="Lubumbashi"/>
    <s v="Commercial 023"/>
    <n v="47"/>
    <x v="1"/>
    <n v="60"/>
    <n v="7.9"/>
    <n v="1"/>
    <s v="Web"/>
    <n v="273"/>
    <n v="420"/>
    <n v="0"/>
    <n v="420"/>
    <n v="273"/>
    <n v="147"/>
    <n v="0.35"/>
    <n v="2025"/>
    <n v="2"/>
    <s v="2025-02"/>
    <s v="T1"/>
    <s v="40-49"/>
    <s v="bon"/>
    <s v="Rapide"/>
    <s v="Faible"/>
  </r>
  <r>
    <s v="TX0000741"/>
    <d v="2025-04-21T00:00:00"/>
    <s v="CLI00580"/>
    <s v="PRD008"/>
    <s v="AG017"/>
    <s v="COM032"/>
    <n v="2"/>
    <n v="35"/>
    <n v="0"/>
    <s v="Virement"/>
    <s v="Validée"/>
    <s v="Client 00580"/>
    <s v="Kinshasa"/>
    <s v="ONG"/>
    <s v="Clavier Pro"/>
    <s v="Informatique"/>
    <s v="Entrée de gamme"/>
    <s v="Agence Matadi 3"/>
    <s v="Matadi"/>
    <s v="Commercial 032"/>
    <n v="34"/>
    <x v="1"/>
    <n v="27"/>
    <n v="5.3"/>
    <n v="6"/>
    <s v="Web"/>
    <n v="24.15"/>
    <n v="70"/>
    <n v="0"/>
    <n v="70"/>
    <n v="48.3"/>
    <n v="21.700000000000003"/>
    <n v="0.31000000000000005"/>
    <n v="2025"/>
    <n v="4"/>
    <s v="2025-04"/>
    <s v="T2"/>
    <s v="30-39"/>
    <s v="moyen"/>
    <s v="Moyen"/>
    <s v="Faible"/>
  </r>
  <r>
    <s v="TX0000742"/>
    <d v="2025-03-04T00:00:00"/>
    <s v="CLI01387"/>
    <s v="PRD010"/>
    <s v="AG014"/>
    <s v="COM040"/>
    <n v="3"/>
    <n v="95"/>
    <n v="0.05"/>
    <s v="Virement"/>
    <s v="Validée"/>
    <s v="Client 01387"/>
    <s v="Lubumbashi"/>
    <s v="PME"/>
    <s v="Routeur Business"/>
    <s v="Réseau"/>
    <s v="Standard"/>
    <s v="Agence Lubumbashi 3"/>
    <s v="Lubumbashi"/>
    <s v="Commercial 040"/>
    <n v="41"/>
    <x v="0"/>
    <n v="70"/>
    <n v="5.2"/>
    <n v="7"/>
    <s v="Téléphone"/>
    <n v="70.3"/>
    <n v="285"/>
    <n v="14.25"/>
    <n v="270.75"/>
    <n v="210.89999999999998"/>
    <n v="59.850000000000023"/>
    <n v="0.22105263157894744"/>
    <n v="2025"/>
    <n v="3"/>
    <s v="2025-03"/>
    <s v="T1"/>
    <s v="40-49"/>
    <s v="moyen"/>
    <s v="Long"/>
    <s v="Faible"/>
  </r>
  <r>
    <s v="TX0000743"/>
    <d v="2025-08-31T00:00:00"/>
    <s v="CLI01530"/>
    <s v="PRD005"/>
    <s v="AG012"/>
    <s v="COM037"/>
    <n v="1"/>
    <n v="260"/>
    <n v="0.02"/>
    <s v="Virement"/>
    <s v="Validée"/>
    <s v="Client 01530"/>
    <s v="Goma"/>
    <s v="Institution"/>
    <s v="Tablette T10"/>
    <s v="Électronique"/>
    <s v="Standard"/>
    <s v="Agence Kolwezi 2"/>
    <s v="Kolwezi"/>
    <s v="Commercial 037"/>
    <n v="34"/>
    <x v="1"/>
    <n v="49"/>
    <n v="9.3000000000000007"/>
    <n v="1"/>
    <s v="Web"/>
    <n v="189.8"/>
    <n v="260"/>
    <n v="5.2"/>
    <n v="254.8"/>
    <n v="189.8"/>
    <n v="65"/>
    <n v="0.25510204081632654"/>
    <n v="2025"/>
    <n v="8"/>
    <s v="2025-08"/>
    <s v="T3"/>
    <s v="30-39"/>
    <s v="excellent"/>
    <s v="Rapide"/>
    <s v="Faible"/>
  </r>
  <r>
    <s v="TX0000744"/>
    <d v="2025-06-10T00:00:00"/>
    <s v="CLI00858"/>
    <s v="PRD011"/>
    <s v="AG008"/>
    <s v="COM059"/>
    <n v="3"/>
    <n v="240"/>
    <n v="0.02"/>
    <s v="Virement"/>
    <s v="Validée"/>
    <s v="Client 00858"/>
    <s v="Lubumbashi"/>
    <s v="ONG"/>
    <s v="Switch 24 Ports"/>
    <s v="Réseau"/>
    <s v="Premium"/>
    <s v="Agence Lubumbashi 2"/>
    <s v="Lubumbashi"/>
    <s v="Commercial 059"/>
    <n v="36"/>
    <x v="1"/>
    <n v="49"/>
    <n v="4.2"/>
    <n v="8"/>
    <s v="WhatsApp"/>
    <n v="177.6"/>
    <n v="720"/>
    <n v="14.4"/>
    <n v="705.6"/>
    <n v="532.79999999999995"/>
    <n v="172.80000000000007"/>
    <n v="0.24489795918367355"/>
    <n v="2025"/>
    <n v="6"/>
    <s v="2025-06"/>
    <s v="T2"/>
    <s v="30-39"/>
    <s v="faible"/>
    <s v="Long"/>
    <s v="Moyenne"/>
  </r>
  <r>
    <s v="TX0000745"/>
    <d v="2025-11-20T00:00:00"/>
    <s v="CLI01357"/>
    <s v="PRD007"/>
    <s v="AG005"/>
    <s v="COM021"/>
    <n v="3"/>
    <n v="145"/>
    <n v="0"/>
    <s v="Carte"/>
    <s v="Validée"/>
    <s v="Client 01357"/>
    <s v="Matadi"/>
    <s v="Grande entreprise"/>
    <s v="Écran 24 pouces"/>
    <s v="Informatique"/>
    <s v="Standard"/>
    <s v="Agence Matadi 1"/>
    <s v="Matadi"/>
    <s v="Commercial 021"/>
    <n v="44"/>
    <x v="0"/>
    <n v="32"/>
    <n v="3.3"/>
    <n v="9"/>
    <s v="Web"/>
    <n v="97.15"/>
    <n v="435"/>
    <n v="0"/>
    <n v="435"/>
    <n v="291.45000000000005"/>
    <n v="143.54999999999995"/>
    <n v="0.3299999999999999"/>
    <n v="2025"/>
    <n v="11"/>
    <s v="2025-11"/>
    <s v="T4"/>
    <s v="40-49"/>
    <s v="faible"/>
    <s v="Long"/>
    <s v="Faible"/>
  </r>
  <r>
    <s v="TX0000746"/>
    <d v="2025-01-10T00:00:00"/>
    <s v="CLI01021"/>
    <s v="PRD016"/>
    <s v="AG016"/>
    <s v="COM057"/>
    <n v="2"/>
    <n v="420"/>
    <n v="0"/>
    <s v="Mobile Money"/>
    <s v="Validée"/>
    <s v="Client 01021"/>
    <s v="Kolwezi"/>
    <s v="ONG"/>
    <s v="Projecteur HD"/>
    <s v="Bureautique"/>
    <s v="Premium"/>
    <s v="Agence Kisangani 3"/>
    <s v="Kisangani"/>
    <s v="Commercial 057"/>
    <n v="51"/>
    <x v="0"/>
    <n v="3"/>
    <n v="6.6"/>
    <n v="3"/>
    <s v="Téléphone"/>
    <n v="273"/>
    <n v="840"/>
    <n v="0"/>
    <n v="840"/>
    <n v="546"/>
    <n v="294"/>
    <n v="0.35"/>
    <n v="2025"/>
    <n v="1"/>
    <s v="2025-01"/>
    <s v="T1"/>
    <s v="50+"/>
    <s v="moyen"/>
    <s v="Rapide"/>
    <s v="Moyenne"/>
  </r>
  <r>
    <s v="TX0000747"/>
    <d v="2025-08-25T00:00:00"/>
    <s v="CLI01318"/>
    <s v="PRD003"/>
    <s v="AG017"/>
    <s v="COM032"/>
    <n v="3"/>
    <n v="780"/>
    <n v="0.08"/>
    <s v="Virement"/>
    <s v="Validée"/>
    <s v="Client 01318"/>
    <s v="Lubumbashi"/>
    <s v="Grande entreprise"/>
    <s v="Laptop Business 14"/>
    <s v="Informatique"/>
    <s v="Premium"/>
    <s v="Agence Matadi 3"/>
    <s v="Matadi"/>
    <s v="Commercial 032"/>
    <n v="40"/>
    <x v="1"/>
    <n v="72"/>
    <n v="5.7"/>
    <n v="6"/>
    <s v="WhatsApp"/>
    <n v="468"/>
    <n v="2340"/>
    <n v="187.20000000000002"/>
    <n v="2152.8000000000002"/>
    <n v="1404"/>
    <n v="748.80000000000018"/>
    <n v="0.34782608695652178"/>
    <n v="2025"/>
    <n v="8"/>
    <s v="2025-08"/>
    <s v="T3"/>
    <s v="40-49"/>
    <s v="moyen"/>
    <s v="Moyen"/>
    <s v="Elevée"/>
  </r>
  <r>
    <s v="TX0000748"/>
    <d v="2025-03-15T00:00:00"/>
    <s v="CLI01596"/>
    <s v="PRD007"/>
    <s v="AG009"/>
    <s v="COM046"/>
    <n v="2"/>
    <n v="145"/>
    <n v="0.1"/>
    <s v="Cash"/>
    <s v="Validée"/>
    <s v="Client 01596"/>
    <s v="Kisangani"/>
    <s v="Grande entreprise"/>
    <s v="Écran 24 pouces"/>
    <s v="Informatique"/>
    <s v="Standard"/>
    <s v="Agence Goma 2"/>
    <s v="Goma"/>
    <s v="Commercial 046"/>
    <n v="27"/>
    <x v="1"/>
    <n v="66"/>
    <n v="9.1"/>
    <n v="1"/>
    <s v="WhatsApp"/>
    <n v="97.15"/>
    <n v="290"/>
    <n v="29"/>
    <n v="261"/>
    <n v="194.3"/>
    <n v="66.699999999999989"/>
    <n v="0.25555555555555554"/>
    <n v="2025"/>
    <n v="3"/>
    <s v="2025-03"/>
    <s v="T1"/>
    <s v="22-29"/>
    <s v="excellent"/>
    <s v="Rapide"/>
    <s v="Faible"/>
  </r>
  <r>
    <s v="TX0000750"/>
    <d v="2025-11-27T00:00:00"/>
    <s v="CLI01986"/>
    <s v="PRD011"/>
    <s v="AG018"/>
    <s v="COM013"/>
    <n v="1"/>
    <n v="240"/>
    <n v="0.05"/>
    <s v="Cash"/>
    <s v="Validée"/>
    <s v="Client 01986"/>
    <s v="Matadi"/>
    <s v="Indépendant"/>
    <s v="Switch 24 Ports"/>
    <s v="Réseau"/>
    <s v="Premium"/>
    <s v="Agence Kolwezi 3"/>
    <s v="Kolwezi"/>
    <s v="Commercial 013"/>
    <n v="58"/>
    <x v="0"/>
    <n v="4"/>
    <n v="4.7"/>
    <n v="7"/>
    <s v="Téléphone"/>
    <n v="177.6"/>
    <n v="240"/>
    <n v="12"/>
    <n v="228"/>
    <n v="177.6"/>
    <n v="50.400000000000006"/>
    <n v="0.22105263157894739"/>
    <n v="2025"/>
    <n v="11"/>
    <s v="2025-11"/>
    <s v="T4"/>
    <s v="50+"/>
    <s v="faible"/>
    <s v="Long"/>
    <s v="Faible"/>
  </r>
  <r>
    <s v="TX0000751"/>
    <d v="2025-09-16T00:00:00"/>
    <s v="CLI00249"/>
    <s v="PRD007"/>
    <s v="AG017"/>
    <s v="COM052"/>
    <n v="2"/>
    <n v="145"/>
    <n v="0.1"/>
    <s v="Mobile Money"/>
    <s v="Validée"/>
    <s v="Client 00249"/>
    <s v="Matadi"/>
    <s v="Indépendant"/>
    <s v="Écran 24 pouces"/>
    <s v="Informatique"/>
    <s v="Standard"/>
    <s v="Agence Matadi 3"/>
    <s v="Matadi"/>
    <s v="Commercial 052"/>
    <n v="45"/>
    <x v="1"/>
    <n v="34"/>
    <n v="7.7"/>
    <n v="3"/>
    <s v="Téléphone"/>
    <n v="97.15"/>
    <n v="290"/>
    <n v="29"/>
    <n v="261"/>
    <n v="194.3"/>
    <n v="66.699999999999989"/>
    <n v="0.25555555555555554"/>
    <n v="2025"/>
    <n v="9"/>
    <s v="2025-09"/>
    <s v="T3"/>
    <s v="40-49"/>
    <s v="bon"/>
    <s v="Rapide"/>
    <s v="Faible"/>
  </r>
  <r>
    <s v="TX0000752"/>
    <d v="2025-03-15T00:00:00"/>
    <s v="CLI00045"/>
    <s v="PRD010"/>
    <s v="AG009"/>
    <s v="COM014"/>
    <n v="2"/>
    <n v="95"/>
    <n v="0"/>
    <s v="Mobile Money"/>
    <s v="Validée"/>
    <s v="Client 00045"/>
    <s v="Kolwezi"/>
    <s v="ONG"/>
    <s v="Routeur Business"/>
    <s v="Réseau"/>
    <s v="Standard"/>
    <s v="Agence Goma 2"/>
    <s v="Goma"/>
    <s v="Commercial 014"/>
    <n v="26"/>
    <x v="0"/>
    <n v="36"/>
    <n v="6.8"/>
    <n v="5"/>
    <s v="WhatsApp"/>
    <n v="70.3"/>
    <n v="190"/>
    <n v="0"/>
    <n v="190"/>
    <n v="140.6"/>
    <n v="49.400000000000006"/>
    <n v="0.26"/>
    <n v="2025"/>
    <n v="3"/>
    <s v="2025-03"/>
    <s v="T1"/>
    <s v="22-29"/>
    <s v="moyen"/>
    <s v="Moyen"/>
    <s v="Faible"/>
  </r>
  <r>
    <s v="TX0000753"/>
    <d v="2025-07-15T00:00:00"/>
    <s v="CLI01905"/>
    <s v="PRD005"/>
    <s v="AG015"/>
    <s v="COM041"/>
    <n v="3"/>
    <n v="260"/>
    <n v="0.05"/>
    <s v="Mobile Money"/>
    <s v="Validée"/>
    <s v="Client 01905"/>
    <s v="Kisangani"/>
    <s v="PME"/>
    <s v="Tablette T10"/>
    <s v="Électronique"/>
    <s v="Standard"/>
    <s v="Agence Goma 3"/>
    <s v="Goma"/>
    <s v="Commercial 041"/>
    <n v="43"/>
    <x v="1"/>
    <n v="15"/>
    <n v="5"/>
    <n v="7"/>
    <s v="WhatsApp"/>
    <n v="189.8"/>
    <n v="780"/>
    <n v="39"/>
    <n v="741"/>
    <n v="569.40000000000009"/>
    <n v="171.59999999999991"/>
    <n v="0.23157894736842094"/>
    <n v="2025"/>
    <n v="7"/>
    <s v="2025-07"/>
    <s v="T3"/>
    <s v="40-49"/>
    <s v="moyen"/>
    <s v="Long"/>
    <s v="Moyenne"/>
  </r>
  <r>
    <s v="TX0000754"/>
    <d v="2025-04-12T00:00:00"/>
    <s v="CLI00442"/>
    <s v="PRD009"/>
    <s v="AG015"/>
    <s v="COM018"/>
    <n v="4"/>
    <n v="22"/>
    <n v="0.02"/>
    <s v="Virement"/>
    <s v="Validée"/>
    <s v="Client 00442"/>
    <s v="Kinshasa"/>
    <s v="Institution"/>
    <s v="Souris Wireless"/>
    <s v="Informatique"/>
    <s v="Entrée de gamme"/>
    <s v="Agence Goma 3"/>
    <s v="Goma"/>
    <s v="Commercial 018"/>
    <n v="59"/>
    <x v="0"/>
    <n v="62"/>
    <n v="7.1"/>
    <n v="4"/>
    <s v="Magasin"/>
    <n v="14.96"/>
    <n v="88"/>
    <n v="1.76"/>
    <n v="86.24"/>
    <n v="59.84"/>
    <n v="26.399999999999991"/>
    <n v="0.30612244897959173"/>
    <n v="2025"/>
    <n v="4"/>
    <s v="2025-04"/>
    <s v="T2"/>
    <s v="50+"/>
    <s v="bon"/>
    <s v="Moyen"/>
    <s v="Faible"/>
  </r>
  <r>
    <s v="TX0000755"/>
    <d v="2025-01-27T00:00:00"/>
    <s v="CLI00527"/>
    <s v="PRD011"/>
    <s v="AG001"/>
    <s v="COM008"/>
    <n v="5"/>
    <n v="240"/>
    <n v="0.05"/>
    <s v="Mobile Money"/>
    <s v="Validée"/>
    <s v="Client 00527"/>
    <s v="Kisangani"/>
    <s v="Institution"/>
    <s v="Switch 24 Ports"/>
    <s v="Réseau"/>
    <s v="Premium"/>
    <s v="Agence Kinshasa 1"/>
    <s v="Kinshasa"/>
    <s v="Commercial 008"/>
    <n v="57"/>
    <x v="0"/>
    <n v="24"/>
    <n v="6.6"/>
    <n v="3"/>
    <s v="Téléphone"/>
    <n v="177.6"/>
    <n v="1200"/>
    <n v="60"/>
    <n v="1140"/>
    <n v="888"/>
    <n v="252"/>
    <n v="0.22105263157894736"/>
    <n v="2025"/>
    <n v="1"/>
    <s v="2025-01"/>
    <s v="T1"/>
    <s v="50+"/>
    <s v="moyen"/>
    <s v="Rapide"/>
    <s v="Elevée"/>
  </r>
  <r>
    <s v="TX0000756"/>
    <d v="2025-11-18T00:00:00"/>
    <s v="CLI01292"/>
    <s v="PRD013"/>
    <s v="AG018"/>
    <s v="COM002"/>
    <n v="2"/>
    <n v="110"/>
    <n v="0"/>
    <s v="Mobile Money"/>
    <s v="Validée"/>
    <s v="Client 01292"/>
    <s v="Kisangani"/>
    <s v="Indépendant"/>
    <s v="Disque SSD 1TB"/>
    <s v="Informatique"/>
    <s v="Premium"/>
    <s v="Agence Kolwezi 3"/>
    <s v="Kolwezi"/>
    <s v="Commercial 002"/>
    <n v="37"/>
    <x v="1"/>
    <n v="21"/>
    <n v="6.8"/>
    <n v="5"/>
    <s v="Web"/>
    <n v="72.599999999999994"/>
    <n v="220"/>
    <n v="0"/>
    <n v="220"/>
    <n v="145.19999999999999"/>
    <n v="74.800000000000011"/>
    <n v="0.34"/>
    <n v="2025"/>
    <n v="11"/>
    <s v="2025-11"/>
    <s v="T4"/>
    <s v="30-39"/>
    <s v="moyen"/>
    <s v="Moyen"/>
    <s v="Faible"/>
  </r>
  <r>
    <s v="TX0000757"/>
    <d v="2025-10-19T00:00:00"/>
    <s v="CLI00142"/>
    <s v="PRD010"/>
    <s v="AG011"/>
    <s v="COM037"/>
    <n v="1"/>
    <n v="95"/>
    <n v="0.05"/>
    <s v="Cash"/>
    <s v="Validée"/>
    <s v="Client 00142"/>
    <s v="Kisangani"/>
    <s v="Indépendant"/>
    <s v="Routeur Business"/>
    <s v="Réseau"/>
    <s v="Standard"/>
    <s v="Agence Matadi 2"/>
    <s v="Matadi"/>
    <s v="Commercial 037"/>
    <n v="55"/>
    <x v="0"/>
    <n v="23"/>
    <n v="8.8000000000000007"/>
    <n v="1"/>
    <s v="Magasin"/>
    <n v="70.3"/>
    <n v="95"/>
    <n v="4.75"/>
    <n v="90.25"/>
    <n v="70.3"/>
    <n v="19.950000000000003"/>
    <n v="0.22105263157894739"/>
    <n v="2025"/>
    <n v="10"/>
    <s v="2025-10"/>
    <s v="T4"/>
    <s v="50+"/>
    <s v="bon"/>
    <s v="Rapide"/>
    <s v="Faible"/>
  </r>
  <r>
    <s v="TX0000759"/>
    <d v="2025-06-23T00:00:00"/>
    <s v="CLI00963"/>
    <s v="PRD003"/>
    <s v="AG012"/>
    <s v="COM023"/>
    <n v="1"/>
    <n v="780"/>
    <n v="0"/>
    <s v="Cash"/>
    <s v="Validée"/>
    <s v="Client 00963"/>
    <s v="Kinshasa"/>
    <s v="Grande entreprise"/>
    <s v="Laptop Business 14"/>
    <s v="Informatique"/>
    <s v="Premium"/>
    <s v="Agence Kolwezi 2"/>
    <s v="Kolwezi"/>
    <s v="Commercial 023"/>
    <n v="40"/>
    <x v="0"/>
    <n v="13"/>
    <n v="7.1"/>
    <n v="4"/>
    <s v="Magasin"/>
    <n v="468"/>
    <n v="780"/>
    <n v="0"/>
    <n v="780"/>
    <n v="468"/>
    <n v="312"/>
    <n v="0.4"/>
    <n v="2025"/>
    <n v="6"/>
    <s v="2025-06"/>
    <s v="T2"/>
    <s v="40-49"/>
    <s v="bon"/>
    <s v="Moyen"/>
    <s v="Moyenne"/>
  </r>
  <r>
    <s v="TX0000760"/>
    <d v="2025-03-21T00:00:00"/>
    <s v="CLI00255"/>
    <s v="PRD014"/>
    <s v="AG013"/>
    <s v="COM045"/>
    <n v="3"/>
    <n v="65"/>
    <n v="0"/>
    <s v="Carte"/>
    <s v="Validée"/>
    <s v="Client 00255"/>
    <s v="Kinshasa"/>
    <s v="Institution"/>
    <s v="Casque Pro"/>
    <s v="Électronique"/>
    <s v="Standard"/>
    <s v="Agence Kinshasa 3"/>
    <s v="Kinshasa"/>
    <s v="Commercial 045"/>
    <n v="26"/>
    <x v="1"/>
    <n v="56"/>
    <n v="8.8000000000000007"/>
    <n v="1"/>
    <s v="WhatsApp"/>
    <n v="47.45"/>
    <n v="195"/>
    <n v="0"/>
    <n v="195"/>
    <n v="142.35000000000002"/>
    <n v="52.649999999999977"/>
    <n v="0.26999999999999991"/>
    <n v="2025"/>
    <n v="3"/>
    <s v="2025-03"/>
    <s v="T1"/>
    <s v="22-29"/>
    <s v="bon"/>
    <s v="Rapide"/>
    <s v="Faible"/>
  </r>
  <r>
    <s v="TX0000761"/>
    <d v="2025-01-29T00:00:00"/>
    <s v="CLI00473"/>
    <s v="PRD009"/>
    <s v="AG008"/>
    <s v="COM016"/>
    <n v="3"/>
    <n v="22"/>
    <n v="0.05"/>
    <s v="Cash"/>
    <s v="Validée"/>
    <s v="Client 00473"/>
    <s v="Goma"/>
    <s v="Indépendant"/>
    <s v="Souris Wireless"/>
    <s v="Informatique"/>
    <s v="Entrée de gamme"/>
    <s v="Agence Lubumbashi 2"/>
    <s v="Lubumbashi"/>
    <s v="Commercial 016"/>
    <n v="54"/>
    <x v="0"/>
    <n v="60"/>
    <n v="6.7"/>
    <n v="4"/>
    <s v="Web"/>
    <n v="14.96"/>
    <n v="66"/>
    <n v="3.3000000000000003"/>
    <n v="62.7"/>
    <n v="44.88"/>
    <n v="17.82"/>
    <n v="0.28421052631578947"/>
    <n v="2025"/>
    <n v="1"/>
    <s v="2025-01"/>
    <s v="T1"/>
    <s v="50+"/>
    <s v="moyen"/>
    <s v="Moyen"/>
    <s v="Faible"/>
  </r>
  <r>
    <s v="TX0000762"/>
    <d v="2025-04-23T00:00:00"/>
    <s v="CLI00924"/>
    <s v="PRD016"/>
    <s v="AG002"/>
    <s v="COM003"/>
    <n v="4"/>
    <n v="420"/>
    <n v="0"/>
    <s v="Carte"/>
    <s v="Validée"/>
    <s v="Client 00924"/>
    <s v="Matadi"/>
    <s v="Grande entreprise"/>
    <s v="Projecteur HD"/>
    <s v="Bureautique"/>
    <s v="Premium"/>
    <s v="Agence Lubumbashi 1"/>
    <s v="Lubumbashi"/>
    <s v="Commercial 003"/>
    <n v="37"/>
    <x v="0"/>
    <n v="36"/>
    <n v="4.0999999999999996"/>
    <n v="7"/>
    <s v="WhatsApp"/>
    <n v="273"/>
    <n v="1680"/>
    <n v="0"/>
    <n v="1680"/>
    <n v="1092"/>
    <n v="588"/>
    <n v="0.35"/>
    <n v="2025"/>
    <n v="4"/>
    <s v="2025-04"/>
    <s v="T2"/>
    <s v="30-39"/>
    <s v="faible"/>
    <s v="Long"/>
    <s v="Elevée"/>
  </r>
  <r>
    <s v="TX0000763"/>
    <d v="2025-09-19T00:00:00"/>
    <s v="CLI01323"/>
    <s v="PRD013"/>
    <s v="AG013"/>
    <s v="COM002"/>
    <n v="4"/>
    <n v="110"/>
    <n v="0.02"/>
    <s v="Cash"/>
    <s v="Validée"/>
    <s v="Client 01323"/>
    <s v="Kolwezi"/>
    <s v="ONG"/>
    <s v="Disque SSD 1TB"/>
    <s v="Informatique"/>
    <s v="Premium"/>
    <s v="Agence Kinshasa 3"/>
    <s v="Kinshasa"/>
    <s v="Commercial 002"/>
    <n v="60"/>
    <x v="0"/>
    <n v="14"/>
    <n v="8.9"/>
    <n v="1"/>
    <s v="Téléphone"/>
    <n v="72.599999999999994"/>
    <n v="440"/>
    <n v="8.8000000000000007"/>
    <n v="431.2"/>
    <n v="290.39999999999998"/>
    <n v="140.80000000000001"/>
    <n v="0.32653061224489799"/>
    <n v="2025"/>
    <n v="9"/>
    <s v="2025-09"/>
    <s v="T3"/>
    <s v="50+"/>
    <s v="bon"/>
    <s v="Rapide"/>
    <s v="Faible"/>
  </r>
  <r>
    <s v="TX0000764"/>
    <d v="2025-10-29T00:00:00"/>
    <s v="CLI01700"/>
    <s v="PRD003"/>
    <s v="AG002"/>
    <s v="COM013"/>
    <n v="1"/>
    <n v="780"/>
    <n v="0"/>
    <s v="Mobile Money"/>
    <s v="Validée"/>
    <s v="Client 01700"/>
    <s v="Matadi"/>
    <s v="Indépendant"/>
    <s v="Laptop Business 14"/>
    <s v="Informatique"/>
    <s v="Premium"/>
    <s v="Agence Lubumbashi 1"/>
    <s v="Lubumbashi"/>
    <s v="Commercial 013"/>
    <n v="57"/>
    <x v="1"/>
    <n v="65"/>
    <n v="7.4"/>
    <n v="2"/>
    <s v="Magasin"/>
    <n v="468"/>
    <n v="780"/>
    <n v="0"/>
    <n v="780"/>
    <n v="468"/>
    <n v="312"/>
    <n v="0.4"/>
    <n v="2025"/>
    <n v="10"/>
    <s v="2025-10"/>
    <s v="T4"/>
    <s v="50+"/>
    <s v="bon"/>
    <s v="Rapide"/>
    <s v="Moyenne"/>
  </r>
  <r>
    <s v="TX0000766"/>
    <d v="2025-09-19T00:00:00"/>
    <s v="CLI01153"/>
    <s v="PRD009"/>
    <s v="AG018"/>
    <s v="COM024"/>
    <n v="2"/>
    <n v="22"/>
    <n v="0.1"/>
    <s v="Carte"/>
    <s v="Validée"/>
    <s v="Client 01153"/>
    <s v="Goma"/>
    <s v="Institution"/>
    <s v="Souris Wireless"/>
    <s v="Informatique"/>
    <s v="Entrée de gamme"/>
    <s v="Agence Kolwezi 3"/>
    <s v="Kolwezi"/>
    <s v="Commercial 024"/>
    <n v="27"/>
    <x v="1"/>
    <n v="19"/>
    <n v="4.3"/>
    <n v="7"/>
    <s v="Magasin"/>
    <n v="14.96"/>
    <n v="44"/>
    <n v="4.4000000000000004"/>
    <n v="39.6"/>
    <n v="29.92"/>
    <n v="9.68"/>
    <n v="0.24444444444444444"/>
    <n v="2025"/>
    <n v="9"/>
    <s v="2025-09"/>
    <s v="T3"/>
    <s v="22-29"/>
    <s v="faible"/>
    <s v="Long"/>
    <s v="Faible"/>
  </r>
  <r>
    <s v="TX0000767"/>
    <d v="2025-05-14T00:00:00"/>
    <s v="CLI01050"/>
    <s v="PRD011"/>
    <s v="AG007"/>
    <s v="COM021"/>
    <n v="2"/>
    <n v="240"/>
    <n v="0.08"/>
    <s v="Virement"/>
    <s v="Validée"/>
    <s v="Client 01050"/>
    <s v="Kinshasa"/>
    <s v="ONG"/>
    <s v="Switch 24 Ports"/>
    <s v="Réseau"/>
    <s v="Premium"/>
    <s v="Agence Kinshasa 2"/>
    <s v="Kinshasa"/>
    <s v="Commercial 021"/>
    <n v="52"/>
    <x v="1"/>
    <n v="55"/>
    <n v="5.6"/>
    <n v="5"/>
    <s v="Web"/>
    <n v="177.6"/>
    <n v="480"/>
    <n v="38.4"/>
    <n v="441.6"/>
    <n v="355.2"/>
    <n v="86.400000000000034"/>
    <n v="0.19565217391304354"/>
    <n v="2025"/>
    <n v="5"/>
    <s v="2025-05"/>
    <s v="T2"/>
    <s v="50+"/>
    <s v="moyen"/>
    <s v="Moyen"/>
    <s v="Faible"/>
  </r>
  <r>
    <s v="TX0000768"/>
    <d v="2025-02-27T00:00:00"/>
    <s v="CLI01825"/>
    <s v="PRD013"/>
    <s v="AG007"/>
    <s v="COM012"/>
    <n v="1"/>
    <n v="110"/>
    <n v="0.1"/>
    <s v="Cash"/>
    <s v="Validée"/>
    <s v="Client 01825"/>
    <s v="Lubumbashi"/>
    <s v="Indépendant"/>
    <s v="Disque SSD 1TB"/>
    <s v="Informatique"/>
    <s v="Premium"/>
    <s v="Agence Kinshasa 2"/>
    <s v="Kinshasa"/>
    <s v="Commercial 012"/>
    <n v="38"/>
    <x v="1"/>
    <n v="51"/>
    <n v="4.8"/>
    <n v="6"/>
    <s v="Web"/>
    <n v="72.599999999999994"/>
    <n v="110"/>
    <n v="11"/>
    <n v="99"/>
    <n v="72.599999999999994"/>
    <n v="26.400000000000006"/>
    <n v="0.26666666666666672"/>
    <n v="2025"/>
    <n v="2"/>
    <s v="2025-02"/>
    <s v="T1"/>
    <s v="30-39"/>
    <s v="faible"/>
    <s v="Moyen"/>
    <s v="Faible"/>
  </r>
  <r>
    <s v="TX0000769"/>
    <d v="2025-12-20T00:00:00"/>
    <s v="CLI00843"/>
    <s v="PRD007"/>
    <s v="AG010"/>
    <s v="COM054"/>
    <n v="3"/>
    <n v="145"/>
    <n v="0.05"/>
    <s v="Virement"/>
    <s v="Validée"/>
    <s v="Client 00843"/>
    <s v="Goma"/>
    <s v="ONG"/>
    <s v="Écran 24 pouces"/>
    <s v="Informatique"/>
    <s v="Standard"/>
    <s v="Agence Kisangani 2"/>
    <s v="Kisangani"/>
    <s v="Commercial 054"/>
    <n v="33"/>
    <x v="0"/>
    <n v="60"/>
    <n v="8.8000000000000007"/>
    <n v="1"/>
    <s v="Magasin"/>
    <n v="97.15"/>
    <n v="435"/>
    <n v="21.75"/>
    <n v="413.25"/>
    <n v="291.45000000000005"/>
    <n v="121.79999999999995"/>
    <n v="0.29473684210526307"/>
    <n v="2025"/>
    <n v="12"/>
    <s v="2025-12"/>
    <s v="T4"/>
    <s v="30-39"/>
    <s v="bon"/>
    <s v="Rapide"/>
    <s v="Faible"/>
  </r>
  <r>
    <s v="TX0000770"/>
    <d v="2025-09-19T00:00:00"/>
    <s v="CLI00223"/>
    <s v="PRD008"/>
    <s v="AG009"/>
    <s v="COM014"/>
    <n v="1"/>
    <n v="35"/>
    <n v="0"/>
    <s v="Carte"/>
    <s v="Validée"/>
    <s v="Client 00223"/>
    <s v="Matadi"/>
    <s v="PME"/>
    <s v="Clavier Pro"/>
    <s v="Informatique"/>
    <s v="Entrée de gamme"/>
    <s v="Agence Goma 2"/>
    <s v="Goma"/>
    <s v="Commercial 014"/>
    <n v="37"/>
    <x v="1"/>
    <n v="21"/>
    <n v="5.6"/>
    <n v="7"/>
    <s v="Web"/>
    <n v="24.15"/>
    <n v="35"/>
    <n v="0"/>
    <n v="35"/>
    <n v="24.15"/>
    <n v="10.850000000000001"/>
    <n v="0.31000000000000005"/>
    <n v="2025"/>
    <n v="9"/>
    <s v="2025-09"/>
    <s v="T3"/>
    <s v="30-39"/>
    <s v="moyen"/>
    <s v="Long"/>
    <s v="Faible"/>
  </r>
  <r>
    <s v="TX0000771"/>
    <d v="2025-07-18T00:00:00"/>
    <s v="CLI01368"/>
    <s v="PRD007"/>
    <s v="AG016"/>
    <s v="COM047"/>
    <n v="4"/>
    <n v="145"/>
    <n v="0.02"/>
    <s v="Mobile Money"/>
    <s v="Validée"/>
    <s v="Client 01368"/>
    <s v="Kolwezi"/>
    <s v="Institution"/>
    <s v="Écran 24 pouces"/>
    <s v="Informatique"/>
    <s v="Standard"/>
    <s v="Agence Kisangani 3"/>
    <s v="Kisangani"/>
    <s v="Commercial 047"/>
    <n v="58"/>
    <x v="0"/>
    <n v="20"/>
    <n v="4.5"/>
    <n v="7"/>
    <s v="Téléphone"/>
    <n v="97.15"/>
    <n v="580"/>
    <n v="11.6"/>
    <n v="568.4"/>
    <n v="388.6"/>
    <n v="179.79999999999995"/>
    <n v="0.31632653061224481"/>
    <n v="2025"/>
    <n v="7"/>
    <s v="2025-07"/>
    <s v="T3"/>
    <s v="50+"/>
    <s v="faible"/>
    <s v="Long"/>
    <s v="Moyenne"/>
  </r>
  <r>
    <s v="TX0000772"/>
    <d v="2025-11-02T00:00:00"/>
    <s v="CLI00677"/>
    <s v="PRD016"/>
    <s v="AG016"/>
    <s v="COM036"/>
    <n v="2"/>
    <n v="420"/>
    <n v="0.08"/>
    <s v="Carte"/>
    <s v="Validée"/>
    <s v="Client 00677"/>
    <s v="Kolwezi"/>
    <s v="PME"/>
    <s v="Projecteur HD"/>
    <s v="Bureautique"/>
    <s v="Premium"/>
    <s v="Agence Kisangani 3"/>
    <s v="Kisangani"/>
    <s v="Commercial 036"/>
    <n v="27"/>
    <x v="0"/>
    <n v="26"/>
    <n v="6"/>
    <n v="4"/>
    <s v="WhatsApp"/>
    <n v="273"/>
    <n v="840"/>
    <n v="67.2"/>
    <n v="772.8"/>
    <n v="546"/>
    <n v="226.79999999999995"/>
    <n v="0.29347826086956519"/>
    <n v="2025"/>
    <n v="11"/>
    <s v="2025-11"/>
    <s v="T4"/>
    <s v="22-29"/>
    <s v="moyen"/>
    <s v="Moyen"/>
    <s v="Moyenne"/>
  </r>
  <r>
    <s v="TX0000773"/>
    <d v="2025-01-26T00:00:00"/>
    <s v="CLI00440"/>
    <s v="PRD001"/>
    <s v="AG001"/>
    <s v="COM040"/>
    <n v="5"/>
    <n v="120"/>
    <n v="0"/>
    <s v="Cash"/>
    <s v="Validée"/>
    <s v="Client 00440"/>
    <s v="Kolwezi"/>
    <s v="PME"/>
    <s v="Smartphone A1"/>
    <s v="Électronique"/>
    <s v="Entrée de gamme"/>
    <s v="Agence Kinshasa 1"/>
    <s v="Kinshasa"/>
    <s v="Commercial 040"/>
    <n v="39"/>
    <x v="1"/>
    <n v="49"/>
    <n v="4.8"/>
    <n v="6"/>
    <s v="Téléphone"/>
    <n v="73.2"/>
    <n v="600"/>
    <n v="0"/>
    <n v="600"/>
    <n v="366"/>
    <n v="234"/>
    <n v="0.39"/>
    <n v="2025"/>
    <n v="1"/>
    <s v="2025-01"/>
    <s v="T1"/>
    <s v="30-39"/>
    <s v="faible"/>
    <s v="Moyen"/>
    <s v="Moyenne"/>
  </r>
  <r>
    <s v="TX0000774"/>
    <d v="2025-07-08T00:00:00"/>
    <s v="CLI01563"/>
    <s v="PRD006"/>
    <s v="AG004"/>
    <s v="COM004"/>
    <n v="1"/>
    <n v="190"/>
    <n v="0"/>
    <s v="Mobile Money"/>
    <s v="Validée"/>
    <s v="Client 01563"/>
    <s v="Matadi"/>
    <s v="Grande entreprise"/>
    <s v="Imprimante Office"/>
    <s v="Bureautique"/>
    <s v="Standard"/>
    <s v="Agence Kisangani 1"/>
    <s v="Kisangani"/>
    <s v="Commercial 004"/>
    <n v="25"/>
    <x v="0"/>
    <n v="48"/>
    <n v="3.7"/>
    <n v="8"/>
    <s v="WhatsApp"/>
    <n v="148.19999999999999"/>
    <n v="190"/>
    <n v="0"/>
    <n v="190"/>
    <n v="148.19999999999999"/>
    <n v="41.800000000000011"/>
    <n v="0.22000000000000006"/>
    <n v="2025"/>
    <n v="7"/>
    <s v="2025-07"/>
    <s v="T3"/>
    <s v="22-29"/>
    <s v="faible"/>
    <s v="Long"/>
    <s v="Faible"/>
  </r>
  <r>
    <s v="TX0000775"/>
    <d v="2025-12-01T00:00:00"/>
    <s v="CLI01528"/>
    <s v="PRD003"/>
    <s v="AG009"/>
    <s v="COM027"/>
    <n v="1"/>
    <n v="780"/>
    <n v="0.1"/>
    <s v="Cash"/>
    <s v="Validée"/>
    <s v="Client 01528"/>
    <s v="Kinshasa"/>
    <s v="Indépendant"/>
    <s v="Laptop Business 14"/>
    <s v="Informatique"/>
    <s v="Premium"/>
    <s v="Agence Goma 2"/>
    <s v="Goma"/>
    <s v="Commercial 027"/>
    <n v="43"/>
    <x v="1"/>
    <n v="58"/>
    <n v="3.5"/>
    <n v="8"/>
    <s v="Web"/>
    <n v="468"/>
    <n v="780"/>
    <n v="78"/>
    <n v="702"/>
    <n v="468"/>
    <n v="234"/>
    <n v="0.33333333333333331"/>
    <n v="2025"/>
    <n v="12"/>
    <s v="2025-12"/>
    <s v="T4"/>
    <s v="40-49"/>
    <s v="faible"/>
    <s v="Long"/>
    <s v="Moyenne"/>
  </r>
  <r>
    <s v="TX0000776"/>
    <d v="2025-04-15T00:00:00"/>
    <s v="CLI01238"/>
    <s v="PRD005"/>
    <s v="AG009"/>
    <s v="COM030"/>
    <n v="1"/>
    <n v="260"/>
    <n v="0.08"/>
    <s v="Cash"/>
    <s v="Validée"/>
    <s v="Client 01238"/>
    <s v="Matadi"/>
    <s v="Institution"/>
    <s v="Tablette T10"/>
    <s v="Électronique"/>
    <s v="Standard"/>
    <s v="Agence Goma 2"/>
    <s v="Goma"/>
    <s v="Commercial 030"/>
    <n v="26"/>
    <x v="0"/>
    <n v="15"/>
    <n v="7.6"/>
    <n v="2"/>
    <s v="Magasin"/>
    <n v="189.8"/>
    <n v="260"/>
    <n v="20.8"/>
    <n v="239.2"/>
    <n v="189.8"/>
    <n v="49.399999999999977"/>
    <n v="0.2065217391304347"/>
    <n v="2025"/>
    <n v="4"/>
    <s v="2025-04"/>
    <s v="T2"/>
    <s v="22-29"/>
    <s v="bon"/>
    <s v="Rapide"/>
    <s v="Faible"/>
  </r>
  <r>
    <s v="TX0000777"/>
    <d v="2025-02-14T00:00:00"/>
    <s v="CLI01952"/>
    <s v="PRD006"/>
    <s v="AG001"/>
    <s v="COM008"/>
    <n v="4"/>
    <n v="190"/>
    <n v="0.02"/>
    <s v="Virement"/>
    <s v="Validée"/>
    <s v="Client 01952"/>
    <s v="Kolwezi"/>
    <s v="Institution"/>
    <s v="Imprimante Office"/>
    <s v="Bureautique"/>
    <s v="Standard"/>
    <s v="Agence Kinshasa 1"/>
    <s v="Kinshasa"/>
    <s v="Commercial 008"/>
    <n v="58"/>
    <x v="0"/>
    <n v="49"/>
    <n v="4.5999999999999996"/>
    <n v="8"/>
    <s v="Web"/>
    <n v="148.19999999999999"/>
    <n v="760"/>
    <n v="15.200000000000001"/>
    <n v="744.8"/>
    <n v="592.79999999999995"/>
    <n v="152"/>
    <n v="0.20408163265306123"/>
    <n v="2025"/>
    <n v="2"/>
    <s v="2025-02"/>
    <s v="T1"/>
    <s v="50+"/>
    <s v="faible"/>
    <s v="Long"/>
    <s v="Moyenne"/>
  </r>
  <r>
    <s v="TX0000778"/>
    <d v="2025-02-03T00:00:00"/>
    <s v="CLI01965"/>
    <s v="PRD003"/>
    <s v="AG005"/>
    <s v="COM014"/>
    <n v="2"/>
    <n v="780"/>
    <n v="0.02"/>
    <s v="Cash"/>
    <s v="Validée"/>
    <s v="Client 01965"/>
    <s v="Kolwezi"/>
    <s v="PME"/>
    <s v="Laptop Business 14"/>
    <s v="Informatique"/>
    <s v="Premium"/>
    <s v="Agence Matadi 1"/>
    <s v="Matadi"/>
    <s v="Commercial 014"/>
    <n v="22"/>
    <x v="1"/>
    <n v="20"/>
    <n v="7.8"/>
    <n v="2"/>
    <s v="Web"/>
    <n v="468"/>
    <n v="1560"/>
    <n v="31.2"/>
    <n v="1528.8"/>
    <n v="936"/>
    <n v="592.79999999999995"/>
    <n v="0.38775510204081631"/>
    <n v="2025"/>
    <n v="2"/>
    <s v="2025-02"/>
    <s v="T1"/>
    <s v="22-29"/>
    <s v="bon"/>
    <s v="Rapide"/>
    <s v="Elevée"/>
  </r>
  <r>
    <s v="TX0000780"/>
    <d v="2025-05-17T00:00:00"/>
    <s v="CLI01151"/>
    <s v="PRD010"/>
    <s v="AG016"/>
    <s v="COM013"/>
    <n v="1"/>
    <n v="95"/>
    <n v="0"/>
    <s v="Carte"/>
    <s v="Validée"/>
    <s v="Client 01151"/>
    <s v="Kolwezi"/>
    <s v="PME"/>
    <s v="Routeur Business"/>
    <s v="Réseau"/>
    <s v="Standard"/>
    <s v="Agence Kisangani 3"/>
    <s v="Kisangani"/>
    <s v="Commercial 013"/>
    <n v="54"/>
    <x v="1"/>
    <n v="56"/>
    <n v="6.5"/>
    <n v="5"/>
    <s v="Magasin"/>
    <n v="70.3"/>
    <n v="95"/>
    <n v="0"/>
    <n v="95"/>
    <n v="70.3"/>
    <n v="24.700000000000003"/>
    <n v="0.26"/>
    <n v="2025"/>
    <n v="5"/>
    <s v="2025-05"/>
    <s v="T2"/>
    <s v="50+"/>
    <s v="moyen"/>
    <s v="Moyen"/>
    <s v="Faible"/>
  </r>
  <r>
    <s v="TX0000781"/>
    <d v="2025-10-16T00:00:00"/>
    <s v="CLI01835"/>
    <s v="PRD001"/>
    <s v="AG002"/>
    <s v="COM056"/>
    <n v="5"/>
    <n v="120"/>
    <n v="0.02"/>
    <s v="Mobile Money"/>
    <s v="Validée"/>
    <s v="Client 01835"/>
    <s v="Goma"/>
    <s v="ONG"/>
    <s v="Smartphone A1"/>
    <s v="Électronique"/>
    <s v="Entrée de gamme"/>
    <s v="Agence Lubumbashi 1"/>
    <s v="Lubumbashi"/>
    <s v="Commercial 056"/>
    <n v="42"/>
    <x v="0"/>
    <n v="39"/>
    <n v="5.5"/>
    <n v="6"/>
    <s v="Magasin"/>
    <n v="73.2"/>
    <n v="600"/>
    <n v="12"/>
    <n v="588"/>
    <n v="366"/>
    <n v="222"/>
    <n v="0.37755102040816324"/>
    <n v="2025"/>
    <n v="10"/>
    <s v="2025-10"/>
    <s v="T4"/>
    <s v="40-49"/>
    <s v="moyen"/>
    <s v="Moyen"/>
    <s v="Moyenne"/>
  </r>
  <r>
    <s v="TX0000782"/>
    <d v="2025-11-03T00:00:00"/>
    <s v="CLI00194"/>
    <s v="PRD010"/>
    <s v="AG012"/>
    <s v="COM006"/>
    <n v="2"/>
    <n v="95"/>
    <n v="0.1"/>
    <s v="Mobile Money"/>
    <s v="Validée"/>
    <s v="Client 00194"/>
    <s v="Kinshasa"/>
    <s v="Institution"/>
    <s v="Routeur Business"/>
    <s v="Réseau"/>
    <s v="Standard"/>
    <s v="Agence Kolwezi 2"/>
    <s v="Kolwezi"/>
    <s v="Commercial 006"/>
    <n v="42"/>
    <x v="1"/>
    <n v="54"/>
    <n v="7.3"/>
    <n v="3"/>
    <s v="WhatsApp"/>
    <n v="70.3"/>
    <n v="190"/>
    <n v="19"/>
    <n v="171"/>
    <n v="140.6"/>
    <n v="30.400000000000006"/>
    <n v="0.17777777777777781"/>
    <n v="2025"/>
    <n v="11"/>
    <s v="2025-11"/>
    <s v="T4"/>
    <s v="40-49"/>
    <s v="bon"/>
    <s v="Rapide"/>
    <s v="Faible"/>
  </r>
  <r>
    <s v="TX0000783"/>
    <d v="2025-03-16T00:00:00"/>
    <s v="CLI01529"/>
    <s v="PRD012"/>
    <s v="AG018"/>
    <s v="COM035"/>
    <n v="2"/>
    <n v="180"/>
    <n v="0.08"/>
    <s v="Virement"/>
    <s v="Validée"/>
    <s v="Client 01529"/>
    <s v="Goma"/>
    <s v="Indépendant"/>
    <s v="Onduleur 1200VA"/>
    <s v="Énergie"/>
    <s v="Standard"/>
    <s v="Agence Kolwezi 3"/>
    <s v="Kolwezi"/>
    <s v="Commercial 035"/>
    <n v="40"/>
    <x v="0"/>
    <n v="67"/>
    <n v="5.5"/>
    <n v="6"/>
    <s v="Téléphone"/>
    <n v="129.6"/>
    <n v="360"/>
    <n v="28.8"/>
    <n v="331.2"/>
    <n v="259.2"/>
    <n v="72"/>
    <n v="0.21739130434782608"/>
    <n v="2025"/>
    <n v="3"/>
    <s v="2025-03"/>
    <s v="T1"/>
    <s v="40-49"/>
    <s v="moyen"/>
    <s v="Moyen"/>
    <s v="Faible"/>
  </r>
  <r>
    <s v="TX0000784"/>
    <d v="2025-05-30T00:00:00"/>
    <s v="CLI01646"/>
    <s v="PRD012"/>
    <s v="AG015"/>
    <s v="COM023"/>
    <n v="1"/>
    <n v="180"/>
    <n v="0.08"/>
    <s v="Mobile Money"/>
    <s v="Validée"/>
    <s v="Client 01646"/>
    <s v="Goma"/>
    <s v="PME"/>
    <s v="Onduleur 1200VA"/>
    <s v="Énergie"/>
    <s v="Standard"/>
    <s v="Agence Goma 3"/>
    <s v="Goma"/>
    <s v="Commercial 023"/>
    <n v="47"/>
    <x v="1"/>
    <n v="60"/>
    <n v="4.0999999999999996"/>
    <n v="7"/>
    <s v="Magasin"/>
    <n v="129.6"/>
    <n v="180"/>
    <n v="14.4"/>
    <n v="165.6"/>
    <n v="129.6"/>
    <n v="36"/>
    <n v="0.21739130434782608"/>
    <n v="2025"/>
    <n v="5"/>
    <s v="2025-05"/>
    <s v="T2"/>
    <s v="40-49"/>
    <s v="faible"/>
    <s v="Long"/>
    <s v="Faible"/>
  </r>
  <r>
    <s v="TX0000786"/>
    <d v="2025-12-15T00:00:00"/>
    <s v="CLI01912"/>
    <s v="PRD015"/>
    <s v="AG018"/>
    <s v="COM056"/>
    <n v="1"/>
    <n v="48"/>
    <n v="0"/>
    <s v="Virement"/>
    <s v="Validée"/>
    <s v="Client 01912"/>
    <s v="Matadi"/>
    <s v="PME"/>
    <s v="Webcam HD"/>
    <s v="Électronique"/>
    <s v="Entrée de gamme"/>
    <s v="Agence Kolwezi 3"/>
    <s v="Kolwezi"/>
    <s v="Commercial 056"/>
    <n v="32"/>
    <x v="1"/>
    <n v="10"/>
    <n v="4.2"/>
    <n v="9"/>
    <s v="WhatsApp"/>
    <n v="37.44"/>
    <n v="48"/>
    <n v="0"/>
    <n v="48"/>
    <n v="37.44"/>
    <n v="10.560000000000002"/>
    <n v="0.22000000000000006"/>
    <n v="2025"/>
    <n v="12"/>
    <s v="2025-12"/>
    <s v="T4"/>
    <s v="30-39"/>
    <s v="faible"/>
    <s v="Long"/>
    <s v="Faible"/>
  </r>
  <r>
    <s v="TX0000788"/>
    <d v="2025-08-03T00:00:00"/>
    <s v="CLI00844"/>
    <s v="PRD013"/>
    <s v="AG003"/>
    <s v="COM053"/>
    <n v="5"/>
    <n v="110"/>
    <n v="0.05"/>
    <s v="Cash"/>
    <s v="Validée"/>
    <s v="Client 00844"/>
    <s v="Kinshasa"/>
    <s v="ONG"/>
    <s v="Disque SSD 1TB"/>
    <s v="Informatique"/>
    <s v="Premium"/>
    <s v="Agence Goma 1"/>
    <s v="Goma"/>
    <s v="Commercial 053"/>
    <n v="54"/>
    <x v="0"/>
    <n v="44"/>
    <n v="7.5"/>
    <n v="3"/>
    <s v="WhatsApp"/>
    <n v="72.599999999999994"/>
    <n v="550"/>
    <n v="27.5"/>
    <n v="522.5"/>
    <n v="363"/>
    <n v="159.5"/>
    <n v="0.30526315789473685"/>
    <n v="2025"/>
    <n v="8"/>
    <s v="2025-08"/>
    <s v="T3"/>
    <s v="50+"/>
    <s v="bon"/>
    <s v="Rapide"/>
    <s v="Moyenne"/>
  </r>
  <r>
    <s v="TX0000789"/>
    <d v="2025-03-26T00:00:00"/>
    <s v="CLI00017"/>
    <s v="PRD009"/>
    <s v="AG018"/>
    <s v="COM043"/>
    <n v="4"/>
    <n v="22"/>
    <n v="0.08"/>
    <s v="Virement"/>
    <s v="Validée"/>
    <s v="Client 00017"/>
    <s v="Kolwezi"/>
    <s v="ONG"/>
    <s v="Souris Wireless"/>
    <s v="Informatique"/>
    <s v="Entrée de gamme"/>
    <s v="Agence Kolwezi 3"/>
    <s v="Kolwezi"/>
    <s v="Commercial 043"/>
    <n v="25"/>
    <x v="0"/>
    <n v="71"/>
    <n v="3.4"/>
    <n v="9"/>
    <s v="Téléphone"/>
    <n v="14.96"/>
    <n v="88"/>
    <n v="7.04"/>
    <n v="80.959999999999994"/>
    <n v="59.84"/>
    <n v="21.11999999999999"/>
    <n v="0.26086956521739119"/>
    <n v="2025"/>
    <n v="3"/>
    <s v="2025-03"/>
    <s v="T1"/>
    <s v="22-29"/>
    <s v="faible"/>
    <s v="Long"/>
    <s v="Faible"/>
  </r>
  <r>
    <s v="TX0000790"/>
    <d v="2025-07-22T00:00:00"/>
    <s v="CLI01334"/>
    <s v="PRD012"/>
    <s v="AG018"/>
    <s v="COM060"/>
    <n v="3"/>
    <n v="180"/>
    <n v="0.1"/>
    <s v="Mobile Money"/>
    <s v="Validée"/>
    <s v="Client 01334"/>
    <s v="Matadi"/>
    <s v="PME"/>
    <s v="Onduleur 1200VA"/>
    <s v="Énergie"/>
    <s v="Standard"/>
    <s v="Agence Kolwezi 3"/>
    <s v="Kolwezi"/>
    <s v="Commercial 060"/>
    <n v="27"/>
    <x v="1"/>
    <n v="32"/>
    <n v="5.5"/>
    <n v="6"/>
    <s v="Téléphone"/>
    <n v="129.6"/>
    <n v="540"/>
    <n v="54"/>
    <n v="486"/>
    <n v="388.79999999999995"/>
    <n v="97.200000000000045"/>
    <n v="0.20000000000000009"/>
    <n v="2025"/>
    <n v="7"/>
    <s v="2025-07"/>
    <s v="T3"/>
    <s v="22-29"/>
    <s v="moyen"/>
    <s v="Moyen"/>
    <s v="Faible"/>
  </r>
  <r>
    <s v="TX0000791"/>
    <d v="2025-11-24T00:00:00"/>
    <s v="CLI01439"/>
    <s v="PRD014"/>
    <s v="AG004"/>
    <s v="COM015"/>
    <n v="3"/>
    <n v="65"/>
    <n v="0"/>
    <s v="Carte"/>
    <s v="Validée"/>
    <s v="Client 01439"/>
    <s v="Goma"/>
    <s v="ONG"/>
    <s v="Casque Pro"/>
    <s v="Électronique"/>
    <s v="Standard"/>
    <s v="Agence Kisangani 1"/>
    <s v="Kisangani"/>
    <s v="Commercial 015"/>
    <n v="25"/>
    <x v="0"/>
    <n v="55"/>
    <n v="6.5"/>
    <n v="4"/>
    <s v="Web"/>
    <n v="47.45"/>
    <n v="195"/>
    <n v="0"/>
    <n v="195"/>
    <n v="142.35000000000002"/>
    <n v="52.649999999999977"/>
    <n v="0.26999999999999991"/>
    <n v="2025"/>
    <n v="11"/>
    <s v="2025-11"/>
    <s v="T4"/>
    <s v="22-29"/>
    <s v="moyen"/>
    <s v="Moyen"/>
    <s v="Faible"/>
  </r>
  <r>
    <s v="TX0000792"/>
    <d v="2025-02-06T00:00:00"/>
    <s v="CLI02067"/>
    <s v="PRD004"/>
    <s v="AG016"/>
    <s v="COM010"/>
    <n v="3"/>
    <n v="520"/>
    <n v="0"/>
    <s v="Carte"/>
    <s v="Validée"/>
    <s v="Client 02067"/>
    <s v="Matadi"/>
    <s v="ONG"/>
    <s v="Laptop Essential 15"/>
    <s v="Informatique"/>
    <s v="Standard"/>
    <s v="Agence Kisangani 3"/>
    <s v="Kisangani"/>
    <s v="Commercial 010"/>
    <n v="25"/>
    <x v="0"/>
    <n v="20"/>
    <n v="6.7"/>
    <n v="4"/>
    <s v="WhatsApp"/>
    <n v="348.4"/>
    <n v="1560"/>
    <n v="0"/>
    <n v="1560"/>
    <n v="1045.1999999999998"/>
    <n v="514.80000000000018"/>
    <n v="0.33000000000000013"/>
    <n v="2025"/>
    <n v="2"/>
    <s v="2025-02"/>
    <s v="T1"/>
    <s v="22-29"/>
    <s v="moyen"/>
    <s v="Moyen"/>
    <s v="Elevée"/>
  </r>
  <r>
    <s v="TX0000793"/>
    <d v="2025-02-19T00:00:00"/>
    <s v="CLI01241"/>
    <s v="PRD007"/>
    <s v="AG018"/>
    <s v="COM041"/>
    <n v="10"/>
    <n v="145"/>
    <n v="0"/>
    <s v="Cash"/>
    <s v="Validée"/>
    <s v="Client 01241"/>
    <s v="Kolwezi"/>
    <s v="Grande entreprise"/>
    <s v="Écran 24 pouces"/>
    <s v="Informatique"/>
    <s v="Standard"/>
    <s v="Agence Kolwezi 3"/>
    <s v="Kolwezi"/>
    <s v="Commercial 041"/>
    <n v="39"/>
    <x v="0"/>
    <n v="49"/>
    <n v="8.1999999999999993"/>
    <n v="1"/>
    <s v="Magasin"/>
    <n v="97.15"/>
    <n v="1450"/>
    <n v="0"/>
    <n v="1450"/>
    <n v="971.5"/>
    <n v="478.5"/>
    <n v="0.33"/>
    <n v="2025"/>
    <n v="2"/>
    <s v="2025-02"/>
    <s v="T1"/>
    <s v="30-39"/>
    <s v="bon"/>
    <s v="Rapide"/>
    <s v="Elevée"/>
  </r>
  <r>
    <s v="TX0000795"/>
    <d v="2025-12-24T00:00:00"/>
    <s v="CLI01729"/>
    <s v="PRD012"/>
    <s v="AG013"/>
    <s v="COM001"/>
    <n v="3"/>
    <n v="180"/>
    <n v="0"/>
    <s v="Mobile Money"/>
    <s v="Validée"/>
    <s v="Client 01729"/>
    <s v="Matadi"/>
    <s v="Grande entreprise"/>
    <s v="Onduleur 1200VA"/>
    <s v="Énergie"/>
    <s v="Standard"/>
    <s v="Agence Kinshasa 3"/>
    <s v="Kinshasa"/>
    <s v="Commercial 001"/>
    <n v="40"/>
    <x v="0"/>
    <n v="39"/>
    <n v="3.9"/>
    <n v="8"/>
    <s v="Téléphone"/>
    <n v="129.6"/>
    <n v="540"/>
    <n v="0"/>
    <n v="540"/>
    <n v="388.79999999999995"/>
    <n v="151.20000000000005"/>
    <n v="0.28000000000000008"/>
    <n v="2025"/>
    <n v="12"/>
    <s v="2025-12"/>
    <s v="T4"/>
    <s v="40-49"/>
    <s v="faible"/>
    <s v="Long"/>
    <s v="Moyenne"/>
  </r>
  <r>
    <s v="TX0000797"/>
    <d v="2025-05-11T00:00:00"/>
    <s v="CLI02048"/>
    <s v="PRD011"/>
    <s v="AG012"/>
    <s v="COM002"/>
    <n v="4"/>
    <n v="240"/>
    <n v="0.1"/>
    <s v="Mobile Money"/>
    <s v="Validée"/>
    <s v="Client 02048"/>
    <s v="Lubumbashi"/>
    <s v="ONG"/>
    <s v="Switch 24 Ports"/>
    <s v="Réseau"/>
    <s v="Premium"/>
    <s v="Agence Kolwezi 2"/>
    <s v="Kolwezi"/>
    <s v="Commercial 002"/>
    <n v="52"/>
    <x v="0"/>
    <n v="55"/>
    <n v="6.5"/>
    <n v="4"/>
    <s v="Téléphone"/>
    <n v="177.6"/>
    <n v="960"/>
    <n v="96"/>
    <n v="864"/>
    <n v="710.4"/>
    <n v="153.60000000000002"/>
    <n v="0.17777777777777781"/>
    <n v="2025"/>
    <n v="5"/>
    <s v="2025-05"/>
    <s v="T2"/>
    <s v="50+"/>
    <s v="moyen"/>
    <s v="Moyen"/>
    <s v="Moyenne"/>
  </r>
  <r>
    <s v="TX0000799"/>
    <d v="2025-02-17T00:00:00"/>
    <s v="CLI00356"/>
    <s v="PRD016"/>
    <s v="AG009"/>
    <s v="COM035"/>
    <n v="1"/>
    <n v="420"/>
    <n v="0.08"/>
    <s v="Cash"/>
    <s v="Validée"/>
    <s v="Client 00356"/>
    <s v="Kinshasa"/>
    <s v="Grande entreprise"/>
    <s v="Projecteur HD"/>
    <s v="Bureautique"/>
    <s v="Premium"/>
    <s v="Agence Goma 2"/>
    <s v="Goma"/>
    <s v="Commercial 035"/>
    <n v="47"/>
    <x v="0"/>
    <n v="33"/>
    <n v="8.1"/>
    <n v="3"/>
    <s v="Web"/>
    <n v="273"/>
    <n v="420"/>
    <n v="33.6"/>
    <n v="386.4"/>
    <n v="273"/>
    <n v="113.39999999999998"/>
    <n v="0.29347826086956519"/>
    <n v="2025"/>
    <n v="2"/>
    <s v="2025-02"/>
    <s v="T1"/>
    <s v="40-49"/>
    <s v="bon"/>
    <s v="Rapide"/>
    <s v="Faible"/>
  </r>
  <r>
    <s v="TX0000800"/>
    <d v="2025-06-15T00:00:00"/>
    <s v="CLI01382"/>
    <s v="PRD008"/>
    <s v="AG016"/>
    <s v="COM003"/>
    <n v="2"/>
    <n v="35"/>
    <n v="0.1"/>
    <s v="Mobile Money"/>
    <s v="Validée"/>
    <s v="Client 01382"/>
    <s v="Kisangani"/>
    <s v="Grande entreprise"/>
    <s v="Clavier Pro"/>
    <s v="Informatique"/>
    <s v="Entrée de gamme"/>
    <s v="Agence Kisangani 3"/>
    <s v="Kisangani"/>
    <s v="Commercial 003"/>
    <n v="26"/>
    <x v="0"/>
    <n v="20"/>
    <n v="8.4"/>
    <n v="1"/>
    <s v="Magasin"/>
    <n v="24.15"/>
    <n v="70"/>
    <n v="7"/>
    <n v="63"/>
    <n v="48.3"/>
    <n v="14.700000000000003"/>
    <n v="0.23333333333333336"/>
    <n v="2025"/>
    <n v="6"/>
    <s v="2025-06"/>
    <s v="T2"/>
    <s v="22-29"/>
    <s v="bon"/>
    <s v="Rapide"/>
    <s v="Faible"/>
  </r>
  <r>
    <s v="TX0000802"/>
    <d v="2025-08-26T00:00:00"/>
    <s v="CLI01821"/>
    <s v="PRD003"/>
    <s v="AG017"/>
    <s v="COM012"/>
    <n v="1"/>
    <n v="780"/>
    <n v="0.05"/>
    <s v="Mobile Money"/>
    <s v="Validée"/>
    <s v="Client 01821"/>
    <s v="Goma"/>
    <s v="Indépendant"/>
    <s v="Laptop Business 14"/>
    <s v="Informatique"/>
    <s v="Premium"/>
    <s v="Agence Matadi 3"/>
    <s v="Matadi"/>
    <s v="Commercial 012"/>
    <n v="48"/>
    <x v="0"/>
    <n v="54"/>
    <n v="5"/>
    <n v="8"/>
    <s v="Web"/>
    <n v="468"/>
    <n v="780"/>
    <n v="39"/>
    <n v="741"/>
    <n v="468"/>
    <n v="273"/>
    <n v="0.36842105263157893"/>
    <n v="2025"/>
    <n v="8"/>
    <s v="2025-08"/>
    <s v="T3"/>
    <s v="40-49"/>
    <s v="moyen"/>
    <s v="Long"/>
    <s v="Moyenne"/>
  </r>
  <r>
    <s v="TX0000803"/>
    <d v="2025-03-02T00:00:00"/>
    <s v="CLI02195"/>
    <s v="PRD002"/>
    <s v="AG009"/>
    <s v="COM038"/>
    <n v="3"/>
    <n v="350"/>
    <n v="0.02"/>
    <s v="Carte"/>
    <s v="Validée"/>
    <s v="Client 02195"/>
    <s v="Kinshasa"/>
    <s v="Grande entreprise"/>
    <s v="Smartphone Pro X"/>
    <s v="Électronique"/>
    <s v="Premium"/>
    <s v="Agence Goma 2"/>
    <s v="Goma"/>
    <s v="Commercial 038"/>
    <n v="48"/>
    <x v="1"/>
    <n v="17"/>
    <n v="5.3"/>
    <n v="6"/>
    <s v="Magasin"/>
    <n v="213.5"/>
    <n v="1050"/>
    <n v="21"/>
    <n v="1029"/>
    <n v="640.5"/>
    <n v="388.5"/>
    <n v="0.37755102040816324"/>
    <n v="2025"/>
    <n v="3"/>
    <s v="2025-03"/>
    <s v="T1"/>
    <s v="40-49"/>
    <s v="moyen"/>
    <s v="Moyen"/>
    <s v="Elevée"/>
  </r>
  <r>
    <s v="TX0000805"/>
    <d v="2025-05-08T00:00:00"/>
    <s v="CLI00315"/>
    <s v="PRD007"/>
    <s v="AG016"/>
    <s v="COM032"/>
    <n v="1"/>
    <n v="145"/>
    <n v="0.1"/>
    <s v="Carte"/>
    <s v="Validée"/>
    <s v="Client 00315"/>
    <s v="Lubumbashi"/>
    <s v="Institution"/>
    <s v="Écran 24 pouces"/>
    <s v="Informatique"/>
    <s v="Standard"/>
    <s v="Agence Kisangani 3"/>
    <s v="Kisangani"/>
    <s v="Commercial 032"/>
    <n v="53"/>
    <x v="0"/>
    <n v="35"/>
    <n v="6.7"/>
    <n v="4"/>
    <s v="Web"/>
    <n v="97.15"/>
    <n v="145"/>
    <n v="14.5"/>
    <n v="130.5"/>
    <n v="97.15"/>
    <n v="33.349999999999994"/>
    <n v="0.25555555555555554"/>
    <n v="2025"/>
    <n v="5"/>
    <s v="2025-05"/>
    <s v="T2"/>
    <s v="50+"/>
    <s v="moyen"/>
    <s v="Moyen"/>
    <s v="Faible"/>
  </r>
  <r>
    <s v="TX0000806"/>
    <d v="2025-06-24T00:00:00"/>
    <s v="CLI00180"/>
    <s v="PRD010"/>
    <s v="AG006"/>
    <s v="COM015"/>
    <n v="5"/>
    <n v="95"/>
    <n v="0.05"/>
    <s v="Mobile Money"/>
    <s v="Validée"/>
    <s v="Client 00180"/>
    <s v="Goma"/>
    <s v="ONG"/>
    <s v="Routeur Business"/>
    <s v="Réseau"/>
    <s v="Standard"/>
    <s v="Agence Kolwezi 1"/>
    <s v="Kolwezi"/>
    <s v="Commercial 015"/>
    <n v="38"/>
    <x v="1"/>
    <n v="51"/>
    <n v="5.7"/>
    <n v="5"/>
    <s v="Téléphone"/>
    <n v="70.3"/>
    <n v="475"/>
    <n v="23.75"/>
    <n v="451.25"/>
    <n v="351.5"/>
    <n v="99.75"/>
    <n v="0.22105263157894736"/>
    <n v="2025"/>
    <n v="6"/>
    <s v="2025-06"/>
    <s v="T2"/>
    <s v="30-39"/>
    <s v="moyen"/>
    <s v="Moyen"/>
    <s v="Faible"/>
  </r>
  <r>
    <s v="TX0000807"/>
    <d v="2025-03-13T00:00:00"/>
    <s v="CLI01822"/>
    <s v="PRD004"/>
    <s v="AG004"/>
    <s v="COM011"/>
    <n v="1"/>
    <n v="520"/>
    <n v="0.05"/>
    <s v="Cash"/>
    <s v="Validée"/>
    <s v="Client 01822"/>
    <s v="Goma"/>
    <s v="ONG"/>
    <s v="Laptop Essential 15"/>
    <s v="Informatique"/>
    <s v="Standard"/>
    <s v="Agence Kisangani 1"/>
    <s v="Kisangani"/>
    <s v="Commercial 011"/>
    <n v="31"/>
    <x v="0"/>
    <n v="50"/>
    <n v="7.1"/>
    <n v="4"/>
    <s v="WhatsApp"/>
    <n v="348.4"/>
    <n v="520"/>
    <n v="26"/>
    <n v="494"/>
    <n v="348.4"/>
    <n v="145.60000000000002"/>
    <n v="0.29473684210526319"/>
    <n v="2025"/>
    <n v="3"/>
    <s v="2025-03"/>
    <s v="T1"/>
    <s v="30-39"/>
    <s v="bon"/>
    <s v="Moyen"/>
    <s v="Faible"/>
  </r>
  <r>
    <s v="TX0000808"/>
    <d v="2025-09-26T00:00:00"/>
    <s v="CLI01502"/>
    <s v="PRD014"/>
    <s v="AG001"/>
    <s v="COM046"/>
    <n v="5"/>
    <n v="65"/>
    <n v="0"/>
    <s v="Cash"/>
    <s v="Validée"/>
    <s v="Client 01502"/>
    <s v="Goma"/>
    <s v="Indépendant"/>
    <s v="Casque Pro"/>
    <s v="Électronique"/>
    <s v="Standard"/>
    <s v="Agence Kinshasa 1"/>
    <s v="Kinshasa"/>
    <s v="Commercial 046"/>
    <n v="37"/>
    <x v="1"/>
    <n v="8"/>
    <n v="7.1"/>
    <n v="4"/>
    <s v="Téléphone"/>
    <n v="47.45"/>
    <n v="325"/>
    <n v="0"/>
    <n v="325"/>
    <n v="237.25"/>
    <n v="87.75"/>
    <n v="0.27"/>
    <n v="2025"/>
    <n v="9"/>
    <s v="2025-09"/>
    <s v="T3"/>
    <s v="30-39"/>
    <s v="bon"/>
    <s v="Moyen"/>
    <s v="Faible"/>
  </r>
  <r>
    <s v="TX0000809"/>
    <d v="2025-12-26T00:00:00"/>
    <s v="CLI00138"/>
    <s v="PRD009"/>
    <s v="AG014"/>
    <s v="COM036"/>
    <n v="2"/>
    <n v="22"/>
    <n v="0"/>
    <s v="Cash"/>
    <s v="Validée"/>
    <s v="Client 00138"/>
    <s v="Kisangani"/>
    <s v="PME"/>
    <s v="Souris Wireless"/>
    <s v="Informatique"/>
    <s v="Entrée de gamme"/>
    <s v="Agence Lubumbashi 3"/>
    <s v="Lubumbashi"/>
    <s v="Commercial 036"/>
    <n v="27"/>
    <x v="1"/>
    <n v="48"/>
    <n v="3.5"/>
    <n v="8"/>
    <s v="Téléphone"/>
    <n v="14.96"/>
    <n v="44"/>
    <n v="0"/>
    <n v="44"/>
    <n v="29.92"/>
    <n v="14.079999999999998"/>
    <n v="0.31999999999999995"/>
    <n v="2025"/>
    <n v="12"/>
    <s v="2025-12"/>
    <s v="T4"/>
    <s v="22-29"/>
    <s v="faible"/>
    <s v="Long"/>
    <s v="Faible"/>
  </r>
  <r>
    <s v="TX0000810"/>
    <d v="2025-05-05T00:00:00"/>
    <s v="CLI01465"/>
    <s v="PRD016"/>
    <s v="AG013"/>
    <s v="COM033"/>
    <n v="6"/>
    <n v="420"/>
    <n v="0"/>
    <s v="Cash"/>
    <s v="Validée"/>
    <s v="Client 01465"/>
    <s v="Lubumbashi"/>
    <s v="ONG"/>
    <s v="Projecteur HD"/>
    <s v="Bureautique"/>
    <s v="Premium"/>
    <s v="Agence Kinshasa 3"/>
    <s v="Kinshasa"/>
    <s v="Commercial 033"/>
    <n v="38"/>
    <x v="0"/>
    <n v="39"/>
    <n v="6.8"/>
    <n v="3"/>
    <s v="Magasin"/>
    <n v="273"/>
    <n v="2520"/>
    <n v="0"/>
    <n v="2520"/>
    <n v="1638"/>
    <n v="882"/>
    <n v="0.35"/>
    <n v="2025"/>
    <n v="5"/>
    <s v="2025-05"/>
    <s v="T2"/>
    <s v="30-39"/>
    <s v="moyen"/>
    <s v="Rapide"/>
    <s v="Elevée"/>
  </r>
  <r>
    <s v="TX0000811"/>
    <d v="2025-12-04T00:00:00"/>
    <s v="CLI00354"/>
    <s v="PRD006"/>
    <s v="AG007"/>
    <s v="COM029"/>
    <n v="20"/>
    <n v="190"/>
    <n v="0"/>
    <s v="Virement"/>
    <s v="Validée"/>
    <s v="Client 00354"/>
    <s v="Matadi"/>
    <s v="PME"/>
    <s v="Imprimante Office"/>
    <s v="Bureautique"/>
    <s v="Standard"/>
    <s v="Agence Kinshasa 2"/>
    <s v="Kinshasa"/>
    <s v="Commercial 029"/>
    <n v="32"/>
    <x v="1"/>
    <n v="22"/>
    <n v="3.5"/>
    <n v="8"/>
    <s v="WhatsApp"/>
    <n v="148.19999999999999"/>
    <n v="3800"/>
    <n v="0"/>
    <n v="3800"/>
    <n v="2964"/>
    <n v="836"/>
    <n v="0.22"/>
    <n v="2025"/>
    <n v="12"/>
    <s v="2025-12"/>
    <s v="T4"/>
    <s v="30-39"/>
    <s v="faible"/>
    <s v="Long"/>
    <s v="Elevée"/>
  </r>
  <r>
    <s v="TX0000812"/>
    <d v="2025-01-21T00:00:00"/>
    <s v="CLI00760"/>
    <s v="PRD014"/>
    <s v="AG004"/>
    <s v="COM036"/>
    <n v="1"/>
    <n v="65"/>
    <n v="0"/>
    <s v="Virement"/>
    <s v="Validée"/>
    <s v="Client 00760"/>
    <s v="Kolwezi"/>
    <s v="Indépendant"/>
    <s v="Casque Pro"/>
    <s v="Électronique"/>
    <s v="Standard"/>
    <s v="Agence Kisangani 1"/>
    <s v="Kisangani"/>
    <s v="Commercial 036"/>
    <n v="32"/>
    <x v="1"/>
    <n v="49"/>
    <n v="2.9"/>
    <n v="9"/>
    <s v="WhatsApp"/>
    <n v="47.45"/>
    <n v="65"/>
    <n v="0"/>
    <n v="65"/>
    <n v="47.45"/>
    <n v="17.549999999999997"/>
    <n v="0.26999999999999996"/>
    <n v="2025"/>
    <n v="1"/>
    <s v="2025-01"/>
    <s v="T1"/>
    <s v="30-39"/>
    <s v="faible"/>
    <s v="Long"/>
    <s v="Faible"/>
  </r>
  <r>
    <s v="TX0000813"/>
    <d v="2025-09-19T00:00:00"/>
    <s v="CLI01601"/>
    <s v="PRD001"/>
    <s v="AG012"/>
    <s v="COM004"/>
    <n v="4"/>
    <n v="120"/>
    <n v="0"/>
    <s v="Virement"/>
    <s v="Validée"/>
    <s v="Client 01601"/>
    <s v="Kisangani"/>
    <s v="PME"/>
    <s v="Smartphone A1"/>
    <s v="Électronique"/>
    <s v="Entrée de gamme"/>
    <s v="Agence Kolwezi 2"/>
    <s v="Kolwezi"/>
    <s v="Commercial 004"/>
    <n v="52"/>
    <x v="1"/>
    <n v="25"/>
    <n v="4.3"/>
    <n v="9"/>
    <s v="Téléphone"/>
    <n v="73.2"/>
    <n v="480"/>
    <n v="0"/>
    <n v="480"/>
    <n v="292.8"/>
    <n v="187.2"/>
    <n v="0.38999999999999996"/>
    <n v="2025"/>
    <n v="9"/>
    <s v="2025-09"/>
    <s v="T3"/>
    <s v="50+"/>
    <s v="faible"/>
    <s v="Long"/>
    <s v="Faible"/>
  </r>
  <r>
    <s v="TX0000814"/>
    <d v="2025-05-05T00:00:00"/>
    <s v="CLI00037"/>
    <s v="PRD010"/>
    <s v="AG005"/>
    <s v="COM021"/>
    <n v="5"/>
    <n v="95"/>
    <n v="0.1"/>
    <s v="Carte"/>
    <s v="Validée"/>
    <s v="Client 00037"/>
    <s v="Matadi"/>
    <s v="Grande entreprise"/>
    <s v="Routeur Business"/>
    <s v="Réseau"/>
    <s v="Standard"/>
    <s v="Agence Matadi 1"/>
    <s v="Matadi"/>
    <s v="Commercial 021"/>
    <n v="30"/>
    <x v="1"/>
    <n v="9"/>
    <n v="4.9000000000000004"/>
    <n v="6"/>
    <s v="WhatsApp"/>
    <n v="70.3"/>
    <n v="475"/>
    <n v="47.5"/>
    <n v="427.5"/>
    <n v="351.5"/>
    <n v="76"/>
    <n v="0.17777777777777778"/>
    <n v="2025"/>
    <n v="5"/>
    <s v="2025-05"/>
    <s v="T2"/>
    <s v="30-39"/>
    <s v="faible"/>
    <s v="Moyen"/>
    <s v="Faible"/>
  </r>
  <r>
    <s v="TX0000815"/>
    <d v="2025-02-20T00:00:00"/>
    <s v="CLI01945"/>
    <s v="PRD016"/>
    <s v="AG016"/>
    <s v="COM014"/>
    <n v="1"/>
    <n v="420"/>
    <n v="0.05"/>
    <s v="Cash"/>
    <s v="Validée"/>
    <s v="Client 01945"/>
    <s v="Kolwezi"/>
    <s v="Grande entreprise"/>
    <s v="Projecteur HD"/>
    <s v="Bureautique"/>
    <s v="Premium"/>
    <s v="Agence Kisangani 3"/>
    <s v="Kisangani"/>
    <s v="Commercial 014"/>
    <n v="58"/>
    <x v="0"/>
    <n v="26"/>
    <n v="6.8"/>
    <n v="5"/>
    <s v="Magasin"/>
    <n v="273"/>
    <n v="420"/>
    <n v="21"/>
    <n v="399"/>
    <n v="273"/>
    <n v="126"/>
    <n v="0.31578947368421051"/>
    <n v="2025"/>
    <n v="2"/>
    <s v="2025-02"/>
    <s v="T1"/>
    <s v="50+"/>
    <s v="moyen"/>
    <s v="Moyen"/>
    <s v="Faible"/>
  </r>
  <r>
    <s v="TX0000816"/>
    <d v="2025-09-20T00:00:00"/>
    <s v="CLI00521"/>
    <s v="PRD005"/>
    <s v="AG003"/>
    <s v="COM031"/>
    <n v="20"/>
    <n v="260"/>
    <n v="0"/>
    <s v="Carte"/>
    <s v="Validée"/>
    <s v="Client 00521"/>
    <s v="Matadi"/>
    <s v="ONG"/>
    <s v="Tablette T10"/>
    <s v="Électronique"/>
    <s v="Standard"/>
    <s v="Agence Goma 1"/>
    <s v="Goma"/>
    <s v="Commercial 031"/>
    <n v="47"/>
    <x v="0"/>
    <n v="21"/>
    <n v="7.1"/>
    <n v="4"/>
    <s v="Magasin"/>
    <n v="189.8"/>
    <n v="5200"/>
    <n v="0"/>
    <n v="5200"/>
    <n v="3796"/>
    <n v="1404"/>
    <n v="0.27"/>
    <n v="2025"/>
    <n v="9"/>
    <s v="2025-09"/>
    <s v="T3"/>
    <s v="40-49"/>
    <s v="bon"/>
    <s v="Moyen"/>
    <s v="Elevée"/>
  </r>
  <r>
    <s v="TX0000817"/>
    <d v="2025-05-15T00:00:00"/>
    <s v="CLI01694"/>
    <s v="PRD012"/>
    <s v="AG008"/>
    <s v="COM053"/>
    <n v="2"/>
    <n v="180"/>
    <n v="0.1"/>
    <s v="Mobile Money"/>
    <s v="Validée"/>
    <s v="Client 01694"/>
    <s v="Kolwezi"/>
    <s v="Grande entreprise"/>
    <s v="Onduleur 1200VA"/>
    <s v="Énergie"/>
    <s v="Standard"/>
    <s v="Agence Lubumbashi 2"/>
    <s v="Lubumbashi"/>
    <s v="Commercial 053"/>
    <n v="55"/>
    <x v="1"/>
    <n v="40"/>
    <n v="3.1"/>
    <n v="9"/>
    <s v="WhatsApp"/>
    <n v="129.6"/>
    <n v="360"/>
    <n v="36"/>
    <n v="324"/>
    <n v="259.2"/>
    <n v="64.800000000000011"/>
    <n v="0.20000000000000004"/>
    <n v="2025"/>
    <n v="5"/>
    <s v="2025-05"/>
    <s v="T2"/>
    <s v="50+"/>
    <s v="faible"/>
    <s v="Long"/>
    <s v="Faible"/>
  </r>
  <r>
    <s v="TX0000818"/>
    <d v="2025-12-10T00:00:00"/>
    <s v="CLI01313"/>
    <s v="PRD013"/>
    <s v="AG001"/>
    <s v="COM013"/>
    <n v="4"/>
    <n v="110"/>
    <n v="0"/>
    <s v="Mobile Money"/>
    <s v="Validée"/>
    <s v="Client 01313"/>
    <s v="Goma"/>
    <s v="ONG"/>
    <s v="Disque SSD 1TB"/>
    <s v="Informatique"/>
    <s v="Premium"/>
    <s v="Agence Kinshasa 1"/>
    <s v="Kinshasa"/>
    <s v="Commercial 013"/>
    <n v="28"/>
    <x v="1"/>
    <n v="10"/>
    <n v="6.1"/>
    <n v="5"/>
    <s v="Magasin"/>
    <n v="72.599999999999994"/>
    <n v="440"/>
    <n v="0"/>
    <n v="440"/>
    <n v="290.39999999999998"/>
    <n v="149.60000000000002"/>
    <n v="0.34"/>
    <n v="2025"/>
    <n v="12"/>
    <s v="2025-12"/>
    <s v="T4"/>
    <s v="22-29"/>
    <s v="moyen"/>
    <s v="Moyen"/>
    <s v="Faible"/>
  </r>
  <r>
    <s v="TX0000819"/>
    <d v="2025-09-18T00:00:00"/>
    <s v="CLI00921"/>
    <s v="PRD005"/>
    <s v="AG016"/>
    <s v="COM040"/>
    <n v="5"/>
    <n v="260"/>
    <n v="0.08"/>
    <s v="Carte"/>
    <s v="Validée"/>
    <s v="Client 00921"/>
    <s v="Kisangani"/>
    <s v="Indépendant"/>
    <s v="Tablette T10"/>
    <s v="Électronique"/>
    <s v="Standard"/>
    <s v="Agence Kisangani 3"/>
    <s v="Kisangani"/>
    <s v="Commercial 040"/>
    <n v="49"/>
    <x v="1"/>
    <n v="23"/>
    <n v="8.3000000000000007"/>
    <n v="2"/>
    <s v="Téléphone"/>
    <n v="189.8"/>
    <n v="1300"/>
    <n v="104"/>
    <n v="1196"/>
    <n v="949"/>
    <n v="247"/>
    <n v="0.20652173913043478"/>
    <n v="2025"/>
    <n v="9"/>
    <s v="2025-09"/>
    <s v="T3"/>
    <s v="40-49"/>
    <s v="bon"/>
    <s v="Rapide"/>
    <s v="Elevée"/>
  </r>
  <r>
    <s v="TX0000820"/>
    <d v="2025-02-08T00:00:00"/>
    <s v="CLI02136"/>
    <s v="PRD010"/>
    <s v="AG016"/>
    <s v="COM050"/>
    <n v="2"/>
    <n v="95"/>
    <n v="0"/>
    <s v="Mobile Money"/>
    <s v="Validée"/>
    <s v="Client 02136"/>
    <s v="Matadi"/>
    <s v="Institution"/>
    <s v="Routeur Business"/>
    <s v="Réseau"/>
    <s v="Standard"/>
    <s v="Agence Kisangani 3"/>
    <s v="Kisangani"/>
    <s v="Commercial 050"/>
    <n v="55"/>
    <x v="0"/>
    <n v="68"/>
    <n v="5.3"/>
    <n v="6"/>
    <s v="Web"/>
    <n v="70.3"/>
    <n v="190"/>
    <n v="0"/>
    <n v="190"/>
    <n v="140.6"/>
    <n v="49.400000000000006"/>
    <n v="0.26"/>
    <n v="2025"/>
    <n v="2"/>
    <s v="2025-02"/>
    <s v="T1"/>
    <s v="50+"/>
    <s v="moyen"/>
    <s v="Moyen"/>
    <s v="Faible"/>
  </r>
  <r>
    <s v="TX0000821"/>
    <d v="2025-05-23T00:00:00"/>
    <s v="CLI00348"/>
    <s v="PRD005"/>
    <s v="AG002"/>
    <s v="COM024"/>
    <n v="2"/>
    <n v="260"/>
    <n v="0.02"/>
    <s v="Virement"/>
    <s v="Validée"/>
    <s v="Client 00348"/>
    <s v="Kisangani"/>
    <s v="Indépendant"/>
    <s v="Tablette T10"/>
    <s v="Électronique"/>
    <s v="Standard"/>
    <s v="Agence Lubumbashi 1"/>
    <s v="Lubumbashi"/>
    <s v="Commercial 024"/>
    <n v="37"/>
    <x v="0"/>
    <n v="61"/>
    <n v="6.3"/>
    <n v="5"/>
    <s v="WhatsApp"/>
    <n v="189.8"/>
    <n v="520"/>
    <n v="10.4"/>
    <n v="509.6"/>
    <n v="379.6"/>
    <n v="130"/>
    <n v="0.25510204081632654"/>
    <n v="2025"/>
    <n v="5"/>
    <s v="2025-05"/>
    <s v="T2"/>
    <s v="30-39"/>
    <s v="moyen"/>
    <s v="Moyen"/>
    <s v="Moyenne"/>
  </r>
  <r>
    <s v="TX0000822"/>
    <d v="2025-08-29T00:00:00"/>
    <s v="CLI02193"/>
    <s v="PRD011"/>
    <s v="AG010"/>
    <s v="COM055"/>
    <n v="2"/>
    <n v="240"/>
    <n v="0.02"/>
    <s v="Carte"/>
    <s v="Validée"/>
    <s v="Client 02193"/>
    <s v="Kisangani"/>
    <s v="PME"/>
    <s v="Switch 24 Ports"/>
    <s v="Réseau"/>
    <s v="Premium"/>
    <s v="Agence Kisangani 2"/>
    <s v="Kisangani"/>
    <s v="Commercial 055"/>
    <n v="54"/>
    <x v="0"/>
    <n v="18"/>
    <n v="5.6"/>
    <n v="5"/>
    <s v="Téléphone"/>
    <n v="177.6"/>
    <n v="480"/>
    <n v="9.6"/>
    <n v="470.4"/>
    <n v="355.2"/>
    <n v="115.19999999999999"/>
    <n v="0.24489795918367346"/>
    <n v="2025"/>
    <n v="8"/>
    <s v="2025-08"/>
    <s v="T3"/>
    <s v="50+"/>
    <s v="moyen"/>
    <s v="Moyen"/>
    <s v="Faible"/>
  </r>
  <r>
    <s v="TX0000823"/>
    <d v="2025-09-22T00:00:00"/>
    <s v="CLI00373"/>
    <s v="PRD016"/>
    <s v="AG011"/>
    <s v="COM035"/>
    <n v="3"/>
    <n v="420"/>
    <n v="0"/>
    <s v="Virement"/>
    <s v="Validée"/>
    <s v="Client 00373"/>
    <s v="Lubumbashi"/>
    <s v="PME"/>
    <s v="Projecteur HD"/>
    <s v="Bureautique"/>
    <s v="Premium"/>
    <s v="Agence Matadi 2"/>
    <s v="Matadi"/>
    <s v="Commercial 035"/>
    <n v="59"/>
    <x v="1"/>
    <n v="33"/>
    <n v="6.6"/>
    <n v="5"/>
    <s v="WhatsApp"/>
    <n v="273"/>
    <n v="1260"/>
    <n v="0"/>
    <n v="1260"/>
    <n v="819"/>
    <n v="441"/>
    <n v="0.35"/>
    <n v="2025"/>
    <n v="9"/>
    <s v="2025-09"/>
    <s v="T3"/>
    <s v="50+"/>
    <s v="moyen"/>
    <s v="Moyen"/>
    <s v="Elevée"/>
  </r>
  <r>
    <s v="TX0000824"/>
    <d v="2025-06-10T00:00:00"/>
    <s v="CLI01112"/>
    <s v="PRD010"/>
    <s v="AG017"/>
    <s v="COM015"/>
    <n v="6"/>
    <n v="95"/>
    <n v="0"/>
    <s v="Carte"/>
    <s v="Validée"/>
    <s v="Client 01112"/>
    <s v="Lubumbashi"/>
    <s v="Institution"/>
    <s v="Routeur Business"/>
    <s v="Réseau"/>
    <s v="Standard"/>
    <s v="Agence Matadi 3"/>
    <s v="Matadi"/>
    <s v="Commercial 015"/>
    <n v="33"/>
    <x v="1"/>
    <n v="72"/>
    <n v="7.3"/>
    <n v="3"/>
    <s v="Web"/>
    <n v="70.3"/>
    <n v="570"/>
    <n v="0"/>
    <n v="570"/>
    <n v="421.79999999999995"/>
    <n v="148.20000000000005"/>
    <n v="0.26000000000000006"/>
    <n v="2025"/>
    <n v="6"/>
    <s v="2025-06"/>
    <s v="T2"/>
    <s v="30-39"/>
    <s v="bon"/>
    <s v="Rapide"/>
    <s v="Moyenne"/>
  </r>
  <r>
    <s v="TX0000825"/>
    <d v="2025-06-21T00:00:00"/>
    <s v="CLI01428"/>
    <s v="PRD010"/>
    <s v="AG007"/>
    <s v="COM053"/>
    <n v="2"/>
    <n v="95"/>
    <n v="0.02"/>
    <s v="Virement"/>
    <s v="Validée"/>
    <s v="Client 01428"/>
    <s v="Kinshasa"/>
    <s v="Indépendant"/>
    <s v="Routeur Business"/>
    <s v="Réseau"/>
    <s v="Standard"/>
    <s v="Agence Kinshasa 2"/>
    <s v="Kinshasa"/>
    <s v="Commercial 053"/>
    <n v="28"/>
    <x v="0"/>
    <n v="17"/>
    <n v="8"/>
    <n v="1"/>
    <s v="WhatsApp"/>
    <n v="70.3"/>
    <n v="190"/>
    <n v="3.8000000000000003"/>
    <n v="186.2"/>
    <n v="140.6"/>
    <n v="45.599999999999994"/>
    <n v="0.24489795918367346"/>
    <n v="2025"/>
    <n v="6"/>
    <s v="2025-06"/>
    <s v="T2"/>
    <s v="22-29"/>
    <s v="bon"/>
    <s v="Rapide"/>
    <s v="Faible"/>
  </r>
  <r>
    <s v="TX0000826"/>
    <d v="2025-12-19T00:00:00"/>
    <s v="CLI01737"/>
    <s v="PRD007"/>
    <s v="AG005"/>
    <s v="COM052"/>
    <n v="2"/>
    <n v="145"/>
    <n v="0.08"/>
    <s v="Virement"/>
    <s v="Validée"/>
    <s v="Client 01737"/>
    <s v="Matadi"/>
    <s v="PME"/>
    <s v="Écran 24 pouces"/>
    <s v="Informatique"/>
    <s v="Standard"/>
    <s v="Agence Matadi 1"/>
    <s v="Matadi"/>
    <s v="Commercial 052"/>
    <n v="51"/>
    <x v="1"/>
    <n v="9"/>
    <n v="4.3"/>
    <n v="9"/>
    <s v="Web"/>
    <n v="97.15"/>
    <n v="290"/>
    <n v="23.2"/>
    <n v="266.8"/>
    <n v="194.3"/>
    <n v="72.5"/>
    <n v="0.27173913043478259"/>
    <n v="2025"/>
    <n v="12"/>
    <s v="2025-12"/>
    <s v="T4"/>
    <s v="50+"/>
    <s v="faible"/>
    <s v="Long"/>
    <s v="Faible"/>
  </r>
  <r>
    <s v="TX0000827"/>
    <d v="2025-09-24T00:00:00"/>
    <s v="CLI01316"/>
    <s v="PRD007"/>
    <s v="AG015"/>
    <s v="COM038"/>
    <n v="1"/>
    <n v="145"/>
    <n v="0.08"/>
    <s v="Virement"/>
    <s v="Validée"/>
    <s v="Client 01316"/>
    <s v="Kisangani"/>
    <s v="Grande entreprise"/>
    <s v="Écran 24 pouces"/>
    <s v="Informatique"/>
    <s v="Standard"/>
    <s v="Agence Goma 3"/>
    <s v="Goma"/>
    <s v="Commercial 038"/>
    <n v="37"/>
    <x v="1"/>
    <n v="68"/>
    <n v="8.1999999999999993"/>
    <n v="1"/>
    <s v="WhatsApp"/>
    <n v="97.15"/>
    <n v="145"/>
    <n v="11.6"/>
    <n v="133.4"/>
    <n v="97.15"/>
    <n v="36.25"/>
    <n v="0.27173913043478259"/>
    <n v="2025"/>
    <n v="9"/>
    <s v="2025-09"/>
    <s v="T3"/>
    <s v="30-39"/>
    <s v="bon"/>
    <s v="Rapide"/>
    <s v="Faible"/>
  </r>
  <r>
    <s v="TX0000828"/>
    <d v="2025-11-28T00:00:00"/>
    <s v="CLI00843"/>
    <s v="PRD011"/>
    <s v="AG006"/>
    <s v="COM057"/>
    <n v="4"/>
    <n v="240"/>
    <n v="0"/>
    <s v="Carte"/>
    <s v="Validée"/>
    <s v="Client 00843"/>
    <s v="Goma"/>
    <s v="ONG"/>
    <s v="Switch 24 Ports"/>
    <s v="Réseau"/>
    <s v="Premium"/>
    <s v="Agence Kolwezi 1"/>
    <s v="Kolwezi"/>
    <s v="Commercial 057"/>
    <n v="33"/>
    <x v="0"/>
    <n v="60"/>
    <n v="3.7"/>
    <n v="8"/>
    <s v="Magasin"/>
    <n v="177.6"/>
    <n v="960"/>
    <n v="0"/>
    <n v="960"/>
    <n v="710.4"/>
    <n v="249.60000000000002"/>
    <n v="0.26"/>
    <n v="2025"/>
    <n v="11"/>
    <s v="2025-11"/>
    <s v="T4"/>
    <s v="30-39"/>
    <s v="faible"/>
    <s v="Long"/>
    <s v="Moyenne"/>
  </r>
  <r>
    <s v="TX0000829"/>
    <d v="2025-03-16T00:00:00"/>
    <s v="CLI01109"/>
    <s v="PRD015"/>
    <s v="AG018"/>
    <s v="COM022"/>
    <n v="1"/>
    <n v="48"/>
    <n v="0"/>
    <s v="Virement"/>
    <s v="Validée"/>
    <s v="Client 01109"/>
    <s v="Lubumbashi"/>
    <s v="PME"/>
    <s v="Webcam HD"/>
    <s v="Électronique"/>
    <s v="Entrée de gamme"/>
    <s v="Agence Kolwezi 3"/>
    <s v="Kolwezi"/>
    <s v="Commercial 022"/>
    <n v="31"/>
    <x v="0"/>
    <n v="53"/>
    <n v="7.3"/>
    <n v="4"/>
    <s v="Téléphone"/>
    <n v="37.44"/>
    <n v="48"/>
    <n v="0"/>
    <n v="48"/>
    <n v="37.44"/>
    <n v="10.560000000000002"/>
    <n v="0.22000000000000006"/>
    <n v="2025"/>
    <n v="3"/>
    <s v="2025-03"/>
    <s v="T1"/>
    <s v="30-39"/>
    <s v="bon"/>
    <s v="Moyen"/>
    <s v="Faible"/>
  </r>
  <r>
    <s v="TX0000830"/>
    <d v="2025-04-07T00:00:00"/>
    <s v="CLI01543"/>
    <s v="PRD013"/>
    <s v="AG001"/>
    <s v="COM005"/>
    <n v="4"/>
    <n v="110"/>
    <n v="0"/>
    <s v="Mobile Money"/>
    <s v="Validée"/>
    <s v="Client 01543"/>
    <s v="Kolwezi"/>
    <s v="ONG"/>
    <s v="Disque SSD 1TB"/>
    <s v="Informatique"/>
    <s v="Premium"/>
    <s v="Agence Kinshasa 1"/>
    <s v="Kinshasa"/>
    <s v="Commercial 005"/>
    <n v="32"/>
    <x v="1"/>
    <n v="28"/>
    <n v="4.3"/>
    <n v="9"/>
    <s v="Magasin"/>
    <n v="72.599999999999994"/>
    <n v="440"/>
    <n v="0"/>
    <n v="440"/>
    <n v="290.39999999999998"/>
    <n v="149.60000000000002"/>
    <n v="0.34"/>
    <n v="2025"/>
    <n v="4"/>
    <s v="2025-04"/>
    <s v="T2"/>
    <s v="30-39"/>
    <s v="faible"/>
    <s v="Long"/>
    <s v="Faible"/>
  </r>
  <r>
    <s v="TX0000831"/>
    <d v="2025-01-27T00:00:00"/>
    <s v="CLI01135"/>
    <s v="PRD014"/>
    <s v="AG007"/>
    <s v="COM018"/>
    <n v="20"/>
    <n v="65"/>
    <n v="0.08"/>
    <s v="Mobile Money"/>
    <s v="Validée"/>
    <s v="Client 01135"/>
    <s v="Kinshasa"/>
    <s v="ONG"/>
    <s v="Casque Pro"/>
    <s v="Électronique"/>
    <s v="Standard"/>
    <s v="Agence Kinshasa 2"/>
    <s v="Kinshasa"/>
    <s v="Commercial 018"/>
    <n v="41"/>
    <x v="1"/>
    <n v="22"/>
    <n v="8.4"/>
    <n v="1"/>
    <s v="WhatsApp"/>
    <n v="47.45"/>
    <n v="1300"/>
    <n v="104"/>
    <n v="1196"/>
    <n v="949"/>
    <n v="247"/>
    <n v="0.20652173913043478"/>
    <n v="2025"/>
    <n v="1"/>
    <s v="2025-01"/>
    <s v="T1"/>
    <s v="40-49"/>
    <s v="bon"/>
    <s v="Rapide"/>
    <s v="Elevée"/>
  </r>
  <r>
    <s v="TX0000832"/>
    <d v="2025-03-03T00:00:00"/>
    <s v="CLI01952"/>
    <s v="PRD014"/>
    <s v="AG013"/>
    <s v="COM021"/>
    <n v="1"/>
    <n v="65"/>
    <n v="0"/>
    <s v="Virement"/>
    <s v="Validée"/>
    <s v="Client 01952"/>
    <s v="Kolwezi"/>
    <s v="Institution"/>
    <s v="Casque Pro"/>
    <s v="Électronique"/>
    <s v="Standard"/>
    <s v="Agence Kinshasa 3"/>
    <s v="Kinshasa"/>
    <s v="Commercial 021"/>
    <n v="58"/>
    <x v="0"/>
    <n v="49"/>
    <n v="3.3"/>
    <n v="9"/>
    <s v="Téléphone"/>
    <n v="47.45"/>
    <n v="65"/>
    <n v="0"/>
    <n v="65"/>
    <n v="47.45"/>
    <n v="17.549999999999997"/>
    <n v="0.26999999999999996"/>
    <n v="2025"/>
    <n v="3"/>
    <s v="2025-03"/>
    <s v="T1"/>
    <s v="50+"/>
    <s v="faible"/>
    <s v="Long"/>
    <s v="Faible"/>
  </r>
  <r>
    <s v="TX0000833"/>
    <d v="2025-02-25T00:00:00"/>
    <s v="CLI00224"/>
    <s v="PRD002"/>
    <s v="AG003"/>
    <s v="COM018"/>
    <n v="3"/>
    <n v="350"/>
    <n v="0"/>
    <s v="Carte"/>
    <s v="Validée"/>
    <s v="Client 00224"/>
    <s v="Kisangani"/>
    <s v="Institution"/>
    <s v="Smartphone Pro X"/>
    <s v="Électronique"/>
    <s v="Premium"/>
    <s v="Agence Goma 1"/>
    <s v="Goma"/>
    <s v="Commercial 018"/>
    <n v="36"/>
    <x v="1"/>
    <n v="15"/>
    <n v="8.6999999999999993"/>
    <n v="2"/>
    <s v="Téléphone"/>
    <n v="213.5"/>
    <n v="1050"/>
    <n v="0"/>
    <n v="1050"/>
    <n v="640.5"/>
    <n v="409.5"/>
    <n v="0.39"/>
    <n v="2025"/>
    <n v="2"/>
    <s v="2025-02"/>
    <s v="T1"/>
    <s v="30-39"/>
    <s v="bon"/>
    <s v="Rapide"/>
    <s v="Elevée"/>
  </r>
  <r>
    <s v="TX0000834"/>
    <d v="2025-12-05T00:00:00"/>
    <s v="CLI01734"/>
    <s v="PRD007"/>
    <s v="AG002"/>
    <s v="COM058"/>
    <n v="3"/>
    <n v="145"/>
    <n v="0"/>
    <s v="Cash"/>
    <s v="Validée"/>
    <s v="Client 01734"/>
    <s v="Goma"/>
    <s v="ONG"/>
    <s v="Écran 24 pouces"/>
    <s v="Informatique"/>
    <s v="Standard"/>
    <s v="Agence Lubumbashi 1"/>
    <s v="Lubumbashi"/>
    <s v="Commercial 058"/>
    <n v="24"/>
    <x v="0"/>
    <n v="55"/>
    <n v="6.8"/>
    <n v="3"/>
    <s v="WhatsApp"/>
    <n v="97.15"/>
    <n v="435"/>
    <n v="0"/>
    <n v="435"/>
    <n v="291.45000000000005"/>
    <n v="143.54999999999995"/>
    <n v="0.3299999999999999"/>
    <n v="2025"/>
    <n v="12"/>
    <s v="2025-12"/>
    <s v="T4"/>
    <s v="22-29"/>
    <s v="moyen"/>
    <s v="Rapide"/>
    <s v="Faible"/>
  </r>
  <r>
    <s v="TX0000836"/>
    <d v="2025-10-11T00:00:00"/>
    <s v="CLI01449"/>
    <s v="PRD008"/>
    <s v="AG005"/>
    <s v="COM002"/>
    <n v="3"/>
    <n v="35"/>
    <n v="0.1"/>
    <s v="Carte"/>
    <s v="Validée"/>
    <s v="Client 01449"/>
    <s v="Kolwezi"/>
    <s v="Grande entreprise"/>
    <s v="Clavier Pro"/>
    <s v="Informatique"/>
    <s v="Entrée de gamme"/>
    <s v="Agence Matadi 1"/>
    <s v="Matadi"/>
    <s v="Commercial 002"/>
    <n v="27"/>
    <x v="1"/>
    <n v="25"/>
    <n v="5.2"/>
    <n v="7"/>
    <s v="Téléphone"/>
    <n v="24.15"/>
    <n v="105"/>
    <n v="10.5"/>
    <n v="94.5"/>
    <n v="72.449999999999989"/>
    <n v="22.050000000000011"/>
    <n v="0.23333333333333345"/>
    <n v="2025"/>
    <n v="10"/>
    <s v="2025-10"/>
    <s v="T4"/>
    <s v="22-29"/>
    <s v="moyen"/>
    <s v="Long"/>
    <s v="Faible"/>
  </r>
  <r>
    <s v="TX0000837"/>
    <d v="2025-01-09T00:00:00"/>
    <s v="CLI01570"/>
    <s v="PRD007"/>
    <s v="AG018"/>
    <s v="COM040"/>
    <n v="10"/>
    <n v="145"/>
    <n v="0"/>
    <s v="Virement"/>
    <s v="Validée"/>
    <s v="Client 01570"/>
    <s v="Kisangani"/>
    <s v="PME"/>
    <s v="Écran 24 pouces"/>
    <s v="Informatique"/>
    <s v="Standard"/>
    <s v="Agence Kolwezi 3"/>
    <s v="Kolwezi"/>
    <s v="Commercial 040"/>
    <n v="52"/>
    <x v="1"/>
    <n v="6"/>
    <n v="4"/>
    <n v="9"/>
    <s v="Magasin"/>
    <n v="97.15"/>
    <n v="1450"/>
    <n v="0"/>
    <n v="1450"/>
    <n v="971.5"/>
    <n v="478.5"/>
    <n v="0.33"/>
    <n v="2025"/>
    <n v="1"/>
    <s v="2025-01"/>
    <s v="T1"/>
    <s v="50+"/>
    <s v="faible"/>
    <s v="Long"/>
    <s v="Elevée"/>
  </r>
  <r>
    <s v="TX0000838"/>
    <d v="2025-07-28T00:00:00"/>
    <s v="CLI00511"/>
    <s v="PRD004"/>
    <s v="AG008"/>
    <s v="COM055"/>
    <n v="1"/>
    <n v="520"/>
    <n v="0.02"/>
    <s v="Carte"/>
    <s v="Validée"/>
    <s v="Client 00511"/>
    <s v="Lubumbashi"/>
    <s v="Indépendant"/>
    <s v="Laptop Essential 15"/>
    <s v="Informatique"/>
    <s v="Standard"/>
    <s v="Agence Lubumbashi 2"/>
    <s v="Lubumbashi"/>
    <s v="Commercial 055"/>
    <n v="25"/>
    <x v="1"/>
    <n v="35"/>
    <n v="4.8"/>
    <n v="8"/>
    <s v="WhatsApp"/>
    <n v="348.4"/>
    <n v="520"/>
    <n v="10.4"/>
    <n v="509.6"/>
    <n v="348.4"/>
    <n v="161.20000000000005"/>
    <n v="0.31632653061224497"/>
    <n v="2025"/>
    <n v="7"/>
    <s v="2025-07"/>
    <s v="T3"/>
    <s v="22-29"/>
    <s v="faible"/>
    <s v="Long"/>
    <s v="Moyenne"/>
  </r>
  <r>
    <s v="TX0000839"/>
    <d v="2025-05-03T00:00:00"/>
    <s v="CLI00903"/>
    <s v="PRD009"/>
    <s v="AG004"/>
    <s v="COM001"/>
    <n v="3"/>
    <n v="22"/>
    <n v="0.02"/>
    <s v="Mobile Money"/>
    <s v="Validée"/>
    <s v="Client 00903"/>
    <s v="Kolwezi"/>
    <s v="Grande entreprise"/>
    <s v="Souris Wireless"/>
    <s v="Informatique"/>
    <s v="Entrée de gamme"/>
    <s v="Agence Kisangani 1"/>
    <s v="Kisangani"/>
    <s v="Commercial 001"/>
    <n v="46"/>
    <x v="1"/>
    <n v="27"/>
    <n v="4.8"/>
    <n v="6"/>
    <s v="WhatsApp"/>
    <n v="14.96"/>
    <n v="66"/>
    <n v="1.32"/>
    <n v="64.680000000000007"/>
    <n v="44.88"/>
    <n v="19.800000000000004"/>
    <n v="0.30612244897959184"/>
    <n v="2025"/>
    <n v="5"/>
    <s v="2025-05"/>
    <s v="T2"/>
    <s v="40-49"/>
    <s v="faible"/>
    <s v="Moyen"/>
    <s v="Faible"/>
  </r>
  <r>
    <s v="TX0000840"/>
    <d v="2025-12-31T00:00:00"/>
    <s v="CLI00952"/>
    <s v="PRD004"/>
    <s v="AG003"/>
    <s v="COM027"/>
    <n v="2"/>
    <n v="520"/>
    <n v="0"/>
    <s v="Mobile Money"/>
    <s v="Validée"/>
    <s v="Client 00952"/>
    <s v="Lubumbashi"/>
    <s v="PME"/>
    <s v="Laptop Essential 15"/>
    <s v="Informatique"/>
    <s v="Standard"/>
    <s v="Agence Goma 1"/>
    <s v="Goma"/>
    <s v="Commercial 027"/>
    <n v="28"/>
    <x v="1"/>
    <n v="66"/>
    <n v="4.2"/>
    <n v="9"/>
    <s v="WhatsApp"/>
    <n v="348.4"/>
    <n v="1040"/>
    <n v="0"/>
    <n v="1040"/>
    <n v="696.8"/>
    <n v="343.20000000000005"/>
    <n v="0.33000000000000007"/>
    <n v="2025"/>
    <n v="12"/>
    <s v="2025-12"/>
    <s v="T4"/>
    <s v="22-29"/>
    <s v="faible"/>
    <s v="Long"/>
    <s v="Elevée"/>
  </r>
  <r>
    <s v="TX0000841"/>
    <d v="2025-05-20T00:00:00"/>
    <s v="CLI01558"/>
    <s v="PRD001"/>
    <s v="AG018"/>
    <s v="COM049"/>
    <n v="1"/>
    <n v="120"/>
    <n v="0.08"/>
    <s v="Mobile Money"/>
    <s v="Validée"/>
    <s v="Client 01558"/>
    <s v="Kolwezi"/>
    <s v="PME"/>
    <s v="Smartphone A1"/>
    <s v="Électronique"/>
    <s v="Entrée de gamme"/>
    <s v="Agence Kolwezi 3"/>
    <s v="Kolwezi"/>
    <s v="Commercial 049"/>
    <n v="40"/>
    <x v="1"/>
    <n v="70"/>
    <n v="8.1"/>
    <n v="2"/>
    <s v="Téléphone"/>
    <n v="73.2"/>
    <n v="120"/>
    <n v="9.6"/>
    <n v="110.4"/>
    <n v="73.2"/>
    <n v="37.200000000000003"/>
    <n v="0.33695652173913043"/>
    <n v="2025"/>
    <n v="5"/>
    <s v="2025-05"/>
    <s v="T2"/>
    <s v="40-49"/>
    <s v="bon"/>
    <s v="Rapide"/>
    <s v="Faible"/>
  </r>
  <r>
    <s v="TX0000842"/>
    <d v="2025-09-13T00:00:00"/>
    <s v="CLI02147"/>
    <s v="PRD011"/>
    <s v="AG011"/>
    <s v="COM002"/>
    <n v="2"/>
    <n v="240"/>
    <n v="0.02"/>
    <s v="Mobile Money"/>
    <s v="Validée"/>
    <s v="Client 02147"/>
    <s v="Goma"/>
    <s v="ONG"/>
    <s v="Switch 24 Ports"/>
    <s v="Réseau"/>
    <s v="Premium"/>
    <s v="Agence Matadi 2"/>
    <s v="Matadi"/>
    <s v="Commercial 002"/>
    <n v="26"/>
    <x v="0"/>
    <n v="32"/>
    <n v="7.4"/>
    <n v="4"/>
    <s v="Web"/>
    <n v="177.6"/>
    <n v="480"/>
    <n v="9.6"/>
    <n v="470.4"/>
    <n v="355.2"/>
    <n v="115.19999999999999"/>
    <n v="0.24489795918367346"/>
    <n v="2025"/>
    <n v="9"/>
    <s v="2025-09"/>
    <s v="T3"/>
    <s v="22-29"/>
    <s v="bon"/>
    <s v="Moyen"/>
    <s v="Faible"/>
  </r>
  <r>
    <s v="TX0000843"/>
    <d v="2025-12-24T00:00:00"/>
    <s v="CLI01528"/>
    <s v="PRD005"/>
    <s v="AG003"/>
    <s v="COM039"/>
    <n v="3"/>
    <n v="260"/>
    <n v="0"/>
    <s v="Mobile Money"/>
    <s v="Validée"/>
    <s v="Client 01528"/>
    <s v="Kinshasa"/>
    <s v="Indépendant"/>
    <s v="Tablette T10"/>
    <s v="Électronique"/>
    <s v="Standard"/>
    <s v="Agence Goma 1"/>
    <s v="Goma"/>
    <s v="Commercial 039"/>
    <n v="43"/>
    <x v="1"/>
    <n v="58"/>
    <n v="5.2"/>
    <n v="7"/>
    <s v="Web"/>
    <n v="189.8"/>
    <n v="780"/>
    <n v="0"/>
    <n v="780"/>
    <n v="569.40000000000009"/>
    <n v="210.59999999999991"/>
    <n v="0.26999999999999991"/>
    <n v="2025"/>
    <n v="12"/>
    <s v="2025-12"/>
    <s v="T4"/>
    <s v="40-49"/>
    <s v="moyen"/>
    <s v="Long"/>
    <s v="Moyenne"/>
  </r>
  <r>
    <s v="TX0000844"/>
    <d v="2025-05-08T00:00:00"/>
    <s v="CLI01288"/>
    <s v="PRD012"/>
    <s v="AG013"/>
    <s v="COM018"/>
    <n v="4"/>
    <n v="180"/>
    <n v="0"/>
    <s v="Mobile Money"/>
    <s v="Validée"/>
    <s v="Client 01288"/>
    <s v="Kinshasa"/>
    <s v="Grande entreprise"/>
    <s v="Onduleur 1200VA"/>
    <s v="Énergie"/>
    <s v="Standard"/>
    <s v="Agence Kinshasa 3"/>
    <s v="Kinshasa"/>
    <s v="Commercial 018"/>
    <n v="41"/>
    <x v="1"/>
    <n v="15"/>
    <n v="4.0999999999999996"/>
    <n v="7"/>
    <s v="Téléphone"/>
    <n v="129.6"/>
    <n v="720"/>
    <n v="0"/>
    <n v="720"/>
    <n v="518.4"/>
    <n v="201.60000000000002"/>
    <n v="0.28000000000000003"/>
    <n v="2025"/>
    <n v="5"/>
    <s v="2025-05"/>
    <s v="T2"/>
    <s v="40-49"/>
    <s v="faible"/>
    <s v="Long"/>
    <s v="Moyenne"/>
  </r>
  <r>
    <s v="TX0000845"/>
    <d v="2025-12-24T00:00:00"/>
    <s v="CLI01924"/>
    <s v="PRD001"/>
    <s v="AG008"/>
    <s v="COM042"/>
    <n v="1"/>
    <n v="120"/>
    <n v="0.08"/>
    <s v="Cash"/>
    <s v="Validée"/>
    <s v="Client 01924"/>
    <s v="Kinshasa"/>
    <s v="Indépendant"/>
    <s v="Smartphone A1"/>
    <s v="Électronique"/>
    <s v="Entrée de gamme"/>
    <s v="Agence Lubumbashi 2"/>
    <s v="Lubumbashi"/>
    <s v="Commercial 042"/>
    <n v="22"/>
    <x v="1"/>
    <n v="52"/>
    <n v="4"/>
    <n v="9"/>
    <s v="Magasin"/>
    <n v="73.2"/>
    <n v="120"/>
    <n v="9.6"/>
    <n v="110.4"/>
    <n v="73.2"/>
    <n v="37.200000000000003"/>
    <n v="0.33695652173913043"/>
    <n v="2025"/>
    <n v="12"/>
    <s v="2025-12"/>
    <s v="T4"/>
    <s v="22-29"/>
    <s v="faible"/>
    <s v="Long"/>
    <s v="Faible"/>
  </r>
  <r>
    <s v="TX0000846"/>
    <d v="2025-09-09T00:00:00"/>
    <s v="CLI01414"/>
    <s v="PRD012"/>
    <s v="AG013"/>
    <s v="COM002"/>
    <n v="2"/>
    <n v="180"/>
    <n v="0.02"/>
    <s v="Mobile Money"/>
    <s v="Validée"/>
    <s v="Client 01414"/>
    <s v="Lubumbashi"/>
    <s v="PME"/>
    <s v="Onduleur 1200VA"/>
    <s v="Énergie"/>
    <s v="Standard"/>
    <s v="Agence Kinshasa 3"/>
    <s v="Kinshasa"/>
    <s v="Commercial 002"/>
    <n v="56"/>
    <x v="0"/>
    <n v="22"/>
    <n v="8.4"/>
    <n v="1"/>
    <s v="Téléphone"/>
    <n v="129.6"/>
    <n v="360"/>
    <n v="7.2"/>
    <n v="352.8"/>
    <n v="259.2"/>
    <n v="93.600000000000023"/>
    <n v="0.26530612244897966"/>
    <n v="2025"/>
    <n v="9"/>
    <s v="2025-09"/>
    <s v="T3"/>
    <s v="50+"/>
    <s v="bon"/>
    <s v="Rapide"/>
    <s v="Faible"/>
  </r>
  <r>
    <s v="TX0000847"/>
    <d v="2025-07-07T00:00:00"/>
    <s v="CLI01045"/>
    <s v="PRD012"/>
    <s v="AG008"/>
    <s v="COM018"/>
    <n v="6"/>
    <n v="180"/>
    <n v="0"/>
    <s v="Mobile Money"/>
    <s v="Validée"/>
    <s v="Client 01045"/>
    <s v="Goma"/>
    <s v="Grande entreprise"/>
    <s v="Onduleur 1200VA"/>
    <s v="Énergie"/>
    <s v="Standard"/>
    <s v="Agence Lubumbashi 2"/>
    <s v="Lubumbashi"/>
    <s v="Commercial 018"/>
    <n v="42"/>
    <x v="0"/>
    <n v="41"/>
    <n v="4.9000000000000004"/>
    <n v="6"/>
    <s v="Téléphone"/>
    <n v="129.6"/>
    <n v="1080"/>
    <n v="0"/>
    <n v="1080"/>
    <n v="777.59999999999991"/>
    <n v="302.40000000000009"/>
    <n v="0.28000000000000008"/>
    <n v="2025"/>
    <n v="7"/>
    <s v="2025-07"/>
    <s v="T3"/>
    <s v="40-49"/>
    <s v="faible"/>
    <s v="Moyen"/>
    <s v="Elevée"/>
  </r>
  <r>
    <s v="TX0000848"/>
    <d v="2025-07-06T00:00:00"/>
    <s v="CLI00898"/>
    <s v="PRD007"/>
    <s v="AG002"/>
    <s v="COM025"/>
    <n v="1"/>
    <n v="145"/>
    <n v="0"/>
    <s v="Cash"/>
    <s v="Validée"/>
    <s v="Client 00898"/>
    <s v="Lubumbashi"/>
    <s v="Institution"/>
    <s v="Écran 24 pouces"/>
    <s v="Informatique"/>
    <s v="Standard"/>
    <s v="Agence Lubumbashi 1"/>
    <s v="Lubumbashi"/>
    <s v="Commercial 025"/>
    <n v="40"/>
    <x v="1"/>
    <n v="44"/>
    <n v="6"/>
    <n v="4"/>
    <s v="Magasin"/>
    <n v="97.15"/>
    <n v="145"/>
    <n v="0"/>
    <n v="145"/>
    <n v="97.15"/>
    <n v="47.849999999999994"/>
    <n v="0.32999999999999996"/>
    <n v="2025"/>
    <n v="7"/>
    <s v="2025-07"/>
    <s v="T3"/>
    <s v="40-49"/>
    <s v="moyen"/>
    <s v="Moyen"/>
    <s v="Faible"/>
  </r>
  <r>
    <s v="TX0000849"/>
    <d v="2025-05-09T00:00:00"/>
    <s v="CLI00651"/>
    <s v="PRD003"/>
    <s v="AG018"/>
    <s v="COM004"/>
    <n v="1"/>
    <n v="780"/>
    <n v="0"/>
    <s v="Mobile Money"/>
    <s v="Validée"/>
    <s v="Client 00651"/>
    <s v="Kolwezi"/>
    <s v="PME"/>
    <s v="Laptop Business 14"/>
    <s v="Informatique"/>
    <s v="Premium"/>
    <s v="Agence Kolwezi 3"/>
    <s v="Kolwezi"/>
    <s v="Commercial 004"/>
    <n v="52"/>
    <x v="0"/>
    <n v="49"/>
    <n v="7.2"/>
    <n v="2"/>
    <s v="Magasin"/>
    <n v="468"/>
    <n v="780"/>
    <n v="0"/>
    <n v="780"/>
    <n v="468"/>
    <n v="312"/>
    <n v="0.4"/>
    <n v="2025"/>
    <n v="5"/>
    <s v="2025-05"/>
    <s v="T2"/>
    <s v="50+"/>
    <s v="bon"/>
    <s v="Rapide"/>
    <s v="Moyenne"/>
  </r>
  <r>
    <s v="TX0000850"/>
    <d v="2025-04-06T00:00:00"/>
    <s v="CLI00581"/>
    <s v="PRD014"/>
    <s v="AG009"/>
    <s v="COM056"/>
    <n v="1"/>
    <n v="65"/>
    <n v="0"/>
    <s v="Carte"/>
    <s v="Validée"/>
    <s v="Client 00581"/>
    <s v="Kinshasa"/>
    <s v="PME"/>
    <s v="Casque Pro"/>
    <s v="Électronique"/>
    <s v="Standard"/>
    <s v="Agence Goma 2"/>
    <s v="Goma"/>
    <s v="Commercial 056"/>
    <n v="46"/>
    <x v="1"/>
    <n v="31"/>
    <n v="4.3"/>
    <n v="7"/>
    <s v="WhatsApp"/>
    <n v="47.45"/>
    <n v="65"/>
    <n v="0"/>
    <n v="65"/>
    <n v="47.45"/>
    <n v="17.549999999999997"/>
    <n v="0.26999999999999996"/>
    <n v="2025"/>
    <n v="4"/>
    <s v="2025-04"/>
    <s v="T2"/>
    <s v="40-49"/>
    <s v="faible"/>
    <s v="Long"/>
    <s v="Faible"/>
  </r>
  <r>
    <s v="TX0000851"/>
    <d v="2025-12-02T00:00:00"/>
    <s v="CLI00950"/>
    <s v="PRD003"/>
    <s v="AG002"/>
    <s v="COM037"/>
    <n v="4"/>
    <n v="780"/>
    <n v="0.1"/>
    <s v="Carte"/>
    <s v="Validée"/>
    <s v="Client 00950"/>
    <s v="Matadi"/>
    <s v="Institution"/>
    <s v="Laptop Business 14"/>
    <s v="Informatique"/>
    <s v="Premium"/>
    <s v="Agence Lubumbashi 1"/>
    <s v="Lubumbashi"/>
    <s v="Commercial 037"/>
    <n v="36"/>
    <x v="1"/>
    <n v="33"/>
    <n v="6"/>
    <n v="6"/>
    <s v="Téléphone"/>
    <n v="468"/>
    <n v="3120"/>
    <n v="312"/>
    <n v="2808"/>
    <n v="1872"/>
    <n v="936"/>
    <n v="0.33333333333333331"/>
    <n v="2025"/>
    <n v="12"/>
    <s v="2025-12"/>
    <s v="T4"/>
    <s v="30-39"/>
    <s v="moyen"/>
    <s v="Moyen"/>
    <s v="Elevée"/>
  </r>
  <r>
    <s v="TX0000852"/>
    <d v="2025-01-09T00:00:00"/>
    <s v="CLI01927"/>
    <s v="PRD014"/>
    <s v="AG006"/>
    <s v="COM016"/>
    <n v="4"/>
    <n v="65"/>
    <n v="0"/>
    <s v="Cash"/>
    <s v="Validée"/>
    <s v="Client 01927"/>
    <s v="Goma"/>
    <s v="Indépendant"/>
    <s v="Casque Pro"/>
    <s v="Électronique"/>
    <s v="Standard"/>
    <s v="Agence Kolwezi 1"/>
    <s v="Kolwezi"/>
    <s v="Commercial 016"/>
    <n v="36"/>
    <x v="0"/>
    <n v="24"/>
    <n v="6.2"/>
    <n v="4"/>
    <s v="WhatsApp"/>
    <n v="47.45"/>
    <n v="260"/>
    <n v="0"/>
    <n v="260"/>
    <n v="189.8"/>
    <n v="70.199999999999989"/>
    <n v="0.26999999999999996"/>
    <n v="2025"/>
    <n v="1"/>
    <s v="2025-01"/>
    <s v="T1"/>
    <s v="30-39"/>
    <s v="moyen"/>
    <s v="Moyen"/>
    <s v="Faible"/>
  </r>
  <r>
    <s v="TX0000853"/>
    <d v="2025-03-05T00:00:00"/>
    <s v="CLI00416"/>
    <s v="PRD009"/>
    <s v="AG006"/>
    <s v="COM035"/>
    <n v="4"/>
    <n v="22"/>
    <n v="0.05"/>
    <s v="Virement"/>
    <s v="Validée"/>
    <s v="Client 00416"/>
    <s v="Matadi"/>
    <s v="PME"/>
    <s v="Souris Wireless"/>
    <s v="Informatique"/>
    <s v="Entrée de gamme"/>
    <s v="Agence Kolwezi 1"/>
    <s v="Kolwezi"/>
    <s v="Commercial 035"/>
    <n v="49"/>
    <x v="0"/>
    <n v="70"/>
    <n v="3.3"/>
    <n v="9"/>
    <s v="WhatsApp"/>
    <n v="14.96"/>
    <n v="88"/>
    <n v="4.4000000000000004"/>
    <n v="83.6"/>
    <n v="59.84"/>
    <n v="23.759999999999991"/>
    <n v="0.28421052631578936"/>
    <n v="2025"/>
    <n v="3"/>
    <s v="2025-03"/>
    <s v="T1"/>
    <s v="40-49"/>
    <s v="faible"/>
    <s v="Long"/>
    <s v="Faible"/>
  </r>
  <r>
    <s v="TX0000855"/>
    <d v="2025-03-27T00:00:00"/>
    <s v="CLI00085"/>
    <s v="PRD002"/>
    <s v="AG013"/>
    <s v="COM009"/>
    <n v="1"/>
    <n v="350"/>
    <n v="0"/>
    <s v="Carte"/>
    <s v="Validée"/>
    <s v="Client 00085"/>
    <s v="Kolwezi"/>
    <s v="Institution"/>
    <s v="Smartphone Pro X"/>
    <s v="Électronique"/>
    <s v="Premium"/>
    <s v="Agence Kinshasa 3"/>
    <s v="Kinshasa"/>
    <s v="Commercial 009"/>
    <n v="46"/>
    <x v="0"/>
    <n v="66"/>
    <n v="7.6"/>
    <n v="2"/>
    <s v="Téléphone"/>
    <n v="213.5"/>
    <n v="350"/>
    <n v="0"/>
    <n v="350"/>
    <n v="213.5"/>
    <n v="136.5"/>
    <n v="0.39"/>
    <n v="2025"/>
    <n v="3"/>
    <s v="2025-03"/>
    <s v="T1"/>
    <s v="40-49"/>
    <s v="bon"/>
    <s v="Rapide"/>
    <s v="Faible"/>
  </r>
  <r>
    <s v="TX0000856"/>
    <d v="2025-08-21T00:00:00"/>
    <s v="CLI01505"/>
    <s v="PRD009"/>
    <s v="AG015"/>
    <s v="COM016"/>
    <n v="1"/>
    <n v="22"/>
    <n v="0"/>
    <s v="Carte"/>
    <s v="Validée"/>
    <s v="Client 01505"/>
    <s v="Kolwezi"/>
    <s v="PME"/>
    <s v="Souris Wireless"/>
    <s v="Informatique"/>
    <s v="Entrée de gamme"/>
    <s v="Agence Goma 3"/>
    <s v="Goma"/>
    <s v="Commercial 016"/>
    <n v="27"/>
    <x v="1"/>
    <n v="21"/>
    <n v="4.5"/>
    <n v="7"/>
    <s v="Téléphone"/>
    <n v="14.96"/>
    <n v="22"/>
    <n v="0"/>
    <n v="22"/>
    <n v="14.96"/>
    <n v="7.0399999999999991"/>
    <n v="0.31999999999999995"/>
    <n v="2025"/>
    <n v="8"/>
    <s v="2025-08"/>
    <s v="T3"/>
    <s v="22-29"/>
    <s v="faible"/>
    <s v="Long"/>
    <s v="Faible"/>
  </r>
  <r>
    <s v="TX0000857"/>
    <d v="2025-01-01T00:00:00"/>
    <s v="CLI00174"/>
    <s v="PRD003"/>
    <s v="AG013"/>
    <s v="COM009"/>
    <n v="2"/>
    <n v="780"/>
    <n v="0.05"/>
    <s v="Mobile Money"/>
    <s v="Validée"/>
    <s v="Client 00174"/>
    <s v="Matadi"/>
    <s v="Institution"/>
    <s v="Laptop Business 14"/>
    <s v="Informatique"/>
    <s v="Premium"/>
    <s v="Agence Kinshasa 3"/>
    <s v="Kinshasa"/>
    <s v="Commercial 009"/>
    <n v="49"/>
    <x v="1"/>
    <n v="57"/>
    <n v="5.6"/>
    <n v="7"/>
    <s v="Magasin"/>
    <n v="468"/>
    <n v="1560"/>
    <n v="78"/>
    <n v="1482"/>
    <n v="936"/>
    <n v="546"/>
    <n v="0.36842105263157893"/>
    <n v="2025"/>
    <n v="1"/>
    <s v="2025-01"/>
    <s v="T1"/>
    <s v="40-49"/>
    <s v="moyen"/>
    <s v="Long"/>
    <s v="Elevée"/>
  </r>
  <r>
    <s v="TX0000858"/>
    <d v="2025-11-28T00:00:00"/>
    <s v="CLI01618"/>
    <s v="PRD013"/>
    <s v="AG017"/>
    <s v="COM030"/>
    <n v="10"/>
    <n v="110"/>
    <n v="0"/>
    <s v="Mobile Money"/>
    <s v="Validée"/>
    <s v="Client 01618"/>
    <s v="Matadi"/>
    <s v="Grande entreprise"/>
    <s v="Disque SSD 1TB"/>
    <s v="Informatique"/>
    <s v="Premium"/>
    <s v="Agence Matadi 3"/>
    <s v="Matadi"/>
    <s v="Commercial 030"/>
    <n v="34"/>
    <x v="1"/>
    <n v="15"/>
    <n v="5.7"/>
    <n v="6"/>
    <s v="WhatsApp"/>
    <n v="72.599999999999994"/>
    <n v="1100"/>
    <n v="0"/>
    <n v="1100"/>
    <n v="726"/>
    <n v="374"/>
    <n v="0.34"/>
    <n v="2025"/>
    <n v="11"/>
    <s v="2025-11"/>
    <s v="T4"/>
    <s v="30-39"/>
    <s v="moyen"/>
    <s v="Moyen"/>
    <s v="Elevée"/>
  </r>
  <r>
    <s v="TX0000859"/>
    <d v="2025-09-13T00:00:00"/>
    <s v="CLI02145"/>
    <s v="PRD014"/>
    <s v="AG006"/>
    <s v="COM033"/>
    <n v="1"/>
    <n v="65"/>
    <n v="0"/>
    <s v="Carte"/>
    <s v="Validée"/>
    <s v="Client 02145"/>
    <s v="Kolwezi"/>
    <s v="Institution"/>
    <s v="Casque Pro"/>
    <s v="Électronique"/>
    <s v="Standard"/>
    <s v="Agence Kolwezi 1"/>
    <s v="Kolwezi"/>
    <s v="Commercial 033"/>
    <n v="45"/>
    <x v="1"/>
    <n v="7"/>
    <n v="8"/>
    <n v="1"/>
    <s v="Téléphone"/>
    <n v="47.45"/>
    <n v="65"/>
    <n v="0"/>
    <n v="65"/>
    <n v="47.45"/>
    <n v="17.549999999999997"/>
    <n v="0.26999999999999996"/>
    <n v="2025"/>
    <n v="9"/>
    <s v="2025-09"/>
    <s v="T3"/>
    <s v="40-49"/>
    <s v="bon"/>
    <s v="Rapide"/>
    <s v="Faible"/>
  </r>
  <r>
    <s v="TX0000860"/>
    <d v="2025-07-31T00:00:00"/>
    <s v="CLI01506"/>
    <s v="PRD010"/>
    <s v="AG004"/>
    <s v="COM039"/>
    <n v="2"/>
    <n v="95"/>
    <n v="0"/>
    <s v="Virement"/>
    <s v="Validée"/>
    <s v="Client 01506"/>
    <s v="Kolwezi"/>
    <s v="ONG"/>
    <s v="Routeur Business"/>
    <s v="Réseau"/>
    <s v="Standard"/>
    <s v="Agence Kisangani 1"/>
    <s v="Kisangani"/>
    <s v="Commercial 039"/>
    <n v="44"/>
    <x v="0"/>
    <n v="59"/>
    <n v="4.8"/>
    <n v="8"/>
    <s v="Téléphone"/>
    <n v="70.3"/>
    <n v="190"/>
    <n v="0"/>
    <n v="190"/>
    <n v="140.6"/>
    <n v="49.400000000000006"/>
    <n v="0.26"/>
    <n v="2025"/>
    <n v="7"/>
    <s v="2025-07"/>
    <s v="T3"/>
    <s v="40-49"/>
    <s v="faible"/>
    <s v="Long"/>
    <s v="Faible"/>
  </r>
  <r>
    <s v="TX0000861"/>
    <d v="2025-08-11T00:00:00"/>
    <s v="CLI01996"/>
    <s v="PRD007"/>
    <s v="AG001"/>
    <s v="COM014"/>
    <n v="4"/>
    <n v="145"/>
    <n v="0.1"/>
    <s v="Carte"/>
    <s v="Validée"/>
    <s v="Client 01996"/>
    <s v="Lubumbashi"/>
    <s v="Institution"/>
    <s v="Écran 24 pouces"/>
    <s v="Informatique"/>
    <s v="Standard"/>
    <s v="Agence Kinshasa 1"/>
    <s v="Kinshasa"/>
    <s v="Commercial 014"/>
    <n v="43"/>
    <x v="0"/>
    <n v="56"/>
    <n v="5"/>
    <n v="8"/>
    <s v="WhatsApp"/>
    <n v="97.15"/>
    <n v="580"/>
    <n v="58"/>
    <n v="522"/>
    <n v="388.6"/>
    <n v="133.39999999999998"/>
    <n v="0.25555555555555554"/>
    <n v="2025"/>
    <n v="8"/>
    <s v="2025-08"/>
    <s v="T3"/>
    <s v="40-49"/>
    <s v="moyen"/>
    <s v="Long"/>
    <s v="Moyenne"/>
  </r>
  <r>
    <s v="TX0000862"/>
    <d v="2025-03-14T00:00:00"/>
    <s v="CLI00573"/>
    <s v="PRD010"/>
    <s v="AG013"/>
    <s v="COM016"/>
    <n v="1"/>
    <n v="95"/>
    <n v="0"/>
    <s v="Mobile Money"/>
    <s v="Validée"/>
    <s v="Client 00573"/>
    <s v="Goma"/>
    <s v="Institution"/>
    <s v="Routeur Business"/>
    <s v="Réseau"/>
    <s v="Standard"/>
    <s v="Agence Kinshasa 3"/>
    <s v="Kinshasa"/>
    <s v="Commercial 016"/>
    <n v="50"/>
    <x v="1"/>
    <n v="46"/>
    <n v="4.8"/>
    <n v="8"/>
    <s v="Magasin"/>
    <n v="70.3"/>
    <n v="95"/>
    <n v="0"/>
    <n v="95"/>
    <n v="70.3"/>
    <n v="24.700000000000003"/>
    <n v="0.26"/>
    <n v="2025"/>
    <n v="3"/>
    <s v="2025-03"/>
    <s v="T1"/>
    <s v="50+"/>
    <s v="faible"/>
    <s v="Long"/>
    <s v="Faible"/>
  </r>
  <r>
    <s v="TX0000863"/>
    <d v="2025-04-15T00:00:00"/>
    <s v="CLI01636"/>
    <s v="PRD015"/>
    <s v="AG015"/>
    <s v="COM024"/>
    <n v="2"/>
    <n v="48"/>
    <n v="0.02"/>
    <s v="Cash"/>
    <s v="Validée"/>
    <s v="Client 01636"/>
    <s v="Matadi"/>
    <s v="PME"/>
    <s v="Webcam HD"/>
    <s v="Électronique"/>
    <s v="Entrée de gamme"/>
    <s v="Agence Goma 3"/>
    <s v="Goma"/>
    <s v="Commercial 024"/>
    <n v="27"/>
    <x v="0"/>
    <n v="47"/>
    <n v="8.6"/>
    <n v="1"/>
    <s v="WhatsApp"/>
    <n v="37.44"/>
    <n v="96"/>
    <n v="1.92"/>
    <n v="94.08"/>
    <n v="74.88"/>
    <n v="19.200000000000003"/>
    <n v="0.20408163265306126"/>
    <n v="2025"/>
    <n v="4"/>
    <s v="2025-04"/>
    <s v="T2"/>
    <s v="22-29"/>
    <s v="bon"/>
    <s v="Rapide"/>
    <s v="Faible"/>
  </r>
  <r>
    <s v="TX0000864"/>
    <d v="2025-01-28T00:00:00"/>
    <s v="CLI00597"/>
    <s v="PRD004"/>
    <s v="AG010"/>
    <s v="COM024"/>
    <n v="2"/>
    <n v="520"/>
    <n v="0.02"/>
    <s v="Mobile Money"/>
    <s v="Validée"/>
    <s v="Client 00597"/>
    <s v="Kolwezi"/>
    <s v="Grande entreprise"/>
    <s v="Laptop Essential 15"/>
    <s v="Informatique"/>
    <s v="Standard"/>
    <s v="Agence Kisangani 2"/>
    <s v="Kisangani"/>
    <s v="Commercial 024"/>
    <n v="54"/>
    <x v="1"/>
    <n v="5"/>
    <n v="6.9"/>
    <n v="4"/>
    <s v="WhatsApp"/>
    <n v="348.4"/>
    <n v="1040"/>
    <n v="20.8"/>
    <n v="1019.2"/>
    <n v="696.8"/>
    <n v="322.40000000000009"/>
    <n v="0.31632653061224497"/>
    <n v="2025"/>
    <n v="1"/>
    <s v="2025-01"/>
    <s v="T1"/>
    <s v="50+"/>
    <s v="moyen"/>
    <s v="Moyen"/>
    <s v="Elevée"/>
  </r>
  <r>
    <s v="TX0000865"/>
    <d v="2025-09-02T00:00:00"/>
    <s v="CLI01205"/>
    <s v="PRD012"/>
    <s v="AG017"/>
    <s v="COM036"/>
    <n v="1"/>
    <n v="180"/>
    <n v="0.1"/>
    <s v="Mobile Money"/>
    <s v="Validée"/>
    <s v="Client 01205"/>
    <s v="Lubumbashi"/>
    <s v="Grande entreprise"/>
    <s v="Onduleur 1200VA"/>
    <s v="Énergie"/>
    <s v="Standard"/>
    <s v="Agence Matadi 3"/>
    <s v="Matadi"/>
    <s v="Commercial 036"/>
    <n v="57"/>
    <x v="1"/>
    <n v="41"/>
    <n v="8.1"/>
    <n v="3"/>
    <s v="WhatsApp"/>
    <n v="129.6"/>
    <n v="180"/>
    <n v="18"/>
    <n v="162"/>
    <n v="129.6"/>
    <n v="32.400000000000006"/>
    <n v="0.20000000000000004"/>
    <n v="2025"/>
    <n v="9"/>
    <s v="2025-09"/>
    <s v="T3"/>
    <s v="50+"/>
    <s v="bon"/>
    <s v="Rapide"/>
    <s v="Faible"/>
  </r>
  <r>
    <s v="TX0000866"/>
    <d v="2025-09-17T00:00:00"/>
    <s v="CLI01358"/>
    <s v="PRD007"/>
    <s v="AG010"/>
    <s v="COM060"/>
    <n v="1"/>
    <n v="145"/>
    <n v="0"/>
    <s v="Carte"/>
    <s v="Validée"/>
    <s v="Client 01358"/>
    <s v="Goma"/>
    <s v="Grande entreprise"/>
    <s v="Écran 24 pouces"/>
    <s v="Informatique"/>
    <s v="Standard"/>
    <s v="Agence Kisangani 2"/>
    <s v="Kisangani"/>
    <s v="Commercial 060"/>
    <n v="26"/>
    <x v="0"/>
    <n v="63"/>
    <n v="9.1"/>
    <n v="1"/>
    <s v="Téléphone"/>
    <n v="97.15"/>
    <n v="145"/>
    <n v="0"/>
    <n v="145"/>
    <n v="97.15"/>
    <n v="47.849999999999994"/>
    <n v="0.32999999999999996"/>
    <n v="2025"/>
    <n v="9"/>
    <s v="2025-09"/>
    <s v="T3"/>
    <s v="22-29"/>
    <s v="excellent"/>
    <s v="Rapide"/>
    <s v="Faible"/>
  </r>
  <r>
    <s v="TX0000867"/>
    <d v="2025-04-22T00:00:00"/>
    <s v="CLI01105"/>
    <s v="PRD002"/>
    <s v="AG001"/>
    <s v="COM033"/>
    <n v="3"/>
    <n v="350"/>
    <n v="0"/>
    <s v="Cash"/>
    <s v="Validée"/>
    <s v="Client 01105"/>
    <s v="Kolwezi"/>
    <s v="PME"/>
    <s v="Smartphone Pro X"/>
    <s v="Électronique"/>
    <s v="Premium"/>
    <s v="Agence Kinshasa 1"/>
    <s v="Kinshasa"/>
    <s v="Commercial 033"/>
    <n v="48"/>
    <x v="0"/>
    <n v="4"/>
    <n v="5.6"/>
    <n v="5"/>
    <s v="Web"/>
    <n v="213.5"/>
    <n v="1050"/>
    <n v="0"/>
    <n v="1050"/>
    <n v="640.5"/>
    <n v="409.5"/>
    <n v="0.39"/>
    <n v="2025"/>
    <n v="4"/>
    <s v="2025-04"/>
    <s v="T2"/>
    <s v="40-49"/>
    <s v="moyen"/>
    <s v="Moyen"/>
    <s v="Elevée"/>
  </r>
  <r>
    <s v="TX0000868"/>
    <d v="2025-06-17T00:00:00"/>
    <s v="CLI01369"/>
    <s v="PRD015"/>
    <s v="AG012"/>
    <s v="COM040"/>
    <n v="2"/>
    <n v="48"/>
    <n v="0"/>
    <s v="Cash"/>
    <s v="Validée"/>
    <s v="Client 01369"/>
    <s v="Kisangani"/>
    <s v="Grande entreprise"/>
    <s v="Webcam HD"/>
    <s v="Électronique"/>
    <s v="Entrée de gamme"/>
    <s v="Agence Kolwezi 2"/>
    <s v="Kolwezi"/>
    <s v="Commercial 040"/>
    <n v="57"/>
    <x v="0"/>
    <n v="12"/>
    <n v="7.4"/>
    <n v="2"/>
    <s v="Téléphone"/>
    <n v="37.44"/>
    <n v="96"/>
    <n v="0"/>
    <n v="96"/>
    <n v="74.88"/>
    <n v="21.120000000000005"/>
    <n v="0.22000000000000006"/>
    <n v="2025"/>
    <n v="6"/>
    <s v="2025-06"/>
    <s v="T2"/>
    <s v="50+"/>
    <s v="bon"/>
    <s v="Rapide"/>
    <s v="Faible"/>
  </r>
  <r>
    <s v="TX0000870"/>
    <d v="2025-08-14T00:00:00"/>
    <s v="CLI00629"/>
    <s v="PRD013"/>
    <s v="AG011"/>
    <s v="COM043"/>
    <n v="4"/>
    <n v="110"/>
    <n v="0.08"/>
    <s v="Virement"/>
    <s v="Validée"/>
    <s v="Client 00629"/>
    <s v="Kinshasa"/>
    <s v="ONG"/>
    <s v="Disque SSD 1TB"/>
    <s v="Informatique"/>
    <s v="Premium"/>
    <s v="Agence Matadi 2"/>
    <s v="Matadi"/>
    <s v="Commercial 043"/>
    <n v="52"/>
    <x v="0"/>
    <n v="53"/>
    <n v="3.9"/>
    <n v="8"/>
    <s v="Web"/>
    <n v="72.599999999999994"/>
    <n v="440"/>
    <n v="35.200000000000003"/>
    <n v="404.8"/>
    <n v="290.39999999999998"/>
    <n v="114.40000000000003"/>
    <n v="0.282608695652174"/>
    <n v="2025"/>
    <n v="8"/>
    <s v="2025-08"/>
    <s v="T3"/>
    <s v="50+"/>
    <s v="faible"/>
    <s v="Long"/>
    <s v="Faible"/>
  </r>
  <r>
    <s v="TX0000871"/>
    <d v="2025-07-21T00:00:00"/>
    <s v="CLI00805"/>
    <s v="PRD003"/>
    <s v="AG013"/>
    <s v="COM018"/>
    <n v="1"/>
    <n v="780"/>
    <n v="0"/>
    <s v="Virement"/>
    <s v="Validée"/>
    <s v="Client 00805"/>
    <s v="Goma"/>
    <s v="Grande entreprise"/>
    <s v="Laptop Business 14"/>
    <s v="Informatique"/>
    <s v="Premium"/>
    <s v="Agence Kinshasa 3"/>
    <s v="Kinshasa"/>
    <s v="Commercial 018"/>
    <n v="52"/>
    <x v="0"/>
    <n v="8"/>
    <n v="5.7"/>
    <n v="6"/>
    <s v="Téléphone"/>
    <n v="468"/>
    <n v="780"/>
    <n v="0"/>
    <n v="780"/>
    <n v="468"/>
    <n v="312"/>
    <n v="0.4"/>
    <n v="2025"/>
    <n v="7"/>
    <s v="2025-07"/>
    <s v="T3"/>
    <s v="50+"/>
    <s v="moyen"/>
    <s v="Moyen"/>
    <s v="Moyenne"/>
  </r>
  <r>
    <s v="TX0000872"/>
    <d v="2025-04-10T00:00:00"/>
    <s v="CLI00545"/>
    <s v="PRD007"/>
    <s v="AG014"/>
    <s v="COM037"/>
    <n v="2"/>
    <n v="145"/>
    <n v="0.1"/>
    <s v="Carte"/>
    <s v="Validée"/>
    <s v="Client 00545"/>
    <s v="Matadi"/>
    <s v="ONG"/>
    <s v="Écran 24 pouces"/>
    <s v="Informatique"/>
    <s v="Standard"/>
    <s v="Agence Lubumbashi 3"/>
    <s v="Lubumbashi"/>
    <s v="Commercial 037"/>
    <n v="34"/>
    <x v="1"/>
    <n v="54"/>
    <n v="8.6999999999999993"/>
    <n v="2"/>
    <s v="Téléphone"/>
    <n v="97.15"/>
    <n v="290"/>
    <n v="29"/>
    <n v="261"/>
    <n v="194.3"/>
    <n v="66.699999999999989"/>
    <n v="0.25555555555555554"/>
    <n v="2025"/>
    <n v="4"/>
    <s v="2025-04"/>
    <s v="T2"/>
    <s v="30-39"/>
    <s v="bon"/>
    <s v="Rapide"/>
    <s v="Faible"/>
  </r>
  <r>
    <s v="TX0000873"/>
    <d v="2025-03-25T00:00:00"/>
    <s v="CLI01046"/>
    <s v="PRD007"/>
    <s v="AG001"/>
    <s v="COM005"/>
    <n v="5"/>
    <n v="145"/>
    <n v="0"/>
    <s v="Mobile Money"/>
    <s v="Validée"/>
    <s v="Client 01046"/>
    <s v="Kinshasa"/>
    <s v="Institution"/>
    <s v="Écran 24 pouces"/>
    <s v="Informatique"/>
    <s v="Standard"/>
    <s v="Agence Kinshasa 1"/>
    <s v="Kinshasa"/>
    <s v="Commercial 005"/>
    <n v="46"/>
    <x v="1"/>
    <n v="10"/>
    <n v="3.8"/>
    <n v="9"/>
    <s v="Magasin"/>
    <n v="97.15"/>
    <n v="725"/>
    <n v="0"/>
    <n v="725"/>
    <n v="485.75"/>
    <n v="239.25"/>
    <n v="0.33"/>
    <n v="2025"/>
    <n v="3"/>
    <s v="2025-03"/>
    <s v="T1"/>
    <s v="40-49"/>
    <s v="faible"/>
    <s v="Long"/>
    <s v="Moyenne"/>
  </r>
  <r>
    <s v="TX0000874"/>
    <d v="2025-12-11T00:00:00"/>
    <s v="CLI00898"/>
    <s v="PRD015"/>
    <s v="AG006"/>
    <s v="COM060"/>
    <n v="2"/>
    <n v="48"/>
    <n v="0"/>
    <s v="Mobile Money"/>
    <s v="Validée"/>
    <s v="Client 00898"/>
    <s v="Lubumbashi"/>
    <s v="Institution"/>
    <s v="Webcam HD"/>
    <s v="Électronique"/>
    <s v="Entrée de gamme"/>
    <s v="Agence Kolwezi 1"/>
    <s v="Kolwezi"/>
    <s v="Commercial 060"/>
    <n v="40"/>
    <x v="1"/>
    <n v="44"/>
    <n v="3.3"/>
    <n v="9"/>
    <s v="Magasin"/>
    <n v="37.44"/>
    <n v="96"/>
    <n v="0"/>
    <n v="96"/>
    <n v="74.88"/>
    <n v="21.120000000000005"/>
    <n v="0.22000000000000006"/>
    <n v="2025"/>
    <n v="12"/>
    <s v="2025-12"/>
    <s v="T4"/>
    <s v="40-49"/>
    <s v="faible"/>
    <s v="Long"/>
    <s v="Faible"/>
  </r>
  <r>
    <s v="TX0000875"/>
    <d v="2025-10-23T00:00:00"/>
    <s v="CLI01404"/>
    <s v="PRD012"/>
    <s v="AG016"/>
    <s v="COM017"/>
    <n v="3"/>
    <n v="180"/>
    <n v="0.1"/>
    <s v="Virement"/>
    <s v="Validée"/>
    <s v="Client 01404"/>
    <s v="Goma"/>
    <s v="Institution"/>
    <s v="Onduleur 1200VA"/>
    <s v="Énergie"/>
    <s v="Standard"/>
    <s v="Agence Kisangani 3"/>
    <s v="Kisangani"/>
    <s v="Commercial 017"/>
    <n v="46"/>
    <x v="1"/>
    <n v="51"/>
    <n v="5.6"/>
    <n v="5"/>
    <s v="Magasin"/>
    <n v="129.6"/>
    <n v="540"/>
    <n v="54"/>
    <n v="486"/>
    <n v="388.79999999999995"/>
    <n v="97.200000000000045"/>
    <n v="0.20000000000000009"/>
    <n v="2025"/>
    <n v="10"/>
    <s v="2025-10"/>
    <s v="T4"/>
    <s v="40-49"/>
    <s v="moyen"/>
    <s v="Moyen"/>
    <s v="Faible"/>
  </r>
  <r>
    <s v="TX0000876"/>
    <d v="2025-05-23T00:00:00"/>
    <s v="CLI01338"/>
    <s v="PRD005"/>
    <s v="AG017"/>
    <s v="COM044"/>
    <n v="4"/>
    <n v="260"/>
    <n v="0.1"/>
    <s v="Carte"/>
    <s v="Validée"/>
    <s v="Client 01338"/>
    <s v="Kisangani"/>
    <s v="Indépendant"/>
    <s v="Tablette T10"/>
    <s v="Électronique"/>
    <s v="Standard"/>
    <s v="Agence Matadi 3"/>
    <s v="Matadi"/>
    <s v="Commercial 044"/>
    <n v="58"/>
    <x v="0"/>
    <n v="12"/>
    <n v="7.4"/>
    <n v="2"/>
    <s v="Web"/>
    <n v="189.8"/>
    <n v="1040"/>
    <n v="104"/>
    <n v="936"/>
    <n v="759.2"/>
    <n v="176.79999999999995"/>
    <n v="0.18888888888888883"/>
    <n v="2025"/>
    <n v="5"/>
    <s v="2025-05"/>
    <s v="T2"/>
    <s v="50+"/>
    <s v="bon"/>
    <s v="Rapide"/>
    <s v="Moyenne"/>
  </r>
  <r>
    <s v="TX0000878"/>
    <d v="2025-05-12T00:00:00"/>
    <s v="CLI01658"/>
    <s v="PRD002"/>
    <s v="AG010"/>
    <s v="COM052"/>
    <n v="1"/>
    <n v="350"/>
    <n v="0"/>
    <s v="Carte"/>
    <s v="Validée"/>
    <s v="Client 01658"/>
    <s v="Kisangani"/>
    <s v="ONG"/>
    <s v="Smartphone Pro X"/>
    <s v="Électronique"/>
    <s v="Premium"/>
    <s v="Agence Kisangani 2"/>
    <s v="Kisangani"/>
    <s v="Commercial 052"/>
    <n v="46"/>
    <x v="0"/>
    <n v="6"/>
    <n v="6.7"/>
    <n v="4"/>
    <s v="Magasin"/>
    <n v="213.5"/>
    <n v="350"/>
    <n v="0"/>
    <n v="350"/>
    <n v="213.5"/>
    <n v="136.5"/>
    <n v="0.39"/>
    <n v="2025"/>
    <n v="5"/>
    <s v="2025-05"/>
    <s v="T2"/>
    <s v="40-49"/>
    <s v="moyen"/>
    <s v="Moyen"/>
    <s v="Faible"/>
  </r>
  <r>
    <s v="TX0000879"/>
    <d v="2025-03-20T00:00:00"/>
    <s v="CLI00897"/>
    <s v="PRD008"/>
    <s v="AG015"/>
    <s v="COM058"/>
    <n v="6"/>
    <n v="35"/>
    <n v="0.08"/>
    <s v="Virement"/>
    <s v="Validée"/>
    <s v="Client 00897"/>
    <s v="Kolwezi"/>
    <s v="ONG"/>
    <s v="Clavier Pro"/>
    <s v="Informatique"/>
    <s v="Entrée de gamme"/>
    <s v="Agence Goma 3"/>
    <s v="Goma"/>
    <s v="Commercial 058"/>
    <n v="46"/>
    <x v="1"/>
    <n v="20"/>
    <n v="3.1"/>
    <n v="9"/>
    <s v="Magasin"/>
    <n v="24.15"/>
    <n v="210"/>
    <n v="16.8"/>
    <n v="193.2"/>
    <n v="144.89999999999998"/>
    <n v="48.300000000000011"/>
    <n v="0.25000000000000006"/>
    <n v="2025"/>
    <n v="3"/>
    <s v="2025-03"/>
    <s v="T1"/>
    <s v="40-49"/>
    <s v="faible"/>
    <s v="Long"/>
    <s v="Faible"/>
  </r>
  <r>
    <s v="TX0000881"/>
    <d v="2025-07-27T00:00:00"/>
    <s v="CLI00272"/>
    <s v="PRD011"/>
    <s v="AG002"/>
    <s v="COM028"/>
    <n v="4"/>
    <n v="240"/>
    <n v="0"/>
    <s v="Mobile Money"/>
    <s v="Validée"/>
    <s v="Client 00272"/>
    <s v="Goma"/>
    <s v="Institution"/>
    <s v="Switch 24 Ports"/>
    <s v="Réseau"/>
    <s v="Premium"/>
    <s v="Agence Lubumbashi 1"/>
    <s v="Lubumbashi"/>
    <s v="Commercial 028"/>
    <n v="40"/>
    <x v="1"/>
    <n v="8"/>
    <n v="7.7"/>
    <n v="3"/>
    <s v="Magasin"/>
    <n v="177.6"/>
    <n v="960"/>
    <n v="0"/>
    <n v="960"/>
    <n v="710.4"/>
    <n v="249.60000000000002"/>
    <n v="0.26"/>
    <n v="2025"/>
    <n v="7"/>
    <s v="2025-07"/>
    <s v="T3"/>
    <s v="40-49"/>
    <s v="bon"/>
    <s v="Rapide"/>
    <s v="Moyenne"/>
  </r>
  <r>
    <s v="TX0000882"/>
    <d v="2025-06-07T00:00:00"/>
    <s v="CLI00126"/>
    <s v="PRD011"/>
    <s v="AG012"/>
    <s v="COM008"/>
    <n v="1"/>
    <n v="240"/>
    <n v="0.02"/>
    <s v="Mobile Money"/>
    <s v="Validée"/>
    <s v="Client 00126"/>
    <s v="Lubumbashi"/>
    <s v="PME"/>
    <s v="Switch 24 Ports"/>
    <s v="Réseau"/>
    <s v="Premium"/>
    <s v="Agence Kolwezi 2"/>
    <s v="Kolwezi"/>
    <s v="Commercial 008"/>
    <n v="60"/>
    <x v="0"/>
    <n v="53"/>
    <n v="5.8"/>
    <n v="6"/>
    <s v="Magasin"/>
    <n v="177.6"/>
    <n v="240"/>
    <n v="4.8"/>
    <n v="235.2"/>
    <n v="177.6"/>
    <n v="57.599999999999994"/>
    <n v="0.24489795918367346"/>
    <n v="2025"/>
    <n v="6"/>
    <s v="2025-06"/>
    <s v="T2"/>
    <s v="50+"/>
    <s v="moyen"/>
    <s v="Moyen"/>
    <s v="Faible"/>
  </r>
  <r>
    <s v="TX0000883"/>
    <d v="2025-05-05T00:00:00"/>
    <s v="CLI01661"/>
    <s v="PRD014"/>
    <s v="AG008"/>
    <s v="COM019"/>
    <n v="3"/>
    <n v="65"/>
    <n v="0"/>
    <s v="Virement"/>
    <s v="Validée"/>
    <s v="Client 01661"/>
    <s v="Kinshasa"/>
    <s v="Institution"/>
    <s v="Casque Pro"/>
    <s v="Électronique"/>
    <s v="Standard"/>
    <s v="Agence Lubumbashi 2"/>
    <s v="Lubumbashi"/>
    <s v="Commercial 019"/>
    <n v="51"/>
    <x v="0"/>
    <n v="38"/>
    <n v="6.8"/>
    <n v="5"/>
    <s v="WhatsApp"/>
    <n v="47.45"/>
    <n v="195"/>
    <n v="0"/>
    <n v="195"/>
    <n v="142.35000000000002"/>
    <n v="52.649999999999977"/>
    <n v="0.26999999999999991"/>
    <n v="2025"/>
    <n v="5"/>
    <s v="2025-05"/>
    <s v="T2"/>
    <s v="50+"/>
    <s v="moyen"/>
    <s v="Moyen"/>
    <s v="Faible"/>
  </r>
  <r>
    <s v="TX0000884"/>
    <d v="2025-02-12T00:00:00"/>
    <s v="CLI01340"/>
    <s v="PRD013"/>
    <s v="AG003"/>
    <s v="COM007"/>
    <n v="1"/>
    <n v="110"/>
    <n v="0.08"/>
    <s v="Cash"/>
    <s v="Validée"/>
    <s v="Client 01340"/>
    <s v="Kolwezi"/>
    <s v="Grande entreprise"/>
    <s v="Disque SSD 1TB"/>
    <s v="Informatique"/>
    <s v="Premium"/>
    <s v="Agence Goma 1"/>
    <s v="Goma"/>
    <s v="Commercial 007"/>
    <n v="56"/>
    <x v="1"/>
    <n v="62"/>
    <n v="4.2"/>
    <n v="9"/>
    <s v="Web"/>
    <n v="72.599999999999994"/>
    <n v="110"/>
    <n v="8.8000000000000007"/>
    <n v="101.2"/>
    <n v="72.599999999999994"/>
    <n v="28.600000000000009"/>
    <n v="0.282608695652174"/>
    <n v="2025"/>
    <n v="2"/>
    <s v="2025-02"/>
    <s v="T1"/>
    <s v="50+"/>
    <s v="faible"/>
    <s v="Long"/>
    <s v="Faible"/>
  </r>
  <r>
    <s v="TX0000885"/>
    <d v="2025-12-24T00:00:00"/>
    <s v="CLI01756"/>
    <s v="PRD016"/>
    <s v="AG003"/>
    <s v="COM060"/>
    <n v="3"/>
    <n v="420"/>
    <n v="0"/>
    <s v="Cash"/>
    <s v="Validée"/>
    <s v="Client 01756"/>
    <s v="Kisangani"/>
    <s v="PME"/>
    <s v="Projecteur HD"/>
    <s v="Bureautique"/>
    <s v="Premium"/>
    <s v="Agence Goma 1"/>
    <s v="Goma"/>
    <s v="Commercial 060"/>
    <n v="46"/>
    <x v="0"/>
    <n v="36"/>
    <n v="4.0999999999999996"/>
    <n v="7"/>
    <s v="Magasin"/>
    <n v="273"/>
    <n v="1260"/>
    <n v="0"/>
    <n v="1260"/>
    <n v="819"/>
    <n v="441"/>
    <n v="0.35"/>
    <n v="2025"/>
    <n v="12"/>
    <s v="2025-12"/>
    <s v="T4"/>
    <s v="40-49"/>
    <s v="faible"/>
    <s v="Long"/>
    <s v="Elevée"/>
  </r>
  <r>
    <s v="TX0000886"/>
    <d v="2025-07-07T00:00:00"/>
    <s v="CLI00134"/>
    <s v="PRD005"/>
    <s v="AG010"/>
    <s v="COM054"/>
    <n v="3"/>
    <n v="260"/>
    <n v="0.1"/>
    <s v="Virement"/>
    <s v="Validée"/>
    <s v="Client 00134"/>
    <s v="Matadi"/>
    <s v="Institution"/>
    <s v="Tablette T10"/>
    <s v="Électronique"/>
    <s v="Standard"/>
    <s v="Agence Kisangani 2"/>
    <s v="Kisangani"/>
    <s v="Commercial 054"/>
    <n v="22"/>
    <x v="0"/>
    <n v="36"/>
    <n v="9.3000000000000007"/>
    <n v="1"/>
    <s v="WhatsApp"/>
    <n v="189.8"/>
    <n v="780"/>
    <n v="78"/>
    <n v="702"/>
    <n v="569.40000000000009"/>
    <n v="132.59999999999991"/>
    <n v="0.18888888888888877"/>
    <n v="2025"/>
    <n v="7"/>
    <s v="2025-07"/>
    <s v="T3"/>
    <s v="22-29"/>
    <s v="excellent"/>
    <s v="Rapide"/>
    <s v="Moyenne"/>
  </r>
  <r>
    <s v="TX0000888"/>
    <d v="2025-07-20T00:00:00"/>
    <s v="CLI00001"/>
    <s v="PRD007"/>
    <s v="AG006"/>
    <s v="COM058"/>
    <n v="5"/>
    <n v="145"/>
    <n v="0.02"/>
    <s v="Cash"/>
    <s v="Validée"/>
    <s v="Client 00001"/>
    <s v="Kolwezi"/>
    <s v="PME"/>
    <s v="Écran 24 pouces"/>
    <s v="Informatique"/>
    <s v="Standard"/>
    <s v="Agence Kolwezi 1"/>
    <s v="Kolwezi"/>
    <s v="Commercial 058"/>
    <n v="43"/>
    <x v="1"/>
    <n v="44"/>
    <n v="4.5999999999999996"/>
    <n v="8"/>
    <s v="Web"/>
    <n v="97.15"/>
    <n v="725"/>
    <n v="14.5"/>
    <n v="710.5"/>
    <n v="485.75"/>
    <n v="224.75"/>
    <n v="0.31632653061224492"/>
    <n v="2025"/>
    <n v="7"/>
    <s v="2025-07"/>
    <s v="T3"/>
    <s v="40-49"/>
    <s v="faible"/>
    <s v="Long"/>
    <s v="Moyenne"/>
  </r>
  <r>
    <s v="TX0000889"/>
    <d v="2025-02-03T00:00:00"/>
    <s v="CLI01194"/>
    <s v="PRD003"/>
    <s v="AG010"/>
    <s v="COM009"/>
    <n v="2"/>
    <n v="780"/>
    <n v="0.1"/>
    <s v="Virement"/>
    <s v="Validée"/>
    <s v="Client 01194"/>
    <s v="Kinshasa"/>
    <s v="Grande entreprise"/>
    <s v="Laptop Business 14"/>
    <s v="Informatique"/>
    <s v="Premium"/>
    <s v="Agence Kisangani 2"/>
    <s v="Kisangani"/>
    <s v="Commercial 009"/>
    <n v="50"/>
    <x v="0"/>
    <n v="15"/>
    <n v="7.2"/>
    <n v="2"/>
    <s v="Téléphone"/>
    <n v="468"/>
    <n v="1560"/>
    <n v="156"/>
    <n v="1404"/>
    <n v="936"/>
    <n v="468"/>
    <n v="0.33333333333333331"/>
    <n v="2025"/>
    <n v="2"/>
    <s v="2025-02"/>
    <s v="T1"/>
    <s v="50+"/>
    <s v="bon"/>
    <s v="Rapide"/>
    <s v="Elevée"/>
  </r>
  <r>
    <s v="TX0000890"/>
    <d v="2025-04-25T00:00:00"/>
    <s v="CLI02109"/>
    <s v="PRD004"/>
    <s v="AG016"/>
    <s v="COM039"/>
    <n v="3"/>
    <n v="520"/>
    <n v="0"/>
    <s v="Mobile Money"/>
    <s v="Validée"/>
    <s v="Client 02109"/>
    <s v="Kolwezi"/>
    <s v="PME"/>
    <s v="Laptop Essential 15"/>
    <s v="Informatique"/>
    <s v="Standard"/>
    <s v="Agence Kisangani 3"/>
    <s v="Kisangani"/>
    <s v="Commercial 039"/>
    <n v="47"/>
    <x v="0"/>
    <n v="68"/>
    <n v="6.8"/>
    <n v="3"/>
    <s v="WhatsApp"/>
    <n v="348.4"/>
    <n v="1560"/>
    <n v="0"/>
    <n v="1560"/>
    <n v="1045.1999999999998"/>
    <n v="514.80000000000018"/>
    <n v="0.33000000000000013"/>
    <n v="2025"/>
    <n v="4"/>
    <s v="2025-04"/>
    <s v="T2"/>
    <s v="40-49"/>
    <s v="moyen"/>
    <s v="Rapide"/>
    <s v="Elevée"/>
  </r>
  <r>
    <s v="TX0000891"/>
    <d v="2025-09-18T00:00:00"/>
    <s v="CLI00667"/>
    <s v="PRD016"/>
    <s v="AG015"/>
    <s v="COM023"/>
    <n v="2"/>
    <n v="420"/>
    <n v="0.08"/>
    <s v="Mobile Money"/>
    <s v="Validée"/>
    <s v="Client 00667"/>
    <s v="Kinshasa"/>
    <s v="Indépendant"/>
    <s v="Projecteur HD"/>
    <s v="Bureautique"/>
    <s v="Premium"/>
    <s v="Agence Goma 3"/>
    <s v="Goma"/>
    <s v="Commercial 023"/>
    <n v="37"/>
    <x v="1"/>
    <n v="61"/>
    <n v="7.9"/>
    <n v="3"/>
    <s v="Magasin"/>
    <n v="273"/>
    <n v="840"/>
    <n v="67.2"/>
    <n v="772.8"/>
    <n v="546"/>
    <n v="226.79999999999995"/>
    <n v="0.29347826086956519"/>
    <n v="2025"/>
    <n v="9"/>
    <s v="2025-09"/>
    <s v="T3"/>
    <s v="30-39"/>
    <s v="bon"/>
    <s v="Rapide"/>
    <s v="Moyenne"/>
  </r>
  <r>
    <s v="TX0000892"/>
    <d v="2025-05-04T00:00:00"/>
    <s v="CLI00964"/>
    <s v="PRD010"/>
    <s v="AG011"/>
    <s v="COM014"/>
    <n v="2"/>
    <n v="95"/>
    <n v="0.08"/>
    <s v="Carte"/>
    <s v="Validée"/>
    <s v="Client 00964"/>
    <s v="Matadi"/>
    <s v="Institution"/>
    <s v="Routeur Business"/>
    <s v="Réseau"/>
    <s v="Standard"/>
    <s v="Agence Matadi 2"/>
    <s v="Matadi"/>
    <s v="Commercial 014"/>
    <n v="35"/>
    <x v="0"/>
    <n v="60"/>
    <n v="7.3"/>
    <n v="3"/>
    <s v="Web"/>
    <n v="70.3"/>
    <n v="190"/>
    <n v="15.200000000000001"/>
    <n v="174.8"/>
    <n v="140.6"/>
    <n v="34.200000000000017"/>
    <n v="0.19565217391304357"/>
    <n v="2025"/>
    <n v="5"/>
    <s v="2025-05"/>
    <s v="T2"/>
    <s v="30-39"/>
    <s v="bon"/>
    <s v="Rapide"/>
    <s v="Faible"/>
  </r>
  <r>
    <s v="TX0000893"/>
    <d v="2025-08-18T00:00:00"/>
    <s v="CLI00241"/>
    <s v="PRD004"/>
    <s v="AG005"/>
    <s v="COM007"/>
    <n v="1"/>
    <n v="520"/>
    <n v="0.08"/>
    <s v="Cash"/>
    <s v="Validée"/>
    <s v="Client 00241"/>
    <s v="Kisangani"/>
    <s v="Indépendant"/>
    <s v="Laptop Essential 15"/>
    <s v="Informatique"/>
    <s v="Standard"/>
    <s v="Agence Matadi 1"/>
    <s v="Matadi"/>
    <s v="Commercial 007"/>
    <n v="51"/>
    <x v="0"/>
    <n v="46"/>
    <n v="5.6"/>
    <n v="7"/>
    <s v="Web"/>
    <n v="348.4"/>
    <n v="520"/>
    <n v="41.6"/>
    <n v="478.4"/>
    <n v="348.4"/>
    <n v="130"/>
    <n v="0.27173913043478259"/>
    <n v="2025"/>
    <n v="8"/>
    <s v="2025-08"/>
    <s v="T3"/>
    <s v="50+"/>
    <s v="moyen"/>
    <s v="Long"/>
    <s v="Faible"/>
  </r>
  <r>
    <s v="TX0000895"/>
    <d v="2025-03-22T00:00:00"/>
    <s v="CLI00860"/>
    <s v="PRD016"/>
    <s v="AG002"/>
    <s v="COM024"/>
    <n v="2"/>
    <n v="420"/>
    <n v="0"/>
    <s v="Cash"/>
    <s v="Validée"/>
    <s v="Client 00860"/>
    <s v="Lubumbashi"/>
    <s v="PME"/>
    <s v="Projecteur HD"/>
    <s v="Bureautique"/>
    <s v="Premium"/>
    <s v="Agence Lubumbashi 1"/>
    <s v="Lubumbashi"/>
    <s v="Commercial 024"/>
    <n v="48"/>
    <x v="0"/>
    <n v="63"/>
    <n v="4"/>
    <n v="9"/>
    <s v="WhatsApp"/>
    <n v="273"/>
    <n v="840"/>
    <n v="0"/>
    <n v="840"/>
    <n v="546"/>
    <n v="294"/>
    <n v="0.35"/>
    <n v="2025"/>
    <n v="3"/>
    <s v="2025-03"/>
    <s v="T1"/>
    <s v="40-49"/>
    <s v="faible"/>
    <s v="Long"/>
    <s v="Moyenne"/>
  </r>
  <r>
    <s v="TX0000896"/>
    <d v="2025-09-12T00:00:00"/>
    <s v="CLI01033"/>
    <s v="PRD013"/>
    <s v="AG006"/>
    <s v="COM053"/>
    <n v="2"/>
    <n v="110"/>
    <n v="0.02"/>
    <s v="Virement"/>
    <s v="Validée"/>
    <s v="Client 01033"/>
    <s v="Matadi"/>
    <s v="Institution"/>
    <s v="Disque SSD 1TB"/>
    <s v="Informatique"/>
    <s v="Premium"/>
    <s v="Agence Kolwezi 1"/>
    <s v="Kolwezi"/>
    <s v="Commercial 053"/>
    <n v="57"/>
    <x v="0"/>
    <n v="40"/>
    <n v="7.3"/>
    <n v="3"/>
    <s v="WhatsApp"/>
    <n v="72.599999999999994"/>
    <n v="220"/>
    <n v="4.4000000000000004"/>
    <n v="215.6"/>
    <n v="145.19999999999999"/>
    <n v="70.400000000000006"/>
    <n v="0.32653061224489799"/>
    <n v="2025"/>
    <n v="9"/>
    <s v="2025-09"/>
    <s v="T3"/>
    <s v="50+"/>
    <s v="bon"/>
    <s v="Rapide"/>
    <s v="Faible"/>
  </r>
  <r>
    <s v="TX0000897"/>
    <d v="2025-10-18T00:00:00"/>
    <s v="CLI01340"/>
    <s v="PRD014"/>
    <s v="AG011"/>
    <s v="COM059"/>
    <n v="5"/>
    <n v="65"/>
    <n v="0"/>
    <s v="Cash"/>
    <s v="Validée"/>
    <s v="Client 01340"/>
    <s v="Kolwezi"/>
    <s v="Grande entreprise"/>
    <s v="Casque Pro"/>
    <s v="Électronique"/>
    <s v="Standard"/>
    <s v="Agence Matadi 2"/>
    <s v="Matadi"/>
    <s v="Commercial 059"/>
    <n v="56"/>
    <x v="1"/>
    <n v="62"/>
    <n v="8.9"/>
    <n v="1"/>
    <s v="Téléphone"/>
    <n v="47.45"/>
    <n v="325"/>
    <n v="0"/>
    <n v="325"/>
    <n v="237.25"/>
    <n v="87.75"/>
    <n v="0.27"/>
    <n v="2025"/>
    <n v="10"/>
    <s v="2025-10"/>
    <s v="T4"/>
    <s v="50+"/>
    <s v="bon"/>
    <s v="Rapide"/>
    <s v="Faible"/>
  </r>
  <r>
    <s v="TX0000898"/>
    <d v="2025-09-07T00:00:00"/>
    <s v="CLI00673"/>
    <s v="PRD009"/>
    <s v="AG014"/>
    <s v="COM006"/>
    <n v="5"/>
    <n v="22"/>
    <n v="0"/>
    <s v="Carte"/>
    <s v="Validée"/>
    <s v="Client 00673"/>
    <s v="Kinshasa"/>
    <s v="Grande entreprise"/>
    <s v="Souris Wireless"/>
    <s v="Informatique"/>
    <s v="Entrée de gamme"/>
    <s v="Agence Lubumbashi 3"/>
    <s v="Lubumbashi"/>
    <s v="Commercial 006"/>
    <n v="24"/>
    <x v="0"/>
    <n v="60"/>
    <n v="7.6"/>
    <n v="2"/>
    <s v="Web"/>
    <n v="14.96"/>
    <n v="110"/>
    <n v="0"/>
    <n v="110"/>
    <n v="74.800000000000011"/>
    <n v="35.199999999999989"/>
    <n v="0.3199999999999999"/>
    <n v="2025"/>
    <n v="9"/>
    <s v="2025-09"/>
    <s v="T3"/>
    <s v="22-29"/>
    <s v="bon"/>
    <s v="Rapide"/>
    <s v="Faible"/>
  </r>
  <r>
    <s v="TX0000899"/>
    <d v="2025-09-11T00:00:00"/>
    <s v="CLI00575"/>
    <s v="PRD008"/>
    <s v="AG017"/>
    <s v="COM039"/>
    <n v="10"/>
    <n v="35"/>
    <n v="0"/>
    <s v="Carte"/>
    <s v="Validée"/>
    <s v="Client 00575"/>
    <s v="Kisangani"/>
    <s v="Institution"/>
    <s v="Clavier Pro"/>
    <s v="Informatique"/>
    <s v="Entrée de gamme"/>
    <s v="Agence Matadi 3"/>
    <s v="Matadi"/>
    <s v="Commercial 039"/>
    <n v="37"/>
    <x v="1"/>
    <n v="56"/>
    <n v="7.1"/>
    <n v="4"/>
    <s v="Web"/>
    <n v="24.15"/>
    <n v="350"/>
    <n v="0"/>
    <n v="350"/>
    <n v="241.5"/>
    <n v="108.5"/>
    <n v="0.31"/>
    <n v="2025"/>
    <n v="9"/>
    <s v="2025-09"/>
    <s v="T3"/>
    <s v="30-39"/>
    <s v="bon"/>
    <s v="Moyen"/>
    <s v="Faible"/>
  </r>
  <r>
    <s v="TX0000900"/>
    <d v="2025-11-11T00:00:00"/>
    <s v="CLI00038"/>
    <s v="PRD012"/>
    <s v="AG011"/>
    <s v="COM052"/>
    <n v="2"/>
    <n v="180"/>
    <n v="0"/>
    <s v="Cash"/>
    <s v="Validée"/>
    <s v="Client 00038"/>
    <s v="Matadi"/>
    <s v="Institution"/>
    <s v="Onduleur 1200VA"/>
    <s v="Énergie"/>
    <s v="Standard"/>
    <s v="Agence Matadi 2"/>
    <s v="Matadi"/>
    <s v="Commercial 052"/>
    <n v="42"/>
    <x v="0"/>
    <n v="41"/>
    <n v="3.8"/>
    <n v="9"/>
    <s v="Web"/>
    <n v="129.6"/>
    <n v="360"/>
    <n v="0"/>
    <n v="360"/>
    <n v="259.2"/>
    <n v="100.80000000000001"/>
    <n v="0.28000000000000003"/>
    <n v="2025"/>
    <n v="11"/>
    <s v="2025-11"/>
    <s v="T4"/>
    <s v="40-49"/>
    <s v="faible"/>
    <s v="Long"/>
    <s v="Faible"/>
  </r>
  <r>
    <s v="TX0000901"/>
    <d v="2025-06-20T00:00:00"/>
    <s v="CLI02053"/>
    <s v="PRD007"/>
    <s v="AG007"/>
    <s v="COM010"/>
    <n v="3"/>
    <n v="145"/>
    <n v="0.1"/>
    <s v="Virement"/>
    <s v="Validée"/>
    <s v="Client 02053"/>
    <s v="Kinshasa"/>
    <s v="Institution"/>
    <s v="Écran 24 pouces"/>
    <s v="Informatique"/>
    <s v="Standard"/>
    <s v="Agence Kinshasa 2"/>
    <s v="Kinshasa"/>
    <s v="Commercial 010"/>
    <n v="38"/>
    <x v="1"/>
    <n v="8"/>
    <n v="4.3"/>
    <n v="9"/>
    <s v="WhatsApp"/>
    <n v="97.15"/>
    <n v="435"/>
    <n v="43.5"/>
    <n v="391.5"/>
    <n v="291.45000000000005"/>
    <n v="100.04999999999995"/>
    <n v="0.25555555555555542"/>
    <n v="2025"/>
    <n v="6"/>
    <s v="2025-06"/>
    <s v="T2"/>
    <s v="30-39"/>
    <s v="faible"/>
    <s v="Long"/>
    <s v="Faible"/>
  </r>
  <r>
    <s v="TX0000902"/>
    <d v="2025-01-21T00:00:00"/>
    <s v="CLI02166"/>
    <s v="PRD007"/>
    <s v="AG014"/>
    <s v="COM050"/>
    <n v="2"/>
    <n v="145"/>
    <n v="0.08"/>
    <s v="Virement"/>
    <s v="Validée"/>
    <s v="Client 02166"/>
    <s v="Lubumbashi"/>
    <s v="Grande entreprise"/>
    <s v="Écran 24 pouces"/>
    <s v="Informatique"/>
    <s v="Standard"/>
    <s v="Agence Lubumbashi 3"/>
    <s v="Lubumbashi"/>
    <s v="Commercial 050"/>
    <n v="22"/>
    <x v="1"/>
    <n v="20"/>
    <n v="8.1"/>
    <n v="3"/>
    <s v="Magasin"/>
    <n v="97.15"/>
    <n v="290"/>
    <n v="23.2"/>
    <n v="266.8"/>
    <n v="194.3"/>
    <n v="72.5"/>
    <n v="0.27173913043478259"/>
    <n v="2025"/>
    <n v="1"/>
    <s v="2025-01"/>
    <s v="T1"/>
    <s v="22-29"/>
    <s v="bon"/>
    <s v="Rapide"/>
    <s v="Faible"/>
  </r>
  <r>
    <s v="TX0000903"/>
    <d v="2025-01-10T00:00:00"/>
    <s v="CLI01870"/>
    <s v="PRD002"/>
    <s v="AG010"/>
    <s v="COM022"/>
    <n v="2"/>
    <n v="350"/>
    <n v="0.08"/>
    <s v="Cash"/>
    <s v="Validée"/>
    <s v="Client 01870"/>
    <s v="Matadi"/>
    <s v="ONG"/>
    <s v="Smartphone Pro X"/>
    <s v="Électronique"/>
    <s v="Premium"/>
    <s v="Agence Kisangani 2"/>
    <s v="Kisangani"/>
    <s v="Commercial 022"/>
    <n v="46"/>
    <x v="0"/>
    <n v="29"/>
    <n v="4.8"/>
    <n v="8"/>
    <s v="Web"/>
    <n v="213.5"/>
    <n v="700"/>
    <n v="56"/>
    <n v="644"/>
    <n v="427"/>
    <n v="217"/>
    <n v="0.33695652173913043"/>
    <n v="2025"/>
    <n v="1"/>
    <s v="2025-01"/>
    <s v="T1"/>
    <s v="40-49"/>
    <s v="faible"/>
    <s v="Long"/>
    <s v="Moyenne"/>
  </r>
  <r>
    <s v="TX0000904"/>
    <d v="2025-06-11T00:00:00"/>
    <s v="CLI01710"/>
    <s v="PRD015"/>
    <s v="AG008"/>
    <s v="COM060"/>
    <n v="5"/>
    <n v="48"/>
    <n v="0"/>
    <s v="Mobile Money"/>
    <s v="Validée"/>
    <s v="Client 01710"/>
    <s v="Matadi"/>
    <s v="Grande entreprise"/>
    <s v="Webcam HD"/>
    <s v="Électronique"/>
    <s v="Entrée de gamme"/>
    <s v="Agence Lubumbashi 2"/>
    <s v="Lubumbashi"/>
    <s v="Commercial 060"/>
    <n v="33"/>
    <x v="1"/>
    <n v="59"/>
    <n v="7.4"/>
    <n v="2"/>
    <s v="Magasin"/>
    <n v="37.44"/>
    <n v="240"/>
    <n v="0"/>
    <n v="240"/>
    <n v="187.2"/>
    <n v="52.800000000000011"/>
    <n v="0.22000000000000006"/>
    <n v="2025"/>
    <n v="6"/>
    <s v="2025-06"/>
    <s v="T2"/>
    <s v="30-39"/>
    <s v="bon"/>
    <s v="Rapide"/>
    <s v="Faible"/>
  </r>
  <r>
    <s v="TX0000905"/>
    <d v="2025-05-16T00:00:00"/>
    <s v="CLI00159"/>
    <s v="PRD008"/>
    <s v="AG009"/>
    <s v="COM026"/>
    <n v="1"/>
    <n v="35"/>
    <n v="0"/>
    <s v="Cash"/>
    <s v="Validée"/>
    <s v="Client 00159"/>
    <s v="Kinshasa"/>
    <s v="Grande entreprise"/>
    <s v="Clavier Pro"/>
    <s v="Informatique"/>
    <s v="Entrée de gamme"/>
    <s v="Agence Goma 2"/>
    <s v="Goma"/>
    <s v="Commercial 026"/>
    <n v="32"/>
    <x v="0"/>
    <n v="3"/>
    <n v="8.6999999999999993"/>
    <n v="2"/>
    <s v="WhatsApp"/>
    <n v="24.15"/>
    <n v="35"/>
    <n v="0"/>
    <n v="35"/>
    <n v="24.15"/>
    <n v="10.850000000000001"/>
    <n v="0.31000000000000005"/>
    <n v="2025"/>
    <n v="5"/>
    <s v="2025-05"/>
    <s v="T2"/>
    <s v="30-39"/>
    <s v="bon"/>
    <s v="Rapide"/>
    <s v="Faible"/>
  </r>
  <r>
    <s v="TX0000906"/>
    <d v="2025-08-09T00:00:00"/>
    <s v="CLI01841"/>
    <s v="PRD008"/>
    <s v="AG013"/>
    <s v="COM001"/>
    <n v="1"/>
    <n v="35"/>
    <n v="0"/>
    <s v="Virement"/>
    <s v="Validée"/>
    <s v="Client 01841"/>
    <s v="Goma"/>
    <s v="Institution"/>
    <s v="Clavier Pro"/>
    <s v="Informatique"/>
    <s v="Entrée de gamme"/>
    <s v="Agence Kinshasa 3"/>
    <s v="Kinshasa"/>
    <s v="Commercial 001"/>
    <n v="30"/>
    <x v="0"/>
    <n v="17"/>
    <n v="3.1"/>
    <n v="9"/>
    <s v="Web"/>
    <n v="24.15"/>
    <n v="35"/>
    <n v="0"/>
    <n v="35"/>
    <n v="24.15"/>
    <n v="10.850000000000001"/>
    <n v="0.31000000000000005"/>
    <n v="2025"/>
    <n v="8"/>
    <s v="2025-08"/>
    <s v="T3"/>
    <s v="30-39"/>
    <s v="faible"/>
    <s v="Long"/>
    <s v="Faible"/>
  </r>
  <r>
    <s v="TX0000907"/>
    <d v="2025-11-24T00:00:00"/>
    <s v="CLI01708"/>
    <s v="PRD001"/>
    <s v="AG017"/>
    <s v="COM056"/>
    <n v="4"/>
    <n v="120"/>
    <n v="0.1"/>
    <s v="Cash"/>
    <s v="Validée"/>
    <s v="Client 01708"/>
    <s v="Kinshasa"/>
    <s v="Indépendant"/>
    <s v="Smartphone A1"/>
    <s v="Électronique"/>
    <s v="Entrée de gamme"/>
    <s v="Agence Matadi 3"/>
    <s v="Matadi"/>
    <s v="Commercial 056"/>
    <n v="35"/>
    <x v="0"/>
    <n v="65"/>
    <n v="6.9"/>
    <n v="4"/>
    <s v="Web"/>
    <n v="73.2"/>
    <n v="480"/>
    <n v="48"/>
    <n v="432"/>
    <n v="292.8"/>
    <n v="139.19999999999999"/>
    <n v="0.32222222222222219"/>
    <n v="2025"/>
    <n v="11"/>
    <s v="2025-11"/>
    <s v="T4"/>
    <s v="30-39"/>
    <s v="moyen"/>
    <s v="Moyen"/>
    <s v="Faible"/>
  </r>
  <r>
    <s v="TX0000908"/>
    <d v="2025-05-01T00:00:00"/>
    <s v="CLI00875"/>
    <s v="PRD010"/>
    <s v="AG004"/>
    <s v="COM055"/>
    <n v="6"/>
    <n v="95"/>
    <n v="0.02"/>
    <s v="Virement"/>
    <s v="Validée"/>
    <s v="Client 00875"/>
    <s v="Kinshasa"/>
    <s v="PME"/>
    <s v="Routeur Business"/>
    <s v="Réseau"/>
    <s v="Standard"/>
    <s v="Agence Kisangani 1"/>
    <s v="Kisangani"/>
    <s v="Commercial 055"/>
    <n v="42"/>
    <x v="0"/>
    <n v="45"/>
    <n v="3.8"/>
    <n v="9"/>
    <s v="WhatsApp"/>
    <n v="70.3"/>
    <n v="570"/>
    <n v="11.4"/>
    <n v="558.6"/>
    <n v="421.79999999999995"/>
    <n v="136.80000000000007"/>
    <n v="0.24489795918367357"/>
    <n v="2025"/>
    <n v="5"/>
    <s v="2025-05"/>
    <s v="T2"/>
    <s v="40-49"/>
    <s v="faible"/>
    <s v="Long"/>
    <s v="Moyenne"/>
  </r>
  <r>
    <s v="TX0000909"/>
    <d v="2025-06-18T00:00:00"/>
    <s v="CLI00821"/>
    <s v="PRD001"/>
    <s v="AG014"/>
    <s v="COM006"/>
    <n v="3"/>
    <n v="120"/>
    <n v="0.02"/>
    <s v="Cash"/>
    <s v="Validée"/>
    <s v="Client 00821"/>
    <s v="Matadi"/>
    <s v="PME"/>
    <s v="Smartphone A1"/>
    <s v="Électronique"/>
    <s v="Entrée de gamme"/>
    <s v="Agence Lubumbashi 3"/>
    <s v="Lubumbashi"/>
    <s v="Commercial 006"/>
    <n v="27"/>
    <x v="1"/>
    <n v="40"/>
    <n v="8.6999999999999993"/>
    <n v="2"/>
    <s v="Magasin"/>
    <n v="73.2"/>
    <n v="360"/>
    <n v="7.2"/>
    <n v="352.8"/>
    <n v="219.60000000000002"/>
    <n v="133.19999999999999"/>
    <n v="0.37755102040816324"/>
    <n v="2025"/>
    <n v="6"/>
    <s v="2025-06"/>
    <s v="T2"/>
    <s v="22-29"/>
    <s v="bon"/>
    <s v="Rapide"/>
    <s v="Faible"/>
  </r>
  <r>
    <s v="TX0000910"/>
    <d v="2025-05-12T00:00:00"/>
    <s v="CLI01058"/>
    <s v="PRD006"/>
    <s v="AG010"/>
    <s v="COM043"/>
    <n v="2"/>
    <n v="190"/>
    <n v="0.02"/>
    <s v="Carte"/>
    <s v="Validée"/>
    <s v="Client 01058"/>
    <s v="Lubumbashi"/>
    <s v="PME"/>
    <s v="Imprimante Office"/>
    <s v="Bureautique"/>
    <s v="Standard"/>
    <s v="Agence Kisangani 2"/>
    <s v="Kisangani"/>
    <s v="Commercial 043"/>
    <n v="26"/>
    <x v="1"/>
    <n v="68"/>
    <n v="3.8"/>
    <n v="9"/>
    <s v="Web"/>
    <n v="148.19999999999999"/>
    <n v="380"/>
    <n v="7.6000000000000005"/>
    <n v="372.4"/>
    <n v="296.39999999999998"/>
    <n v="76"/>
    <n v="0.20408163265306123"/>
    <n v="2025"/>
    <n v="5"/>
    <s v="2025-05"/>
    <s v="T2"/>
    <s v="22-29"/>
    <s v="faible"/>
    <s v="Long"/>
    <s v="Faible"/>
  </r>
  <r>
    <s v="TX0000911"/>
    <d v="2025-10-05T00:00:00"/>
    <s v="CLI01481"/>
    <s v="PRD004"/>
    <s v="AG010"/>
    <s v="COM020"/>
    <n v="3"/>
    <n v="520"/>
    <n v="0.08"/>
    <s v="Cash"/>
    <s v="Validée"/>
    <s v="Client 01481"/>
    <s v="Lubumbashi"/>
    <s v="PME"/>
    <s v="Laptop Essential 15"/>
    <s v="Informatique"/>
    <s v="Standard"/>
    <s v="Agence Kisangani 2"/>
    <s v="Kisangani"/>
    <s v="Commercial 020"/>
    <n v="53"/>
    <x v="1"/>
    <n v="30"/>
    <n v="5.9"/>
    <n v="5"/>
    <s v="Téléphone"/>
    <n v="348.4"/>
    <n v="1560"/>
    <n v="124.8"/>
    <n v="1435.2"/>
    <n v="1045.1999999999998"/>
    <n v="390.00000000000023"/>
    <n v="0.27173913043478276"/>
    <n v="2025"/>
    <n v="10"/>
    <s v="2025-10"/>
    <s v="T4"/>
    <s v="50+"/>
    <s v="moyen"/>
    <s v="Moyen"/>
    <s v="Elevée"/>
  </r>
  <r>
    <s v="TX0000913"/>
    <d v="2025-09-14T00:00:00"/>
    <s v="CLI00465"/>
    <s v="PRD015"/>
    <s v="AG011"/>
    <s v="COM008"/>
    <n v="4"/>
    <n v="48"/>
    <n v="0.1"/>
    <s v="Mobile Money"/>
    <s v="Validée"/>
    <s v="Client 00465"/>
    <s v="Goma"/>
    <s v="Indépendant"/>
    <s v="Webcam HD"/>
    <s v="Électronique"/>
    <s v="Entrée de gamme"/>
    <s v="Agence Matadi 2"/>
    <s v="Matadi"/>
    <s v="Commercial 008"/>
    <n v="35"/>
    <x v="0"/>
    <n v="38"/>
    <n v="4.5"/>
    <n v="7"/>
    <s v="Magasin"/>
    <n v="37.44"/>
    <n v="192"/>
    <n v="19.200000000000003"/>
    <n v="172.8"/>
    <n v="149.76"/>
    <n v="23.04000000000002"/>
    <n v="0.13333333333333344"/>
    <n v="2025"/>
    <n v="9"/>
    <s v="2025-09"/>
    <s v="T3"/>
    <s v="30-39"/>
    <s v="faible"/>
    <s v="Long"/>
    <s v="Faible"/>
  </r>
  <r>
    <s v="TX0000914"/>
    <d v="2025-02-17T00:00:00"/>
    <s v="CLI01972"/>
    <s v="PRD009"/>
    <s v="AG003"/>
    <s v="COM023"/>
    <n v="2"/>
    <n v="22"/>
    <n v="0.02"/>
    <s v="Carte"/>
    <s v="Validée"/>
    <s v="Client 01972"/>
    <s v="Kinshasa"/>
    <s v="Indépendant"/>
    <s v="Souris Wireless"/>
    <s v="Informatique"/>
    <s v="Entrée de gamme"/>
    <s v="Agence Goma 1"/>
    <s v="Goma"/>
    <s v="Commercial 023"/>
    <n v="25"/>
    <x v="0"/>
    <n v="67"/>
    <n v="5.7"/>
    <n v="6"/>
    <s v="WhatsApp"/>
    <n v="14.96"/>
    <n v="44"/>
    <n v="0.88"/>
    <n v="43.12"/>
    <n v="29.92"/>
    <n v="13.199999999999996"/>
    <n v="0.30612244897959173"/>
    <n v="2025"/>
    <n v="2"/>
    <s v="2025-02"/>
    <s v="T1"/>
    <s v="22-29"/>
    <s v="moyen"/>
    <s v="Moyen"/>
    <s v="Faible"/>
  </r>
  <r>
    <s v="TX0000915"/>
    <d v="2025-03-25T00:00:00"/>
    <s v="CLI01026"/>
    <s v="PRD001"/>
    <s v="AG003"/>
    <s v="COM005"/>
    <n v="1"/>
    <n v="120"/>
    <n v="0"/>
    <s v="Carte"/>
    <s v="Validée"/>
    <s v="Client 01026"/>
    <s v="Goma"/>
    <s v="ONG"/>
    <s v="Smartphone A1"/>
    <s v="Électronique"/>
    <s v="Entrée de gamme"/>
    <s v="Agence Goma 1"/>
    <s v="Goma"/>
    <s v="Commercial 005"/>
    <n v="36"/>
    <x v="0"/>
    <n v="70"/>
    <n v="7.2"/>
    <n v="2"/>
    <s v="Web"/>
    <n v="73.2"/>
    <n v="120"/>
    <n v="0"/>
    <n v="120"/>
    <n v="73.2"/>
    <n v="46.8"/>
    <n v="0.38999999999999996"/>
    <n v="2025"/>
    <n v="3"/>
    <s v="2025-03"/>
    <s v="T1"/>
    <s v="30-39"/>
    <s v="bon"/>
    <s v="Rapide"/>
    <s v="Faible"/>
  </r>
  <r>
    <s v="TX0000916"/>
    <d v="2025-07-19T00:00:00"/>
    <s v="CLI01440"/>
    <s v="PRD001"/>
    <s v="AG011"/>
    <s v="COM055"/>
    <n v="4"/>
    <n v="120"/>
    <n v="0.02"/>
    <s v="Cash"/>
    <s v="Validée"/>
    <s v="Client 01440"/>
    <s v="Matadi"/>
    <s v="PME"/>
    <s v="Smartphone A1"/>
    <s v="Électronique"/>
    <s v="Entrée de gamme"/>
    <s v="Agence Matadi 2"/>
    <s v="Matadi"/>
    <s v="Commercial 055"/>
    <n v="46"/>
    <x v="0"/>
    <n v="65"/>
    <n v="8.5"/>
    <n v="2"/>
    <s v="Web"/>
    <n v="73.2"/>
    <n v="480"/>
    <n v="9.6"/>
    <n v="470.4"/>
    <n v="292.8"/>
    <n v="177.59999999999997"/>
    <n v="0.37755102040816318"/>
    <n v="2025"/>
    <n v="7"/>
    <s v="2025-07"/>
    <s v="T3"/>
    <s v="40-49"/>
    <s v="bon"/>
    <s v="Rapide"/>
    <s v="Faible"/>
  </r>
  <r>
    <s v="TX0000918"/>
    <d v="2025-08-23T00:00:00"/>
    <s v="CLI00929"/>
    <s v="PRD016"/>
    <s v="AG018"/>
    <s v="COM050"/>
    <n v="2"/>
    <n v="420"/>
    <n v="0.08"/>
    <s v="Virement"/>
    <s v="Validée"/>
    <s v="Client 00929"/>
    <s v="Kolwezi"/>
    <s v="PME"/>
    <s v="Projecteur HD"/>
    <s v="Bureautique"/>
    <s v="Premium"/>
    <s v="Agence Kolwezi 3"/>
    <s v="Kolwezi"/>
    <s v="Commercial 050"/>
    <n v="40"/>
    <x v="0"/>
    <n v="69"/>
    <n v="7.7"/>
    <n v="3"/>
    <s v="Web"/>
    <n v="273"/>
    <n v="840"/>
    <n v="67.2"/>
    <n v="772.8"/>
    <n v="546"/>
    <n v="226.79999999999995"/>
    <n v="0.29347826086956519"/>
    <n v="2025"/>
    <n v="8"/>
    <s v="2025-08"/>
    <s v="T3"/>
    <s v="40-49"/>
    <s v="bon"/>
    <s v="Rapide"/>
    <s v="Moyenne"/>
  </r>
  <r>
    <s v="TX0000919"/>
    <d v="2025-01-02T00:00:00"/>
    <s v="CLI00172"/>
    <s v="PRD002"/>
    <s v="AG015"/>
    <s v="COM013"/>
    <n v="3"/>
    <n v="350"/>
    <n v="0"/>
    <s v="Virement"/>
    <s v="Validée"/>
    <s v="Client 00172"/>
    <s v="Kolwezi"/>
    <s v="Indépendant"/>
    <s v="Smartphone Pro X"/>
    <s v="Électronique"/>
    <s v="Premium"/>
    <s v="Agence Goma 3"/>
    <s v="Goma"/>
    <s v="Commercial 013"/>
    <n v="32"/>
    <x v="1"/>
    <n v="25"/>
    <n v="8"/>
    <n v="1"/>
    <s v="Magasin"/>
    <n v="213.5"/>
    <n v="1050"/>
    <n v="0"/>
    <n v="1050"/>
    <n v="640.5"/>
    <n v="409.5"/>
    <n v="0.39"/>
    <n v="2025"/>
    <n v="1"/>
    <s v="2025-01"/>
    <s v="T1"/>
    <s v="30-39"/>
    <s v="bon"/>
    <s v="Rapide"/>
    <s v="Elevée"/>
  </r>
  <r>
    <s v="TX0000920"/>
    <d v="2025-08-26T00:00:00"/>
    <s v="CLI01703"/>
    <s v="PRD001"/>
    <s v="AG011"/>
    <s v="COM056"/>
    <n v="1"/>
    <n v="120"/>
    <n v="0.1"/>
    <s v="Cash"/>
    <s v="Validée"/>
    <s v="Client 01703"/>
    <s v="Kisangani"/>
    <s v="Institution"/>
    <s v="Smartphone A1"/>
    <s v="Électronique"/>
    <s v="Entrée de gamme"/>
    <s v="Agence Matadi 2"/>
    <s v="Matadi"/>
    <s v="Commercial 056"/>
    <n v="45"/>
    <x v="0"/>
    <n v="17"/>
    <n v="8.3000000000000007"/>
    <n v="2"/>
    <s v="Téléphone"/>
    <n v="73.2"/>
    <n v="120"/>
    <n v="12"/>
    <n v="108"/>
    <n v="73.2"/>
    <n v="34.799999999999997"/>
    <n v="0.32222222222222219"/>
    <n v="2025"/>
    <n v="8"/>
    <s v="2025-08"/>
    <s v="T3"/>
    <s v="40-49"/>
    <s v="bon"/>
    <s v="Rapide"/>
    <s v="Faible"/>
  </r>
  <r>
    <s v="TX0000921"/>
    <d v="2025-10-11T00:00:00"/>
    <s v="CLI00478"/>
    <s v="PRD005"/>
    <s v="AG016"/>
    <s v="COM032"/>
    <n v="20"/>
    <n v="260"/>
    <n v="0.08"/>
    <s v="Virement"/>
    <s v="Validée"/>
    <s v="Client 00478"/>
    <s v="Lubumbashi"/>
    <s v="PME"/>
    <s v="Tablette T10"/>
    <s v="Électronique"/>
    <s v="Standard"/>
    <s v="Agence Kisangani 3"/>
    <s v="Kisangani"/>
    <s v="Commercial 032"/>
    <n v="31"/>
    <x v="1"/>
    <n v="37"/>
    <n v="6.3"/>
    <n v="5"/>
    <s v="Magasin"/>
    <n v="189.8"/>
    <n v="5200"/>
    <n v="416"/>
    <n v="4784"/>
    <n v="3796"/>
    <n v="988"/>
    <n v="0.20652173913043478"/>
    <n v="2025"/>
    <n v="10"/>
    <s v="2025-10"/>
    <s v="T4"/>
    <s v="30-39"/>
    <s v="moyen"/>
    <s v="Moyen"/>
    <s v="Elevée"/>
  </r>
  <r>
    <s v="TX0000922"/>
    <d v="2025-10-02T00:00:00"/>
    <s v="CLI00134"/>
    <s v="PRD011"/>
    <s v="AG008"/>
    <s v="COM020"/>
    <n v="5"/>
    <n v="240"/>
    <n v="0"/>
    <s v="Cash"/>
    <s v="Validée"/>
    <s v="Client 00134"/>
    <s v="Matadi"/>
    <s v="Institution"/>
    <s v="Switch 24 Ports"/>
    <s v="Réseau"/>
    <s v="Premium"/>
    <s v="Agence Lubumbashi 2"/>
    <s v="Lubumbashi"/>
    <s v="Commercial 020"/>
    <n v="22"/>
    <x v="0"/>
    <n v="36"/>
    <n v="7.3"/>
    <n v="4"/>
    <s v="WhatsApp"/>
    <n v="177.6"/>
    <n v="1200"/>
    <n v="0"/>
    <n v="1200"/>
    <n v="888"/>
    <n v="312"/>
    <n v="0.26"/>
    <n v="2025"/>
    <n v="10"/>
    <s v="2025-10"/>
    <s v="T4"/>
    <s v="22-29"/>
    <s v="bon"/>
    <s v="Moyen"/>
    <s v="Elevée"/>
  </r>
  <r>
    <s v="TX0000923"/>
    <d v="2025-05-13T00:00:00"/>
    <s v="CLI00225"/>
    <s v="PRD010"/>
    <s v="AG005"/>
    <s v="COM045"/>
    <n v="4"/>
    <n v="95"/>
    <n v="0"/>
    <s v="Virement"/>
    <s v="Validée"/>
    <s v="Client 00225"/>
    <s v="Lubumbashi"/>
    <s v="Institution"/>
    <s v="Routeur Business"/>
    <s v="Réseau"/>
    <s v="Standard"/>
    <s v="Agence Matadi 1"/>
    <s v="Matadi"/>
    <s v="Commercial 045"/>
    <n v="51"/>
    <x v="0"/>
    <n v="56"/>
    <n v="3.1"/>
    <n v="9"/>
    <s v="Magasin"/>
    <n v="70.3"/>
    <n v="380"/>
    <n v="0"/>
    <n v="380"/>
    <n v="281.2"/>
    <n v="98.800000000000011"/>
    <n v="0.26"/>
    <n v="2025"/>
    <n v="5"/>
    <s v="2025-05"/>
    <s v="T2"/>
    <s v="50+"/>
    <s v="faible"/>
    <s v="Long"/>
    <s v="Faible"/>
  </r>
  <r>
    <s v="TX0000924"/>
    <d v="2025-02-08T00:00:00"/>
    <s v="CLI01688"/>
    <s v="PRD003"/>
    <s v="AG017"/>
    <s v="COM024"/>
    <n v="2"/>
    <n v="780"/>
    <n v="0.08"/>
    <s v="Virement"/>
    <s v="Validée"/>
    <s v="Client 01688"/>
    <s v="Kisangani"/>
    <s v="Indépendant"/>
    <s v="Laptop Business 14"/>
    <s v="Informatique"/>
    <s v="Premium"/>
    <s v="Agence Matadi 3"/>
    <s v="Matadi"/>
    <s v="Commercial 024"/>
    <n v="60"/>
    <x v="1"/>
    <n v="17"/>
    <n v="4.0999999999999996"/>
    <n v="8"/>
    <s v="Magasin"/>
    <n v="468"/>
    <n v="1560"/>
    <n v="124.8"/>
    <n v="1435.2"/>
    <n v="936"/>
    <n v="499.20000000000005"/>
    <n v="0.34782608695652178"/>
    <n v="2025"/>
    <n v="2"/>
    <s v="2025-02"/>
    <s v="T1"/>
    <s v="50+"/>
    <s v="faible"/>
    <s v="Long"/>
    <s v="Elevée"/>
  </r>
  <r>
    <s v="TX0000925"/>
    <d v="2025-12-31T00:00:00"/>
    <s v="CLI00108"/>
    <s v="PRD010"/>
    <s v="AG011"/>
    <s v="COM012"/>
    <n v="1"/>
    <n v="95"/>
    <n v="0"/>
    <s v="Cash"/>
    <s v="Validée"/>
    <s v="Client 00108"/>
    <s v="Kinshasa"/>
    <s v="PME"/>
    <s v="Routeur Business"/>
    <s v="Réseau"/>
    <s v="Standard"/>
    <s v="Agence Matadi 2"/>
    <s v="Matadi"/>
    <s v="Commercial 012"/>
    <n v="43"/>
    <x v="1"/>
    <n v="7"/>
    <n v="4.9000000000000004"/>
    <n v="6"/>
    <s v="WhatsApp"/>
    <n v="70.3"/>
    <n v="95"/>
    <n v="0"/>
    <n v="95"/>
    <n v="70.3"/>
    <n v="24.700000000000003"/>
    <n v="0.26"/>
    <n v="2025"/>
    <n v="12"/>
    <s v="2025-12"/>
    <s v="T4"/>
    <s v="40-49"/>
    <s v="faible"/>
    <s v="Moyen"/>
    <s v="Faible"/>
  </r>
  <r>
    <s v="TX0000926"/>
    <d v="2025-03-05T00:00:00"/>
    <s v="CLI00390"/>
    <s v="PRD009"/>
    <s v="AG011"/>
    <s v="COM021"/>
    <n v="1"/>
    <n v="22"/>
    <n v="0"/>
    <s v="Cash"/>
    <s v="Validée"/>
    <s v="Client 00390"/>
    <s v="Matadi"/>
    <s v="Institution"/>
    <s v="Souris Wireless"/>
    <s v="Informatique"/>
    <s v="Entrée de gamme"/>
    <s v="Agence Matadi 2"/>
    <s v="Matadi"/>
    <s v="Commercial 021"/>
    <n v="55"/>
    <x v="0"/>
    <n v="69"/>
    <n v="3.3"/>
    <n v="9"/>
    <s v="WhatsApp"/>
    <n v="14.96"/>
    <n v="22"/>
    <n v="0"/>
    <n v="22"/>
    <n v="14.96"/>
    <n v="7.0399999999999991"/>
    <n v="0.31999999999999995"/>
    <n v="2025"/>
    <n v="3"/>
    <s v="2025-03"/>
    <s v="T1"/>
    <s v="50+"/>
    <s v="faible"/>
    <s v="Long"/>
    <s v="Faible"/>
  </r>
  <r>
    <s v="TX0000927"/>
    <d v="2025-10-05T00:00:00"/>
    <s v="CLI01133"/>
    <s v="PRD010"/>
    <s v="AG018"/>
    <s v="COM049"/>
    <n v="6"/>
    <n v="95"/>
    <n v="0"/>
    <s v="Virement"/>
    <s v="Validée"/>
    <s v="Client 01133"/>
    <s v="Goma"/>
    <s v="ONG"/>
    <s v="Routeur Business"/>
    <s v="Réseau"/>
    <s v="Standard"/>
    <s v="Agence Kolwezi 3"/>
    <s v="Kolwezi"/>
    <s v="Commercial 049"/>
    <n v="58"/>
    <x v="0"/>
    <n v="32"/>
    <n v="6.1"/>
    <n v="5"/>
    <s v="Web"/>
    <n v="70.3"/>
    <n v="570"/>
    <n v="0"/>
    <n v="570"/>
    <n v="421.79999999999995"/>
    <n v="148.20000000000005"/>
    <n v="0.26000000000000006"/>
    <n v="2025"/>
    <n v="10"/>
    <s v="2025-10"/>
    <s v="T4"/>
    <s v="50+"/>
    <s v="moyen"/>
    <s v="Moyen"/>
    <s v="Moyenne"/>
  </r>
  <r>
    <s v="TX0000928"/>
    <d v="2025-01-21T00:00:00"/>
    <s v="CLI01219"/>
    <s v="PRD004"/>
    <s v="AG013"/>
    <s v="COM049"/>
    <n v="2"/>
    <n v="520"/>
    <n v="0.02"/>
    <s v="Cash"/>
    <s v="Validée"/>
    <s v="Client 01219"/>
    <s v="Kisangani"/>
    <s v="Indépendant"/>
    <s v="Laptop Essential 15"/>
    <s v="Informatique"/>
    <s v="Standard"/>
    <s v="Agence Kinshasa 3"/>
    <s v="Kinshasa"/>
    <s v="Commercial 049"/>
    <n v="54"/>
    <x v="1"/>
    <n v="16"/>
    <n v="4.9000000000000004"/>
    <n v="7"/>
    <s v="WhatsApp"/>
    <n v="348.4"/>
    <n v="1040"/>
    <n v="20.8"/>
    <n v="1019.2"/>
    <n v="696.8"/>
    <n v="322.40000000000009"/>
    <n v="0.31632653061224497"/>
    <n v="2025"/>
    <n v="1"/>
    <s v="2025-01"/>
    <s v="T1"/>
    <s v="50+"/>
    <s v="faible"/>
    <s v="Long"/>
    <s v="Elevée"/>
  </r>
  <r>
    <s v="TX0000929"/>
    <d v="2025-02-18T00:00:00"/>
    <s v="CLI01103"/>
    <s v="PRD002"/>
    <s v="AG005"/>
    <s v="COM005"/>
    <n v="10"/>
    <n v="350"/>
    <n v="0.05"/>
    <s v="Cash"/>
    <s v="Validée"/>
    <s v="Client 01103"/>
    <s v="Kolwezi"/>
    <s v="Grande entreprise"/>
    <s v="Smartphone Pro X"/>
    <s v="Électronique"/>
    <s v="Premium"/>
    <s v="Agence Matadi 1"/>
    <s v="Matadi"/>
    <s v="Commercial 005"/>
    <n v="30"/>
    <x v="0"/>
    <n v="12"/>
    <n v="3.3"/>
    <n v="9"/>
    <s v="Web"/>
    <n v="213.5"/>
    <n v="3500"/>
    <n v="175"/>
    <n v="3325"/>
    <n v="2135"/>
    <n v="1190"/>
    <n v="0.35789473684210527"/>
    <n v="2025"/>
    <n v="2"/>
    <s v="2025-02"/>
    <s v="T1"/>
    <s v="30-39"/>
    <s v="faible"/>
    <s v="Long"/>
    <s v="Elevée"/>
  </r>
  <r>
    <s v="TX0000930"/>
    <d v="2025-07-04T00:00:00"/>
    <s v="CLI01954"/>
    <s v="PRD002"/>
    <s v="AG016"/>
    <s v="COM052"/>
    <n v="2"/>
    <n v="350"/>
    <n v="0"/>
    <s v="Virement"/>
    <s v="Validée"/>
    <s v="Client 01954"/>
    <s v="Kinshasa"/>
    <s v="ONG"/>
    <s v="Smartphone Pro X"/>
    <s v="Électronique"/>
    <s v="Premium"/>
    <s v="Agence Kisangani 3"/>
    <s v="Kisangani"/>
    <s v="Commercial 052"/>
    <n v="27"/>
    <x v="0"/>
    <n v="6"/>
    <n v="6.8"/>
    <n v="5"/>
    <s v="Web"/>
    <n v="213.5"/>
    <n v="700"/>
    <n v="0"/>
    <n v="700"/>
    <n v="427"/>
    <n v="273"/>
    <n v="0.39"/>
    <n v="2025"/>
    <n v="7"/>
    <s v="2025-07"/>
    <s v="T3"/>
    <s v="22-29"/>
    <s v="moyen"/>
    <s v="Moyen"/>
    <s v="Moyenne"/>
  </r>
  <r>
    <s v="TX0000931"/>
    <d v="2025-04-05T00:00:00"/>
    <s v="CLI01015"/>
    <s v="PRD003"/>
    <s v="AG011"/>
    <s v="COM011"/>
    <n v="3"/>
    <n v="780"/>
    <n v="0.05"/>
    <s v="Cash"/>
    <s v="Validée"/>
    <s v="Client 01015"/>
    <s v="Kinshasa"/>
    <s v="Indépendant"/>
    <s v="Laptop Business 14"/>
    <s v="Informatique"/>
    <s v="Premium"/>
    <s v="Agence Matadi 2"/>
    <s v="Matadi"/>
    <s v="Commercial 011"/>
    <n v="38"/>
    <x v="1"/>
    <n v="13"/>
    <n v="6.1"/>
    <n v="5"/>
    <s v="Téléphone"/>
    <n v="468"/>
    <n v="2340"/>
    <n v="117"/>
    <n v="2223"/>
    <n v="1404"/>
    <n v="819"/>
    <n v="0.36842105263157893"/>
    <n v="2025"/>
    <n v="4"/>
    <s v="2025-04"/>
    <s v="T2"/>
    <s v="30-39"/>
    <s v="moyen"/>
    <s v="Moyen"/>
    <s v="Elevée"/>
  </r>
  <r>
    <s v="TX0000933"/>
    <d v="2025-10-08T00:00:00"/>
    <s v="CLI00022"/>
    <s v="PRD009"/>
    <s v="AG007"/>
    <s v="COM032"/>
    <n v="1"/>
    <n v="22"/>
    <n v="0.02"/>
    <s v="Carte"/>
    <s v="Validée"/>
    <s v="Client 00022"/>
    <s v="Lubumbashi"/>
    <s v="PME"/>
    <s v="Souris Wireless"/>
    <s v="Informatique"/>
    <s v="Entrée de gamme"/>
    <s v="Agence Kinshasa 2"/>
    <s v="Kinshasa"/>
    <s v="Commercial 032"/>
    <n v="29"/>
    <x v="1"/>
    <n v="56"/>
    <n v="5.0999999999999996"/>
    <n v="6"/>
    <s v="WhatsApp"/>
    <n v="14.96"/>
    <n v="22"/>
    <n v="0.44"/>
    <n v="21.56"/>
    <n v="14.96"/>
    <n v="6.5999999999999979"/>
    <n v="0.30612244897959173"/>
    <n v="2025"/>
    <n v="10"/>
    <s v="2025-10"/>
    <s v="T4"/>
    <s v="22-29"/>
    <s v="moyen"/>
    <s v="Moyen"/>
    <s v="Faible"/>
  </r>
  <r>
    <s v="TX0000935"/>
    <d v="2025-03-05T00:00:00"/>
    <s v="CLI01179"/>
    <s v="PRD009"/>
    <s v="AG008"/>
    <s v="COM040"/>
    <n v="4"/>
    <n v="22"/>
    <n v="0"/>
    <s v="Mobile Money"/>
    <s v="Validée"/>
    <s v="Client 01179"/>
    <s v="Kinshasa"/>
    <s v="ONG"/>
    <s v="Souris Wireless"/>
    <s v="Informatique"/>
    <s v="Entrée de gamme"/>
    <s v="Agence Lubumbashi 2"/>
    <s v="Lubumbashi"/>
    <s v="Commercial 040"/>
    <n v="51"/>
    <x v="1"/>
    <n v="13"/>
    <n v="4.2"/>
    <n v="9"/>
    <s v="WhatsApp"/>
    <n v="14.96"/>
    <n v="88"/>
    <n v="0"/>
    <n v="88"/>
    <n v="59.84"/>
    <n v="28.159999999999997"/>
    <n v="0.31999999999999995"/>
    <n v="2025"/>
    <n v="3"/>
    <s v="2025-03"/>
    <s v="T1"/>
    <s v="50+"/>
    <s v="faible"/>
    <s v="Long"/>
    <s v="Faible"/>
  </r>
  <r>
    <s v="TX0000936"/>
    <d v="2025-05-10T00:00:00"/>
    <s v="CLI00470"/>
    <s v="PRD013"/>
    <s v="AG007"/>
    <s v="COM048"/>
    <n v="3"/>
    <n v="110"/>
    <n v="0.05"/>
    <s v="Carte"/>
    <s v="Validée"/>
    <s v="Client 00470"/>
    <s v="Kinshasa"/>
    <s v="Grande entreprise"/>
    <s v="Disque SSD 1TB"/>
    <s v="Informatique"/>
    <s v="Premium"/>
    <s v="Agence Kinshasa 2"/>
    <s v="Kinshasa"/>
    <s v="Commercial 048"/>
    <n v="60"/>
    <x v="1"/>
    <n v="34"/>
    <n v="6.8"/>
    <n v="5"/>
    <s v="Magasin"/>
    <n v="72.599999999999994"/>
    <n v="330"/>
    <n v="16.5"/>
    <n v="313.5"/>
    <n v="217.79999999999998"/>
    <n v="95.700000000000017"/>
    <n v="0.3052631578947369"/>
    <n v="2025"/>
    <n v="5"/>
    <s v="2025-05"/>
    <s v="T2"/>
    <s v="50+"/>
    <s v="moyen"/>
    <s v="Moyen"/>
    <s v="Faible"/>
  </r>
  <r>
    <s v="TX0000937"/>
    <d v="2025-01-21T00:00:00"/>
    <s v="CLI00492"/>
    <s v="PRD008"/>
    <s v="AG005"/>
    <s v="COM046"/>
    <n v="1"/>
    <n v="35"/>
    <n v="0"/>
    <s v="Cash"/>
    <s v="Validée"/>
    <s v="Client 00492"/>
    <s v="Goma"/>
    <s v="Grande entreprise"/>
    <s v="Clavier Pro"/>
    <s v="Informatique"/>
    <s v="Entrée de gamme"/>
    <s v="Agence Matadi 1"/>
    <s v="Matadi"/>
    <s v="Commercial 046"/>
    <n v="51"/>
    <x v="0"/>
    <n v="69"/>
    <n v="5.9"/>
    <n v="5"/>
    <s v="Magasin"/>
    <n v="24.15"/>
    <n v="35"/>
    <n v="0"/>
    <n v="35"/>
    <n v="24.15"/>
    <n v="10.850000000000001"/>
    <n v="0.31000000000000005"/>
    <n v="2025"/>
    <n v="1"/>
    <s v="2025-01"/>
    <s v="T1"/>
    <s v="50+"/>
    <s v="moyen"/>
    <s v="Moyen"/>
    <s v="Faible"/>
  </r>
  <r>
    <s v="TX0000938"/>
    <d v="2025-02-27T00:00:00"/>
    <s v="CLI01617"/>
    <s v="PRD005"/>
    <s v="AG007"/>
    <s v="COM018"/>
    <n v="3"/>
    <n v="260"/>
    <n v="0.08"/>
    <s v="Carte"/>
    <s v="Validée"/>
    <s v="Client 01617"/>
    <s v="Kolwezi"/>
    <s v="Indépendant"/>
    <s v="Tablette T10"/>
    <s v="Électronique"/>
    <s v="Standard"/>
    <s v="Agence Kinshasa 2"/>
    <s v="Kinshasa"/>
    <s v="Commercial 018"/>
    <n v="56"/>
    <x v="0"/>
    <n v="46"/>
    <n v="7"/>
    <n v="3"/>
    <s v="Magasin"/>
    <n v="189.8"/>
    <n v="780"/>
    <n v="62.4"/>
    <n v="717.6"/>
    <n v="569.40000000000009"/>
    <n v="148.19999999999993"/>
    <n v="0.20652173913043467"/>
    <n v="2025"/>
    <n v="2"/>
    <s v="2025-02"/>
    <s v="T1"/>
    <s v="50+"/>
    <s v="bon"/>
    <s v="Rapide"/>
    <s v="Moyenne"/>
  </r>
  <r>
    <s v="TX0000939"/>
    <d v="2025-04-16T00:00:00"/>
    <s v="CLI00057"/>
    <s v="PRD014"/>
    <s v="AG004"/>
    <s v="COM022"/>
    <n v="2"/>
    <n v="65"/>
    <n v="0"/>
    <s v="Cash"/>
    <s v="Validée"/>
    <s v="Client 00057"/>
    <s v="Lubumbashi"/>
    <s v="Grande entreprise"/>
    <s v="Casque Pro"/>
    <s v="Électronique"/>
    <s v="Standard"/>
    <s v="Agence Kisangani 1"/>
    <s v="Kisangani"/>
    <s v="Commercial 022"/>
    <n v="43"/>
    <x v="1"/>
    <n v="48"/>
    <n v="9.3000000000000007"/>
    <n v="1"/>
    <s v="WhatsApp"/>
    <n v="47.45"/>
    <n v="130"/>
    <n v="0"/>
    <n v="130"/>
    <n v="94.9"/>
    <n v="35.099999999999994"/>
    <n v="0.26999999999999996"/>
    <n v="2025"/>
    <n v="4"/>
    <s v="2025-04"/>
    <s v="T2"/>
    <s v="40-49"/>
    <s v="excellent"/>
    <s v="Rapide"/>
    <s v="Faible"/>
  </r>
  <r>
    <s v="TX0000940"/>
    <d v="2025-09-23T00:00:00"/>
    <s v="CLI01332"/>
    <s v="PRD014"/>
    <s v="AG013"/>
    <s v="COM043"/>
    <n v="3"/>
    <n v="65"/>
    <n v="0.02"/>
    <s v="Carte"/>
    <s v="Validée"/>
    <s v="Client 01332"/>
    <s v="Goma"/>
    <s v="Grande entreprise"/>
    <s v="Casque Pro"/>
    <s v="Électronique"/>
    <s v="Standard"/>
    <s v="Agence Kinshasa 3"/>
    <s v="Kinshasa"/>
    <s v="Commercial 043"/>
    <n v="24"/>
    <x v="1"/>
    <n v="42"/>
    <n v="4.9000000000000004"/>
    <n v="6"/>
    <s v="Magasin"/>
    <n v="47.45"/>
    <n v="195"/>
    <n v="3.9"/>
    <n v="191.1"/>
    <n v="142.35000000000002"/>
    <n v="48.749999999999972"/>
    <n v="0.25510204081632637"/>
    <n v="2025"/>
    <n v="9"/>
    <s v="2025-09"/>
    <s v="T3"/>
    <s v="22-29"/>
    <s v="faible"/>
    <s v="Moyen"/>
    <s v="Faible"/>
  </r>
  <r>
    <s v="TX0000941"/>
    <d v="2025-04-07T00:00:00"/>
    <s v="CLI00598"/>
    <s v="PRD007"/>
    <s v="AG013"/>
    <s v="COM023"/>
    <n v="5"/>
    <n v="145"/>
    <n v="0.1"/>
    <s v="Carte"/>
    <s v="Validée"/>
    <s v="Client 00598"/>
    <s v="Kisangani"/>
    <s v="ONG"/>
    <s v="Écran 24 pouces"/>
    <s v="Informatique"/>
    <s v="Standard"/>
    <s v="Agence Kinshasa 3"/>
    <s v="Kinshasa"/>
    <s v="Commercial 023"/>
    <n v="28"/>
    <x v="1"/>
    <n v="49"/>
    <n v="6.8"/>
    <n v="5"/>
    <s v="Téléphone"/>
    <n v="97.15"/>
    <n v="725"/>
    <n v="72.5"/>
    <n v="652.5"/>
    <n v="485.75"/>
    <n v="166.75"/>
    <n v="0.25555555555555554"/>
    <n v="2025"/>
    <n v="4"/>
    <s v="2025-04"/>
    <s v="T2"/>
    <s v="22-29"/>
    <s v="moyen"/>
    <s v="Moyen"/>
    <s v="Moyenne"/>
  </r>
  <r>
    <s v="TX0000942"/>
    <d v="2025-01-02T00:00:00"/>
    <s v="CLI01122"/>
    <s v="PRD014"/>
    <s v="AG002"/>
    <s v="COM017"/>
    <n v="2"/>
    <n v="65"/>
    <n v="0"/>
    <s v="Cash"/>
    <s v="Validée"/>
    <s v="Client 01122"/>
    <s v="Lubumbashi"/>
    <s v="Grande entreprise"/>
    <s v="Casque Pro"/>
    <s v="Électronique"/>
    <s v="Standard"/>
    <s v="Agence Lubumbashi 1"/>
    <s v="Lubumbashi"/>
    <s v="Commercial 017"/>
    <n v="42"/>
    <x v="0"/>
    <n v="5"/>
    <n v="6.7"/>
    <n v="4"/>
    <s v="Téléphone"/>
    <n v="47.45"/>
    <n v="130"/>
    <n v="0"/>
    <n v="130"/>
    <n v="94.9"/>
    <n v="35.099999999999994"/>
    <n v="0.26999999999999996"/>
    <n v="2025"/>
    <n v="1"/>
    <s v="2025-01"/>
    <s v="T1"/>
    <s v="40-49"/>
    <s v="moyen"/>
    <s v="Moyen"/>
    <s v="Faible"/>
  </r>
  <r>
    <s v="TX0000943"/>
    <d v="2025-04-15T00:00:00"/>
    <s v="CLI00245"/>
    <s v="PRD015"/>
    <s v="AG017"/>
    <s v="COM019"/>
    <n v="2"/>
    <n v="48"/>
    <n v="0"/>
    <s v="Carte"/>
    <s v="Validée"/>
    <s v="Client 00245"/>
    <s v="Goma"/>
    <s v="Institution"/>
    <s v="Webcam HD"/>
    <s v="Électronique"/>
    <s v="Entrée de gamme"/>
    <s v="Agence Matadi 3"/>
    <s v="Matadi"/>
    <s v="Commercial 019"/>
    <n v="42"/>
    <x v="1"/>
    <n v="37"/>
    <n v="6.1"/>
    <n v="5"/>
    <s v="Web"/>
    <n v="37.44"/>
    <n v="96"/>
    <n v="0"/>
    <n v="96"/>
    <n v="74.88"/>
    <n v="21.120000000000005"/>
    <n v="0.22000000000000006"/>
    <n v="2025"/>
    <n v="4"/>
    <s v="2025-04"/>
    <s v="T2"/>
    <s v="40-49"/>
    <s v="moyen"/>
    <s v="Moyen"/>
    <s v="Faible"/>
  </r>
  <r>
    <s v="TX0000944"/>
    <d v="2025-09-29T00:00:00"/>
    <s v="CLI00726"/>
    <s v="PRD014"/>
    <s v="AG001"/>
    <s v="COM031"/>
    <n v="1"/>
    <n v="65"/>
    <n v="0.02"/>
    <s v="Virement"/>
    <s v="Validée"/>
    <s v="Client 00726"/>
    <s v="Kinshasa"/>
    <s v="Grande entreprise"/>
    <s v="Casque Pro"/>
    <s v="Électronique"/>
    <s v="Standard"/>
    <s v="Agence Kinshasa 1"/>
    <s v="Kinshasa"/>
    <s v="Commercial 031"/>
    <n v="22"/>
    <x v="0"/>
    <n v="46"/>
    <n v="4.0999999999999996"/>
    <n v="7"/>
    <s v="Web"/>
    <n v="47.45"/>
    <n v="65"/>
    <n v="1.3"/>
    <n v="63.7"/>
    <n v="47.45"/>
    <n v="16.25"/>
    <n v="0.25510204081632654"/>
    <n v="2025"/>
    <n v="9"/>
    <s v="2025-09"/>
    <s v="T3"/>
    <s v="22-29"/>
    <s v="faible"/>
    <s v="Long"/>
    <s v="Faible"/>
  </r>
  <r>
    <s v="TX0000945"/>
    <d v="2025-05-22T00:00:00"/>
    <s v="CLI00919"/>
    <s v="PRD015"/>
    <s v="AG007"/>
    <s v="COM045"/>
    <n v="5"/>
    <n v="48"/>
    <n v="0.02"/>
    <s v="Virement"/>
    <s v="Validée"/>
    <s v="Client 00919"/>
    <s v="Lubumbashi"/>
    <s v="Grande entreprise"/>
    <s v="Webcam HD"/>
    <s v="Électronique"/>
    <s v="Entrée de gamme"/>
    <s v="Agence Kinshasa 2"/>
    <s v="Kinshasa"/>
    <s v="Commercial 045"/>
    <n v="39"/>
    <x v="1"/>
    <n v="15"/>
    <n v="7.7"/>
    <n v="3"/>
    <s v="WhatsApp"/>
    <n v="37.44"/>
    <n v="240"/>
    <n v="4.8"/>
    <n v="235.2"/>
    <n v="187.2"/>
    <n v="48"/>
    <n v="0.20408163265306123"/>
    <n v="2025"/>
    <n v="5"/>
    <s v="2025-05"/>
    <s v="T2"/>
    <s v="30-39"/>
    <s v="bon"/>
    <s v="Rapide"/>
    <s v="Faible"/>
  </r>
  <r>
    <s v="TX0000947"/>
    <d v="2025-07-09T00:00:00"/>
    <s v="CLI02088"/>
    <s v="PRD005"/>
    <s v="AG004"/>
    <s v="COM018"/>
    <n v="3"/>
    <n v="260"/>
    <n v="0.08"/>
    <s v="Cash"/>
    <s v="Validée"/>
    <s v="Client 02088"/>
    <s v="Lubumbashi"/>
    <s v="PME"/>
    <s v="Tablette T10"/>
    <s v="Électronique"/>
    <s v="Standard"/>
    <s v="Agence Kisangani 1"/>
    <s v="Kisangani"/>
    <s v="Commercial 018"/>
    <n v="40"/>
    <x v="1"/>
    <n v="22"/>
    <n v="6"/>
    <n v="6"/>
    <s v="WhatsApp"/>
    <n v="189.8"/>
    <n v="780"/>
    <n v="62.4"/>
    <n v="717.6"/>
    <n v="569.40000000000009"/>
    <n v="148.19999999999993"/>
    <n v="0.20652173913043467"/>
    <n v="2025"/>
    <n v="7"/>
    <s v="2025-07"/>
    <s v="T3"/>
    <s v="40-49"/>
    <s v="moyen"/>
    <s v="Moyen"/>
    <s v="Moyenne"/>
  </r>
  <r>
    <s v="TX0000948"/>
    <d v="2025-02-02T00:00:00"/>
    <s v="CLI02116"/>
    <s v="PRD010"/>
    <s v="AG013"/>
    <s v="COM002"/>
    <n v="3"/>
    <n v="95"/>
    <n v="0"/>
    <s v="Carte"/>
    <s v="Validée"/>
    <s v="Client 02116"/>
    <s v="Goma"/>
    <s v="Grande entreprise"/>
    <s v="Routeur Business"/>
    <s v="Réseau"/>
    <s v="Standard"/>
    <s v="Agence Kinshasa 3"/>
    <s v="Kinshasa"/>
    <s v="Commercial 002"/>
    <n v="54"/>
    <x v="0"/>
    <n v="65"/>
    <n v="7.4"/>
    <n v="4"/>
    <s v="Magasin"/>
    <n v="70.3"/>
    <n v="285"/>
    <n v="0"/>
    <n v="285"/>
    <n v="210.89999999999998"/>
    <n v="74.100000000000023"/>
    <n v="0.26000000000000006"/>
    <n v="2025"/>
    <n v="2"/>
    <s v="2025-02"/>
    <s v="T1"/>
    <s v="50+"/>
    <s v="bon"/>
    <s v="Moyen"/>
    <s v="Faible"/>
  </r>
  <r>
    <s v="TX0000949"/>
    <d v="2025-11-11T00:00:00"/>
    <s v="CLI01033"/>
    <s v="PRD008"/>
    <s v="AG018"/>
    <s v="COM055"/>
    <n v="3"/>
    <n v="35"/>
    <n v="0.05"/>
    <s v="Carte"/>
    <s v="Validée"/>
    <s v="Client 01033"/>
    <s v="Matadi"/>
    <s v="Institution"/>
    <s v="Clavier Pro"/>
    <s v="Informatique"/>
    <s v="Entrée de gamme"/>
    <s v="Agence Kolwezi 3"/>
    <s v="Kolwezi"/>
    <s v="Commercial 055"/>
    <n v="57"/>
    <x v="0"/>
    <n v="40"/>
    <n v="7.3"/>
    <n v="3"/>
    <s v="Web"/>
    <n v="24.15"/>
    <n v="105"/>
    <n v="5.25"/>
    <n v="99.75"/>
    <n v="72.449999999999989"/>
    <n v="27.300000000000011"/>
    <n v="0.27368421052631592"/>
    <n v="2025"/>
    <n v="11"/>
    <s v="2025-11"/>
    <s v="T4"/>
    <s v="50+"/>
    <s v="bon"/>
    <s v="Rapide"/>
    <s v="Faible"/>
  </r>
  <r>
    <s v="TX0000950"/>
    <d v="2025-06-17T00:00:00"/>
    <s v="CLI02165"/>
    <s v="PRD001"/>
    <s v="AG005"/>
    <s v="COM002"/>
    <n v="4"/>
    <n v="120"/>
    <n v="0.1"/>
    <s v="Mobile Money"/>
    <s v="Validée"/>
    <s v="Client 02165"/>
    <s v="Goma"/>
    <s v="ONG"/>
    <s v="Smartphone A1"/>
    <s v="Électronique"/>
    <s v="Entrée de gamme"/>
    <s v="Agence Matadi 1"/>
    <s v="Matadi"/>
    <s v="Commercial 002"/>
    <n v="60"/>
    <x v="0"/>
    <n v="61"/>
    <n v="4.9000000000000004"/>
    <n v="7"/>
    <s v="Magasin"/>
    <n v="73.2"/>
    <n v="480"/>
    <n v="48"/>
    <n v="432"/>
    <n v="292.8"/>
    <n v="139.19999999999999"/>
    <n v="0.32222222222222219"/>
    <n v="2025"/>
    <n v="6"/>
    <s v="2025-06"/>
    <s v="T2"/>
    <s v="50+"/>
    <s v="faible"/>
    <s v="Long"/>
    <s v="Faible"/>
  </r>
  <r>
    <s v="TX0000951"/>
    <d v="2025-02-25T00:00:00"/>
    <s v="CLI00006"/>
    <s v="PRD016"/>
    <s v="AG007"/>
    <s v="COM012"/>
    <n v="4"/>
    <n v="420"/>
    <n v="0.08"/>
    <s v="Mobile Money"/>
    <s v="Validée"/>
    <s v="Client 00006"/>
    <s v="Kolwezi"/>
    <s v="Institution"/>
    <s v="Projecteur HD"/>
    <s v="Bureautique"/>
    <s v="Premium"/>
    <s v="Agence Kinshasa 2"/>
    <s v="Kinshasa"/>
    <s v="Commercial 012"/>
    <n v="24"/>
    <x v="1"/>
    <n v="45"/>
    <n v="8.5"/>
    <n v="2"/>
    <s v="Téléphone"/>
    <n v="273"/>
    <n v="1680"/>
    <n v="134.4"/>
    <n v="1545.6"/>
    <n v="1092"/>
    <n v="453.59999999999991"/>
    <n v="0.29347826086956519"/>
    <n v="2025"/>
    <n v="2"/>
    <s v="2025-02"/>
    <s v="T1"/>
    <s v="22-29"/>
    <s v="bon"/>
    <s v="Rapide"/>
    <s v="Elevée"/>
  </r>
  <r>
    <s v="TX0000952"/>
    <d v="2025-11-05T00:00:00"/>
    <s v="CLI01114"/>
    <s v="PRD007"/>
    <s v="AG013"/>
    <s v="COM043"/>
    <n v="3"/>
    <n v="145"/>
    <n v="0"/>
    <s v="Cash"/>
    <s v="Validée"/>
    <s v="Client 01114"/>
    <s v="Lubumbashi"/>
    <s v="Institution"/>
    <s v="Écran 24 pouces"/>
    <s v="Informatique"/>
    <s v="Standard"/>
    <s v="Agence Kinshasa 3"/>
    <s v="Kinshasa"/>
    <s v="Commercial 043"/>
    <n v="57"/>
    <x v="0"/>
    <n v="28"/>
    <n v="7.6"/>
    <n v="2"/>
    <s v="Magasin"/>
    <n v="97.15"/>
    <n v="435"/>
    <n v="0"/>
    <n v="435"/>
    <n v="291.45000000000005"/>
    <n v="143.54999999999995"/>
    <n v="0.3299999999999999"/>
    <n v="2025"/>
    <n v="11"/>
    <s v="2025-11"/>
    <s v="T4"/>
    <s v="50+"/>
    <s v="bon"/>
    <s v="Rapide"/>
    <s v="Faible"/>
  </r>
  <r>
    <s v="TX0000953"/>
    <d v="2025-06-22T00:00:00"/>
    <s v="CLI00804"/>
    <s v="PRD008"/>
    <s v="AG011"/>
    <s v="COM003"/>
    <n v="2"/>
    <n v="35"/>
    <n v="0.1"/>
    <s v="Carte"/>
    <s v="Validée"/>
    <s v="Client 00804"/>
    <s v="Matadi"/>
    <s v="Indépendant"/>
    <s v="Clavier Pro"/>
    <s v="Informatique"/>
    <s v="Entrée de gamme"/>
    <s v="Agence Matadi 2"/>
    <s v="Matadi"/>
    <s v="Commercial 003"/>
    <n v="57"/>
    <x v="0"/>
    <n v="33"/>
    <n v="5.4"/>
    <n v="7"/>
    <s v="Téléphone"/>
    <n v="24.15"/>
    <n v="70"/>
    <n v="7"/>
    <n v="63"/>
    <n v="48.3"/>
    <n v="14.700000000000003"/>
    <n v="0.23333333333333336"/>
    <n v="2025"/>
    <n v="6"/>
    <s v="2025-06"/>
    <s v="T2"/>
    <s v="50+"/>
    <s v="moyen"/>
    <s v="Long"/>
    <s v="Faible"/>
  </r>
  <r>
    <s v="TX0000954"/>
    <d v="2025-01-09T00:00:00"/>
    <s v="CLI02020"/>
    <s v="PRD008"/>
    <s v="AG014"/>
    <s v="COM036"/>
    <n v="3"/>
    <n v="35"/>
    <n v="0"/>
    <s v="Carte"/>
    <s v="Validée"/>
    <s v="Client 02020"/>
    <s v="Goma"/>
    <s v="Institution"/>
    <s v="Clavier Pro"/>
    <s v="Informatique"/>
    <s v="Entrée de gamme"/>
    <s v="Agence Lubumbashi 3"/>
    <s v="Lubumbashi"/>
    <s v="Commercial 036"/>
    <n v="56"/>
    <x v="0"/>
    <n v="40"/>
    <n v="5.3"/>
    <n v="6"/>
    <s v="Magasin"/>
    <n v="24.15"/>
    <n v="105"/>
    <n v="0"/>
    <n v="105"/>
    <n v="72.449999999999989"/>
    <n v="32.550000000000011"/>
    <n v="0.31000000000000011"/>
    <n v="2025"/>
    <n v="1"/>
    <s v="2025-01"/>
    <s v="T1"/>
    <s v="50+"/>
    <s v="moyen"/>
    <s v="Moyen"/>
    <s v="Faible"/>
  </r>
  <r>
    <s v="TX0000955"/>
    <d v="2025-10-01T00:00:00"/>
    <s v="CLI00180"/>
    <s v="PRD007"/>
    <s v="AG015"/>
    <s v="COM027"/>
    <n v="20"/>
    <n v="145"/>
    <n v="0"/>
    <s v="Cash"/>
    <s v="Validée"/>
    <s v="Client 00180"/>
    <s v="Goma"/>
    <s v="ONG"/>
    <s v="Écran 24 pouces"/>
    <s v="Informatique"/>
    <s v="Standard"/>
    <s v="Agence Goma 3"/>
    <s v="Goma"/>
    <s v="Commercial 027"/>
    <n v="38"/>
    <x v="1"/>
    <n v="51"/>
    <n v="4.8"/>
    <n v="6"/>
    <s v="Web"/>
    <n v="97.15"/>
    <n v="2900"/>
    <n v="0"/>
    <n v="2900"/>
    <n v="1943"/>
    <n v="957"/>
    <n v="0.33"/>
    <n v="2025"/>
    <n v="10"/>
    <s v="2025-10"/>
    <s v="T4"/>
    <s v="30-39"/>
    <s v="faible"/>
    <s v="Moyen"/>
    <s v="Elevée"/>
  </r>
  <r>
    <s v="TX0000956"/>
    <d v="2025-04-20T00:00:00"/>
    <s v="CLI01808"/>
    <s v="PRD005"/>
    <s v="AG008"/>
    <s v="COM048"/>
    <n v="1"/>
    <n v="260"/>
    <n v="0"/>
    <s v="Cash"/>
    <s v="Validée"/>
    <s v="Client 01808"/>
    <s v="Matadi"/>
    <s v="ONG"/>
    <s v="Tablette T10"/>
    <s v="Électronique"/>
    <s v="Standard"/>
    <s v="Agence Lubumbashi 2"/>
    <s v="Lubumbashi"/>
    <s v="Commercial 048"/>
    <n v="24"/>
    <x v="0"/>
    <n v="52"/>
    <n v="4.5"/>
    <n v="7"/>
    <s v="Magasin"/>
    <n v="189.8"/>
    <n v="260"/>
    <n v="0"/>
    <n v="260"/>
    <n v="189.8"/>
    <n v="70.199999999999989"/>
    <n v="0.26999999999999996"/>
    <n v="2025"/>
    <n v="4"/>
    <s v="2025-04"/>
    <s v="T2"/>
    <s v="22-29"/>
    <s v="faible"/>
    <s v="Long"/>
    <s v="Faible"/>
  </r>
  <r>
    <s v="TX0000957"/>
    <d v="2025-10-29T00:00:00"/>
    <s v="CLI01676"/>
    <s v="PRD004"/>
    <s v="AG009"/>
    <s v="COM042"/>
    <n v="5"/>
    <n v="520"/>
    <n v="0"/>
    <s v="Cash"/>
    <s v="Validée"/>
    <s v="Client 01676"/>
    <s v="Kisangani"/>
    <s v="ONG"/>
    <s v="Laptop Essential 15"/>
    <s v="Informatique"/>
    <s v="Standard"/>
    <s v="Agence Goma 2"/>
    <s v="Goma"/>
    <s v="Commercial 042"/>
    <n v="45"/>
    <x v="0"/>
    <n v="16"/>
    <n v="4.8"/>
    <n v="8"/>
    <s v="Magasin"/>
    <n v="348.4"/>
    <n v="2600"/>
    <n v="0"/>
    <n v="2600"/>
    <n v="1742"/>
    <n v="858"/>
    <n v="0.33"/>
    <n v="2025"/>
    <n v="10"/>
    <s v="2025-10"/>
    <s v="T4"/>
    <s v="40-49"/>
    <s v="faible"/>
    <s v="Long"/>
    <s v="Elevée"/>
  </r>
  <r>
    <s v="TX0000958"/>
    <d v="2025-05-09T00:00:00"/>
    <s v="CLI00970"/>
    <s v="PRD004"/>
    <s v="AG003"/>
    <s v="COM052"/>
    <n v="4"/>
    <n v="520"/>
    <n v="0.05"/>
    <s v="Carte"/>
    <s v="Validée"/>
    <s v="Client 00970"/>
    <s v="Goma"/>
    <s v="ONG"/>
    <s v="Laptop Essential 15"/>
    <s v="Informatique"/>
    <s v="Standard"/>
    <s v="Agence Goma 1"/>
    <s v="Goma"/>
    <s v="Commercial 052"/>
    <n v="38"/>
    <x v="1"/>
    <n v="21"/>
    <n v="3.9"/>
    <n v="8"/>
    <s v="WhatsApp"/>
    <n v="348.4"/>
    <n v="2080"/>
    <n v="104"/>
    <n v="1976"/>
    <n v="1393.6"/>
    <n v="582.40000000000009"/>
    <n v="0.29473684210526319"/>
    <n v="2025"/>
    <n v="5"/>
    <s v="2025-05"/>
    <s v="T2"/>
    <s v="30-39"/>
    <s v="faible"/>
    <s v="Long"/>
    <s v="Elevée"/>
  </r>
  <r>
    <s v="TX0000959"/>
    <d v="2025-09-08T00:00:00"/>
    <s v="CLI01135"/>
    <s v="PRD006"/>
    <s v="AG001"/>
    <s v="COM060"/>
    <n v="4"/>
    <n v="190"/>
    <n v="0"/>
    <s v="Mobile Money"/>
    <s v="Validée"/>
    <s v="Client 01135"/>
    <s v="Kinshasa"/>
    <s v="ONG"/>
    <s v="Imprimante Office"/>
    <s v="Bureautique"/>
    <s v="Standard"/>
    <s v="Agence Kinshasa 1"/>
    <s v="Kinshasa"/>
    <s v="Commercial 060"/>
    <n v="41"/>
    <x v="1"/>
    <n v="22"/>
    <n v="6.6"/>
    <n v="3"/>
    <s v="Web"/>
    <n v="148.19999999999999"/>
    <n v="760"/>
    <n v="0"/>
    <n v="760"/>
    <n v="592.79999999999995"/>
    <n v="167.20000000000005"/>
    <n v="0.22000000000000006"/>
    <n v="2025"/>
    <n v="9"/>
    <s v="2025-09"/>
    <s v="T3"/>
    <s v="40-49"/>
    <s v="moyen"/>
    <s v="Rapide"/>
    <s v="Moyenne"/>
  </r>
  <r>
    <s v="TX0000960"/>
    <d v="2025-04-28T00:00:00"/>
    <s v="CLI00410"/>
    <s v="PRD003"/>
    <s v="AG017"/>
    <s v="COM038"/>
    <n v="6"/>
    <n v="780"/>
    <n v="0"/>
    <s v="Cash"/>
    <s v="Validée"/>
    <s v="Client 00410"/>
    <s v="Goma"/>
    <s v="Indépendant"/>
    <s v="Laptop Business 14"/>
    <s v="Informatique"/>
    <s v="Premium"/>
    <s v="Agence Matadi 3"/>
    <s v="Matadi"/>
    <s v="Commercial 038"/>
    <n v="59"/>
    <x v="1"/>
    <n v="64"/>
    <n v="6"/>
    <n v="4"/>
    <s v="Téléphone"/>
    <n v="468"/>
    <n v="4680"/>
    <n v="0"/>
    <n v="4680"/>
    <n v="2808"/>
    <n v="1872"/>
    <n v="0.4"/>
    <n v="2025"/>
    <n v="4"/>
    <s v="2025-04"/>
    <s v="T2"/>
    <s v="50+"/>
    <s v="moyen"/>
    <s v="Moyen"/>
    <s v="Elevée"/>
  </r>
  <r>
    <s v="TX0000962"/>
    <d v="2025-03-22T00:00:00"/>
    <s v="CLI00088"/>
    <s v="PRD009"/>
    <s v="AG007"/>
    <s v="COM012"/>
    <n v="1"/>
    <n v="22"/>
    <n v="0"/>
    <s v="Carte"/>
    <s v="Validée"/>
    <s v="Client 00088"/>
    <s v="Kinshasa"/>
    <s v="PME"/>
    <s v="Souris Wireless"/>
    <s v="Informatique"/>
    <s v="Entrée de gamme"/>
    <s v="Agence Kinshasa 2"/>
    <s v="Kinshasa"/>
    <s v="Commercial 012"/>
    <n v="28"/>
    <x v="1"/>
    <n v="31"/>
    <n v="7.7"/>
    <n v="3"/>
    <s v="WhatsApp"/>
    <n v="14.96"/>
    <n v="22"/>
    <n v="0"/>
    <n v="22"/>
    <n v="14.96"/>
    <n v="7.0399999999999991"/>
    <n v="0.31999999999999995"/>
    <n v="2025"/>
    <n v="3"/>
    <s v="2025-03"/>
    <s v="T1"/>
    <s v="22-29"/>
    <s v="bon"/>
    <s v="Rapide"/>
    <s v="Faible"/>
  </r>
  <r>
    <s v="TX0000963"/>
    <d v="2025-08-24T00:00:00"/>
    <s v="CLI00857"/>
    <s v="PRD007"/>
    <s v="AG005"/>
    <s v="COM019"/>
    <n v="1"/>
    <n v="145"/>
    <n v="0.02"/>
    <s v="Carte"/>
    <s v="Validée"/>
    <s v="Client 00857"/>
    <s v="Kinshasa"/>
    <s v="Indépendant"/>
    <s v="Écran 24 pouces"/>
    <s v="Informatique"/>
    <s v="Standard"/>
    <s v="Agence Matadi 1"/>
    <s v="Matadi"/>
    <s v="Commercial 019"/>
    <n v="53"/>
    <x v="1"/>
    <n v="56"/>
    <n v="6.8"/>
    <n v="5"/>
    <s v="Web"/>
    <n v="97.15"/>
    <n v="145"/>
    <n v="2.9"/>
    <n v="142.1"/>
    <n v="97.15"/>
    <n v="44.949999999999989"/>
    <n v="0.31632653061224481"/>
    <n v="2025"/>
    <n v="8"/>
    <s v="2025-08"/>
    <s v="T3"/>
    <s v="50+"/>
    <s v="moyen"/>
    <s v="Moyen"/>
    <s v="Faible"/>
  </r>
  <r>
    <s v="TX0000964"/>
    <d v="2025-11-18T00:00:00"/>
    <s v="CLI00129"/>
    <s v="PRD004"/>
    <s v="AG007"/>
    <s v="COM024"/>
    <n v="4"/>
    <n v="520"/>
    <n v="0.1"/>
    <s v="Virement"/>
    <s v="Validée"/>
    <s v="Client 00129"/>
    <s v="Kisangani"/>
    <s v="Indépendant"/>
    <s v="Laptop Essential 15"/>
    <s v="Informatique"/>
    <s v="Standard"/>
    <s v="Agence Kinshasa 2"/>
    <s v="Kinshasa"/>
    <s v="Commercial 024"/>
    <n v="48"/>
    <x v="1"/>
    <n v="64"/>
    <n v="4.8"/>
    <n v="6"/>
    <s v="WhatsApp"/>
    <n v="348.4"/>
    <n v="2080"/>
    <n v="208"/>
    <n v="1872"/>
    <n v="1393.6"/>
    <n v="478.40000000000009"/>
    <n v="0.25555555555555559"/>
    <n v="2025"/>
    <n v="11"/>
    <s v="2025-11"/>
    <s v="T4"/>
    <s v="40-49"/>
    <s v="faible"/>
    <s v="Moyen"/>
    <s v="Elevée"/>
  </r>
  <r>
    <s v="TX0000965"/>
    <d v="2025-03-23T00:00:00"/>
    <s v="CLI01769"/>
    <s v="PRD005"/>
    <s v="AG003"/>
    <s v="COM054"/>
    <n v="2"/>
    <n v="260"/>
    <n v="0"/>
    <s v="Carte"/>
    <s v="Validée"/>
    <s v="Client 01769"/>
    <s v="Kolwezi"/>
    <s v="Institution"/>
    <s v="Tablette T10"/>
    <s v="Électronique"/>
    <s v="Standard"/>
    <s v="Agence Goma 1"/>
    <s v="Goma"/>
    <s v="Commercial 054"/>
    <n v="60"/>
    <x v="1"/>
    <n v="55"/>
    <n v="3.8"/>
    <n v="9"/>
    <s v="WhatsApp"/>
    <n v="189.8"/>
    <n v="520"/>
    <n v="0"/>
    <n v="520"/>
    <n v="379.6"/>
    <n v="140.39999999999998"/>
    <n v="0.26999999999999996"/>
    <n v="2025"/>
    <n v="3"/>
    <s v="2025-03"/>
    <s v="T1"/>
    <s v="50+"/>
    <s v="faible"/>
    <s v="Long"/>
    <s v="Moyenne"/>
  </r>
  <r>
    <s v="TX0000966"/>
    <d v="2025-02-13T00:00:00"/>
    <s v="CLI02184"/>
    <s v="PRD006"/>
    <s v="AG014"/>
    <s v="COM007"/>
    <n v="4"/>
    <n v="190"/>
    <n v="0"/>
    <s v="Cash"/>
    <s v="Validée"/>
    <s v="Client 02184"/>
    <s v="Lubumbashi"/>
    <s v="Institution"/>
    <s v="Imprimante Office"/>
    <s v="Bureautique"/>
    <s v="Standard"/>
    <s v="Agence Lubumbashi 3"/>
    <s v="Lubumbashi"/>
    <s v="Commercial 007"/>
    <n v="50"/>
    <x v="0"/>
    <n v="32"/>
    <n v="5.4"/>
    <n v="5"/>
    <s v="WhatsApp"/>
    <n v="148.19999999999999"/>
    <n v="760"/>
    <n v="0"/>
    <n v="760"/>
    <n v="592.79999999999995"/>
    <n v="167.20000000000005"/>
    <n v="0.22000000000000006"/>
    <n v="2025"/>
    <n v="2"/>
    <s v="2025-02"/>
    <s v="T1"/>
    <s v="50+"/>
    <s v="moyen"/>
    <s v="Moyen"/>
    <s v="Moyenne"/>
  </r>
  <r>
    <s v="TX0000967"/>
    <d v="2025-03-27T00:00:00"/>
    <s v="CLI00445"/>
    <s v="PRD014"/>
    <s v="AG008"/>
    <s v="COM045"/>
    <n v="1"/>
    <n v="65"/>
    <n v="0.05"/>
    <s v="Virement"/>
    <s v="Validée"/>
    <s v="Client 00445"/>
    <s v="Kolwezi"/>
    <s v="Indépendant"/>
    <s v="Casque Pro"/>
    <s v="Électronique"/>
    <s v="Standard"/>
    <s v="Agence Lubumbashi 2"/>
    <s v="Lubumbashi"/>
    <s v="Commercial 045"/>
    <n v="27"/>
    <x v="0"/>
    <n v="60"/>
    <n v="7.5"/>
    <n v="3"/>
    <s v="Magasin"/>
    <n v="47.45"/>
    <n v="65"/>
    <n v="3.25"/>
    <n v="61.75"/>
    <n v="47.45"/>
    <n v="14.299999999999997"/>
    <n v="0.231578947368421"/>
    <n v="2025"/>
    <n v="3"/>
    <s v="2025-03"/>
    <s v="T1"/>
    <s v="22-29"/>
    <s v="bon"/>
    <s v="Rapide"/>
    <s v="Faible"/>
  </r>
  <r>
    <s v="TX0000968"/>
    <d v="2025-03-30T00:00:00"/>
    <s v="CLI00645"/>
    <s v="PRD007"/>
    <s v="AG015"/>
    <s v="COM028"/>
    <n v="3"/>
    <n v="145"/>
    <n v="0.1"/>
    <s v="Mobile Money"/>
    <s v="Validée"/>
    <s v="Client 00645"/>
    <s v="Kisangani"/>
    <s v="Institution"/>
    <s v="Écran 24 pouces"/>
    <s v="Informatique"/>
    <s v="Standard"/>
    <s v="Agence Goma 3"/>
    <s v="Goma"/>
    <s v="Commercial 028"/>
    <n v="41"/>
    <x v="1"/>
    <n v="13"/>
    <n v="5.4"/>
    <n v="7"/>
    <s v="Web"/>
    <n v="97.15"/>
    <n v="435"/>
    <n v="43.5"/>
    <n v="391.5"/>
    <n v="291.45000000000005"/>
    <n v="100.04999999999995"/>
    <n v="0.25555555555555542"/>
    <n v="2025"/>
    <n v="3"/>
    <s v="2025-03"/>
    <s v="T1"/>
    <s v="40-49"/>
    <s v="moyen"/>
    <s v="Long"/>
    <s v="Faible"/>
  </r>
  <r>
    <s v="TX0000970"/>
    <d v="2025-12-25T00:00:00"/>
    <s v="CLI00473"/>
    <s v="PRD005"/>
    <s v="AG002"/>
    <s v="COM015"/>
    <n v="3"/>
    <n v="260"/>
    <n v="0.1"/>
    <s v="Cash"/>
    <s v="Validée"/>
    <s v="Client 00473"/>
    <s v="Goma"/>
    <s v="Indépendant"/>
    <s v="Tablette T10"/>
    <s v="Électronique"/>
    <s v="Standard"/>
    <s v="Agence Lubumbashi 1"/>
    <s v="Lubumbashi"/>
    <s v="Commercial 015"/>
    <n v="54"/>
    <x v="0"/>
    <n v="60"/>
    <n v="4.2"/>
    <n v="8"/>
    <s v="Téléphone"/>
    <n v="189.8"/>
    <n v="780"/>
    <n v="78"/>
    <n v="702"/>
    <n v="569.40000000000009"/>
    <n v="132.59999999999991"/>
    <n v="0.18888888888888877"/>
    <n v="2025"/>
    <n v="12"/>
    <s v="2025-12"/>
    <s v="T4"/>
    <s v="50+"/>
    <s v="faible"/>
    <s v="Long"/>
    <s v="Moyenne"/>
  </r>
  <r>
    <s v="TX0000971"/>
    <d v="2025-04-03T00:00:00"/>
    <s v="CLI01617"/>
    <s v="PRD005"/>
    <s v="AG002"/>
    <s v="COM034"/>
    <n v="3"/>
    <n v="260"/>
    <n v="0"/>
    <s v="Carte"/>
    <s v="Validée"/>
    <s v="Client 01617"/>
    <s v="Kolwezi"/>
    <s v="Indépendant"/>
    <s v="Tablette T10"/>
    <s v="Électronique"/>
    <s v="Standard"/>
    <s v="Agence Lubumbashi 1"/>
    <s v="Lubumbashi"/>
    <s v="Commercial 034"/>
    <n v="56"/>
    <x v="0"/>
    <n v="46"/>
    <n v="5.7"/>
    <n v="6"/>
    <s v="WhatsApp"/>
    <n v="189.8"/>
    <n v="780"/>
    <n v="0"/>
    <n v="780"/>
    <n v="569.40000000000009"/>
    <n v="210.59999999999991"/>
    <n v="0.26999999999999991"/>
    <n v="2025"/>
    <n v="4"/>
    <s v="2025-04"/>
    <s v="T2"/>
    <s v="50+"/>
    <s v="moyen"/>
    <s v="Moyen"/>
    <s v="Moyenne"/>
  </r>
  <r>
    <s v="TX0000972"/>
    <d v="2025-10-10T00:00:00"/>
    <s v="CLI00208"/>
    <s v="PRD003"/>
    <s v="AG008"/>
    <s v="COM035"/>
    <n v="1"/>
    <n v="780"/>
    <n v="0.05"/>
    <s v="Cash"/>
    <s v="Validée"/>
    <s v="Client 00208"/>
    <s v="Lubumbashi"/>
    <s v="Grande entreprise"/>
    <s v="Laptop Business 14"/>
    <s v="Informatique"/>
    <s v="Premium"/>
    <s v="Agence Lubumbashi 2"/>
    <s v="Lubumbashi"/>
    <s v="Commercial 035"/>
    <n v="53"/>
    <x v="1"/>
    <n v="17"/>
    <n v="7.9"/>
    <n v="3"/>
    <s v="WhatsApp"/>
    <n v="468"/>
    <n v="780"/>
    <n v="39"/>
    <n v="741"/>
    <n v="468"/>
    <n v="273"/>
    <n v="0.36842105263157893"/>
    <n v="2025"/>
    <n v="10"/>
    <s v="2025-10"/>
    <s v="T4"/>
    <s v="50+"/>
    <s v="bon"/>
    <s v="Rapide"/>
    <s v="Moyenne"/>
  </r>
  <r>
    <s v="TX0000973"/>
    <d v="2025-08-07T00:00:00"/>
    <s v="CLI01361"/>
    <s v="PRD005"/>
    <s v="AG006"/>
    <s v="COM003"/>
    <n v="2"/>
    <n v="260"/>
    <n v="0.1"/>
    <s v="Carte"/>
    <s v="Validée"/>
    <s v="Client 01361"/>
    <s v="Kolwezi"/>
    <s v="Grande entreprise"/>
    <s v="Tablette T10"/>
    <s v="Électronique"/>
    <s v="Standard"/>
    <s v="Agence Kolwezi 1"/>
    <s v="Kolwezi"/>
    <s v="Commercial 003"/>
    <n v="59"/>
    <x v="1"/>
    <n v="16"/>
    <n v="3.6"/>
    <n v="9"/>
    <s v="WhatsApp"/>
    <n v="189.8"/>
    <n v="520"/>
    <n v="52"/>
    <n v="468"/>
    <n v="379.6"/>
    <n v="88.399999999999977"/>
    <n v="0.18888888888888883"/>
    <n v="2025"/>
    <n v="8"/>
    <s v="2025-08"/>
    <s v="T3"/>
    <s v="50+"/>
    <s v="faible"/>
    <s v="Long"/>
    <s v="Faible"/>
  </r>
  <r>
    <s v="TX0000974"/>
    <d v="2025-11-16T00:00:00"/>
    <s v="CLI00904"/>
    <s v="PRD003"/>
    <s v="AG017"/>
    <s v="COM010"/>
    <n v="2"/>
    <n v="780"/>
    <n v="0.02"/>
    <s v="Cash"/>
    <s v="Validée"/>
    <s v="Client 00904"/>
    <s v="Kinshasa"/>
    <s v="PME"/>
    <s v="Laptop Business 14"/>
    <s v="Informatique"/>
    <s v="Premium"/>
    <s v="Agence Matadi 3"/>
    <s v="Matadi"/>
    <s v="Commercial 010"/>
    <n v="52"/>
    <x v="0"/>
    <n v="38"/>
    <n v="5.4"/>
    <n v="5"/>
    <s v="WhatsApp"/>
    <n v="468"/>
    <n v="1560"/>
    <n v="31.2"/>
    <n v="1528.8"/>
    <n v="936"/>
    <n v="592.79999999999995"/>
    <n v="0.38775510204081631"/>
    <n v="2025"/>
    <n v="11"/>
    <s v="2025-11"/>
    <s v="T4"/>
    <s v="50+"/>
    <s v="moyen"/>
    <s v="Moyen"/>
    <s v="Elevée"/>
  </r>
  <r>
    <s v="TX0000975"/>
    <d v="2025-05-22T00:00:00"/>
    <s v="CLI01319"/>
    <s v="PRD015"/>
    <s v="AG006"/>
    <s v="COM044"/>
    <n v="20"/>
    <n v="48"/>
    <n v="0"/>
    <s v="Cash"/>
    <s v="Validée"/>
    <s v="Client 01319"/>
    <s v="Kinshasa"/>
    <s v="Indépendant"/>
    <s v="Webcam HD"/>
    <s v="Électronique"/>
    <s v="Entrée de gamme"/>
    <s v="Agence Kolwezi 1"/>
    <s v="Kolwezi"/>
    <s v="Commercial 044"/>
    <n v="53"/>
    <x v="0"/>
    <n v="33"/>
    <n v="5.4"/>
    <n v="5"/>
    <s v="Téléphone"/>
    <n v="37.44"/>
    <n v="960"/>
    <n v="0"/>
    <n v="960"/>
    <n v="748.8"/>
    <n v="211.20000000000005"/>
    <n v="0.22000000000000006"/>
    <n v="2025"/>
    <n v="5"/>
    <s v="2025-05"/>
    <s v="T2"/>
    <s v="50+"/>
    <s v="moyen"/>
    <s v="Moyen"/>
    <s v="Moyenne"/>
  </r>
  <r>
    <s v="TX0000976"/>
    <d v="2025-01-16T00:00:00"/>
    <s v="CLI00048"/>
    <s v="PRD001"/>
    <s v="AG001"/>
    <s v="COM056"/>
    <n v="1"/>
    <n v="120"/>
    <n v="0"/>
    <s v="Cash"/>
    <s v="Validée"/>
    <s v="Client 00048"/>
    <s v="Matadi"/>
    <s v="Grande entreprise"/>
    <s v="Smartphone A1"/>
    <s v="Électronique"/>
    <s v="Entrée de gamme"/>
    <s v="Agence Kinshasa 1"/>
    <s v="Kinshasa"/>
    <s v="Commercial 056"/>
    <n v="56"/>
    <x v="0"/>
    <n v="14"/>
    <n v="3.9"/>
    <n v="8"/>
    <s v="Magasin"/>
    <n v="73.2"/>
    <n v="120"/>
    <n v="0"/>
    <n v="120"/>
    <n v="73.2"/>
    <n v="46.8"/>
    <n v="0.38999999999999996"/>
    <n v="2025"/>
    <n v="1"/>
    <s v="2025-01"/>
    <s v="T1"/>
    <s v="50+"/>
    <s v="faible"/>
    <s v="Long"/>
    <s v="Faible"/>
  </r>
  <r>
    <s v="TX0000977"/>
    <d v="2025-10-03T00:00:00"/>
    <s v="CLI00780"/>
    <s v="PRD016"/>
    <s v="AG004"/>
    <s v="COM029"/>
    <n v="3"/>
    <n v="420"/>
    <n v="0"/>
    <s v="Cash"/>
    <s v="Validée"/>
    <s v="Client 00780"/>
    <s v="Kisangani"/>
    <s v="Grande entreprise"/>
    <s v="Projecteur HD"/>
    <s v="Bureautique"/>
    <s v="Premium"/>
    <s v="Agence Kisangani 1"/>
    <s v="Kisangani"/>
    <s v="Commercial 029"/>
    <n v="34"/>
    <x v="1"/>
    <n v="3"/>
    <n v="4.3"/>
    <n v="9"/>
    <s v="Téléphone"/>
    <n v="273"/>
    <n v="1260"/>
    <n v="0"/>
    <n v="1260"/>
    <n v="819"/>
    <n v="441"/>
    <n v="0.35"/>
    <n v="2025"/>
    <n v="10"/>
    <s v="2025-10"/>
    <s v="T4"/>
    <s v="30-39"/>
    <s v="faible"/>
    <s v="Long"/>
    <s v="Elevée"/>
  </r>
  <r>
    <s v="TX0000978"/>
    <d v="2025-02-28T00:00:00"/>
    <s v="CLI01448"/>
    <s v="PRD011"/>
    <s v="AG013"/>
    <s v="COM044"/>
    <n v="4"/>
    <n v="240"/>
    <n v="0.05"/>
    <s v="Virement"/>
    <s v="Validée"/>
    <s v="Client 01448"/>
    <s v="Matadi"/>
    <s v="ONG"/>
    <s v="Switch 24 Ports"/>
    <s v="Réseau"/>
    <s v="Premium"/>
    <s v="Agence Kinshasa 3"/>
    <s v="Kinshasa"/>
    <s v="Commercial 044"/>
    <n v="52"/>
    <x v="0"/>
    <n v="11"/>
    <n v="8"/>
    <n v="2"/>
    <s v="Web"/>
    <n v="177.6"/>
    <n v="960"/>
    <n v="48"/>
    <n v="912"/>
    <n v="710.4"/>
    <n v="201.60000000000002"/>
    <n v="0.22105263157894739"/>
    <n v="2025"/>
    <n v="2"/>
    <s v="2025-02"/>
    <s v="T1"/>
    <s v="50+"/>
    <s v="bon"/>
    <s v="Rapide"/>
    <s v="Moyenne"/>
  </r>
  <r>
    <s v="TX0000979"/>
    <d v="2025-03-17T00:00:00"/>
    <s v="CLI01069"/>
    <s v="PRD006"/>
    <s v="AG003"/>
    <s v="COM035"/>
    <n v="3"/>
    <n v="190"/>
    <n v="0.05"/>
    <s v="Mobile Money"/>
    <s v="Validée"/>
    <s v="Client 01069"/>
    <s v="Kinshasa"/>
    <s v="PME"/>
    <s v="Imprimante Office"/>
    <s v="Bureautique"/>
    <s v="Standard"/>
    <s v="Agence Goma 1"/>
    <s v="Goma"/>
    <s v="Commercial 035"/>
    <n v="52"/>
    <x v="1"/>
    <n v="62"/>
    <n v="7.5"/>
    <n v="3"/>
    <s v="WhatsApp"/>
    <n v="148.19999999999999"/>
    <n v="570"/>
    <n v="28.5"/>
    <n v="541.5"/>
    <n v="444.59999999999997"/>
    <n v="96.900000000000034"/>
    <n v="0.17894736842105269"/>
    <n v="2025"/>
    <n v="3"/>
    <s v="2025-03"/>
    <s v="T1"/>
    <s v="50+"/>
    <s v="bon"/>
    <s v="Rapide"/>
    <s v="Moyenne"/>
  </r>
  <r>
    <s v="TX0000980"/>
    <d v="2025-05-28T00:00:00"/>
    <s v="CLI02140"/>
    <s v="PRD003"/>
    <s v="AG005"/>
    <s v="COM012"/>
    <n v="2"/>
    <n v="780"/>
    <n v="0.1"/>
    <s v="Cash"/>
    <s v="Validée"/>
    <s v="Client 02140"/>
    <s v="Kolwezi"/>
    <s v="Indépendant"/>
    <s v="Laptop Business 14"/>
    <s v="Informatique"/>
    <s v="Premium"/>
    <s v="Agence Matadi 1"/>
    <s v="Matadi"/>
    <s v="Commercial 012"/>
    <n v="57"/>
    <x v="0"/>
    <n v="49"/>
    <n v="7.4"/>
    <n v="4"/>
    <s v="Téléphone"/>
    <n v="468"/>
    <n v="1560"/>
    <n v="156"/>
    <n v="1404"/>
    <n v="936"/>
    <n v="468"/>
    <n v="0.33333333333333331"/>
    <n v="2025"/>
    <n v="5"/>
    <s v="2025-05"/>
    <s v="T2"/>
    <s v="50+"/>
    <s v="bon"/>
    <s v="Moyen"/>
    <s v="Elevée"/>
  </r>
  <r>
    <s v="TX0000981"/>
    <d v="2025-08-28T00:00:00"/>
    <s v="CLI01921"/>
    <s v="PRD002"/>
    <s v="AG017"/>
    <s v="COM028"/>
    <n v="1"/>
    <n v="350"/>
    <n v="0.05"/>
    <s v="Cash"/>
    <s v="Validée"/>
    <s v="Client 01921"/>
    <s v="Goma"/>
    <s v="Grande entreprise"/>
    <s v="Smartphone Pro X"/>
    <s v="Électronique"/>
    <s v="Premium"/>
    <s v="Agence Matadi 3"/>
    <s v="Matadi"/>
    <s v="Commercial 028"/>
    <n v="49"/>
    <x v="0"/>
    <n v="41"/>
    <n v="6.5"/>
    <n v="5"/>
    <s v="Web"/>
    <n v="213.5"/>
    <n v="350"/>
    <n v="17.5"/>
    <n v="332.5"/>
    <n v="213.5"/>
    <n v="119"/>
    <n v="0.35789473684210527"/>
    <n v="2025"/>
    <n v="8"/>
    <s v="2025-08"/>
    <s v="T3"/>
    <s v="40-49"/>
    <s v="moyen"/>
    <s v="Moyen"/>
    <s v="Faible"/>
  </r>
  <r>
    <s v="TX0000982"/>
    <d v="2025-11-22T00:00:00"/>
    <s v="CLI01071"/>
    <s v="PRD008"/>
    <s v="AG013"/>
    <s v="COM023"/>
    <n v="2"/>
    <n v="35"/>
    <n v="0"/>
    <s v="Virement"/>
    <s v="Validée"/>
    <s v="Client 01071"/>
    <s v="Kinshasa"/>
    <s v="Indépendant"/>
    <s v="Clavier Pro"/>
    <s v="Informatique"/>
    <s v="Entrée de gamme"/>
    <s v="Agence Kinshasa 3"/>
    <s v="Kinshasa"/>
    <s v="Commercial 023"/>
    <n v="29"/>
    <x v="1"/>
    <n v="22"/>
    <n v="4.7"/>
    <n v="7"/>
    <s v="Téléphone"/>
    <n v="24.15"/>
    <n v="70"/>
    <n v="0"/>
    <n v="70"/>
    <n v="48.3"/>
    <n v="21.700000000000003"/>
    <n v="0.31000000000000005"/>
    <n v="2025"/>
    <n v="11"/>
    <s v="2025-11"/>
    <s v="T4"/>
    <s v="22-29"/>
    <s v="faible"/>
    <s v="Long"/>
    <s v="Faible"/>
  </r>
  <r>
    <s v="TX0000984"/>
    <d v="2025-03-29T00:00:00"/>
    <s v="CLI01514"/>
    <s v="PRD002"/>
    <s v="AG012"/>
    <s v="COM020"/>
    <n v="4"/>
    <n v="350"/>
    <n v="0.02"/>
    <s v="Cash"/>
    <s v="Validée"/>
    <s v="Client 01514"/>
    <s v="Kinshasa"/>
    <s v="Indépendant"/>
    <s v="Smartphone Pro X"/>
    <s v="Électronique"/>
    <s v="Premium"/>
    <s v="Agence Kolwezi 2"/>
    <s v="Kolwezi"/>
    <s v="Commercial 020"/>
    <n v="29"/>
    <x v="1"/>
    <n v="48"/>
    <n v="4.2"/>
    <n v="9"/>
    <s v="Magasin"/>
    <n v="213.5"/>
    <n v="1400"/>
    <n v="28"/>
    <n v="1372"/>
    <n v="854"/>
    <n v="518"/>
    <n v="0.37755102040816324"/>
    <n v="2025"/>
    <n v="3"/>
    <s v="2025-03"/>
    <s v="T1"/>
    <s v="22-29"/>
    <s v="faible"/>
    <s v="Long"/>
    <s v="Elevée"/>
  </r>
  <r>
    <s v="TX0000985"/>
    <d v="2025-04-17T00:00:00"/>
    <s v="CLI00162"/>
    <s v="PRD016"/>
    <s v="AG002"/>
    <s v="COM027"/>
    <n v="1"/>
    <n v="420"/>
    <n v="0.05"/>
    <s v="Mobile Money"/>
    <s v="Validée"/>
    <s v="Client 00162"/>
    <s v="Kisangani"/>
    <s v="ONG"/>
    <s v="Projecteur HD"/>
    <s v="Bureautique"/>
    <s v="Premium"/>
    <s v="Agence Lubumbashi 1"/>
    <s v="Lubumbashi"/>
    <s v="Commercial 027"/>
    <n v="37"/>
    <x v="0"/>
    <n v="58"/>
    <n v="6"/>
    <n v="6"/>
    <s v="Magasin"/>
    <n v="273"/>
    <n v="420"/>
    <n v="21"/>
    <n v="399"/>
    <n v="273"/>
    <n v="126"/>
    <n v="0.31578947368421051"/>
    <n v="2025"/>
    <n v="4"/>
    <s v="2025-04"/>
    <s v="T2"/>
    <s v="30-39"/>
    <s v="moyen"/>
    <s v="Moyen"/>
    <s v="Faible"/>
  </r>
  <r>
    <s v="TX0000986"/>
    <d v="2025-02-01T00:00:00"/>
    <s v="CLI00070"/>
    <s v="PRD006"/>
    <s v="AG005"/>
    <s v="COM005"/>
    <n v="1"/>
    <n v="190"/>
    <n v="0"/>
    <s v="Cash"/>
    <s v="Validée"/>
    <s v="Client 00070"/>
    <s v="Lubumbashi"/>
    <s v="PME"/>
    <s v="Imprimante Office"/>
    <s v="Bureautique"/>
    <s v="Standard"/>
    <s v="Agence Matadi 1"/>
    <s v="Matadi"/>
    <s v="Commercial 005"/>
    <n v="26"/>
    <x v="1"/>
    <n v="56"/>
    <n v="8"/>
    <n v="1"/>
    <s v="Magasin"/>
    <n v="148.19999999999999"/>
    <n v="190"/>
    <n v="0"/>
    <n v="190"/>
    <n v="148.19999999999999"/>
    <n v="41.800000000000011"/>
    <n v="0.22000000000000006"/>
    <n v="2025"/>
    <n v="2"/>
    <s v="2025-02"/>
    <s v="T1"/>
    <s v="22-29"/>
    <s v="bon"/>
    <s v="Rapide"/>
    <s v="Faible"/>
  </r>
  <r>
    <s v="TX0000988"/>
    <d v="2025-05-08T00:00:00"/>
    <s v="CLI00727"/>
    <s v="PRD016"/>
    <s v="AG016"/>
    <s v="COM057"/>
    <n v="2"/>
    <n v="420"/>
    <n v="0.02"/>
    <s v="Carte"/>
    <s v="Validée"/>
    <s v="Client 00727"/>
    <s v="Kisangani"/>
    <s v="Grande entreprise"/>
    <s v="Projecteur HD"/>
    <s v="Bureautique"/>
    <s v="Premium"/>
    <s v="Agence Kisangani 3"/>
    <s v="Kisangani"/>
    <s v="Commercial 057"/>
    <n v="52"/>
    <x v="1"/>
    <n v="18"/>
    <n v="8"/>
    <n v="1"/>
    <s v="WhatsApp"/>
    <n v="273"/>
    <n v="840"/>
    <n v="16.8"/>
    <n v="823.2"/>
    <n v="546"/>
    <n v="277.20000000000005"/>
    <n v="0.33673469387755106"/>
    <n v="2025"/>
    <n v="5"/>
    <s v="2025-05"/>
    <s v="T2"/>
    <s v="50+"/>
    <s v="bon"/>
    <s v="Rapide"/>
    <s v="Moyenne"/>
  </r>
  <r>
    <s v="TX0000989"/>
    <d v="2025-03-21T00:00:00"/>
    <s v="CLI00263"/>
    <s v="PRD013"/>
    <s v="AG009"/>
    <s v="COM016"/>
    <n v="3"/>
    <n v="110"/>
    <n v="0"/>
    <s v="Mobile Money"/>
    <s v="Validée"/>
    <s v="Client 00263"/>
    <s v="Kolwezi"/>
    <s v="PME"/>
    <s v="Disque SSD 1TB"/>
    <s v="Informatique"/>
    <s v="Premium"/>
    <s v="Agence Goma 2"/>
    <s v="Goma"/>
    <s v="Commercial 016"/>
    <n v="51"/>
    <x v="1"/>
    <n v="62"/>
    <n v="4.7"/>
    <n v="7"/>
    <s v="Magasin"/>
    <n v="72.599999999999994"/>
    <n v="330"/>
    <n v="0"/>
    <n v="330"/>
    <n v="217.79999999999998"/>
    <n v="112.20000000000002"/>
    <n v="0.34"/>
    <n v="2025"/>
    <n v="3"/>
    <s v="2025-03"/>
    <s v="T1"/>
    <s v="50+"/>
    <s v="faible"/>
    <s v="Long"/>
    <s v="Faible"/>
  </r>
  <r>
    <s v="TX0000990"/>
    <d v="2025-11-27T00:00:00"/>
    <s v="CLI01209"/>
    <s v="PRD006"/>
    <s v="AG017"/>
    <s v="COM037"/>
    <n v="3"/>
    <n v="190"/>
    <n v="0.08"/>
    <s v="Virement"/>
    <s v="Validée"/>
    <s v="Client 01209"/>
    <s v="Kinshasa"/>
    <s v="Grande entreprise"/>
    <s v="Imprimante Office"/>
    <s v="Bureautique"/>
    <s v="Standard"/>
    <s v="Agence Matadi 3"/>
    <s v="Matadi"/>
    <s v="Commercial 037"/>
    <n v="26"/>
    <x v="1"/>
    <n v="5"/>
    <n v="8.3000000000000007"/>
    <n v="2"/>
    <s v="Web"/>
    <n v="148.19999999999999"/>
    <n v="570"/>
    <n v="45.6"/>
    <n v="524.4"/>
    <n v="444.59999999999997"/>
    <n v="79.800000000000011"/>
    <n v="0.1521739130434783"/>
    <n v="2025"/>
    <n v="11"/>
    <s v="2025-11"/>
    <s v="T4"/>
    <s v="22-29"/>
    <s v="bon"/>
    <s v="Rapide"/>
    <s v="Moyenne"/>
  </r>
  <r>
    <s v="TX0000991"/>
    <d v="2025-08-03T00:00:00"/>
    <s v="CLI00650"/>
    <s v="PRD001"/>
    <s v="AG008"/>
    <s v="COM057"/>
    <n v="4"/>
    <n v="120"/>
    <n v="0"/>
    <s v="Virement"/>
    <s v="Validée"/>
    <s v="Client 00650"/>
    <s v="Matadi"/>
    <s v="PME"/>
    <s v="Smartphone A1"/>
    <s v="Électronique"/>
    <s v="Entrée de gamme"/>
    <s v="Agence Lubumbashi 2"/>
    <s v="Lubumbashi"/>
    <s v="Commercial 057"/>
    <n v="28"/>
    <x v="1"/>
    <n v="62"/>
    <n v="6.1"/>
    <n v="5"/>
    <s v="Magasin"/>
    <n v="73.2"/>
    <n v="480"/>
    <n v="0"/>
    <n v="480"/>
    <n v="292.8"/>
    <n v="187.2"/>
    <n v="0.38999999999999996"/>
    <n v="2025"/>
    <n v="8"/>
    <s v="2025-08"/>
    <s v="T3"/>
    <s v="22-29"/>
    <s v="moyen"/>
    <s v="Moyen"/>
    <s v="Faible"/>
  </r>
  <r>
    <s v="TX0000992"/>
    <d v="2025-06-08T00:00:00"/>
    <s v="CLI02165"/>
    <s v="PRD014"/>
    <s v="AG007"/>
    <s v="COM007"/>
    <n v="10"/>
    <n v="65"/>
    <n v="0"/>
    <s v="Cash"/>
    <s v="Validée"/>
    <s v="Client 02165"/>
    <s v="Goma"/>
    <s v="ONG"/>
    <s v="Casque Pro"/>
    <s v="Électronique"/>
    <s v="Standard"/>
    <s v="Agence Kinshasa 2"/>
    <s v="Kinshasa"/>
    <s v="Commercial 007"/>
    <n v="60"/>
    <x v="0"/>
    <n v="61"/>
    <n v="4.0999999999999996"/>
    <n v="7"/>
    <s v="Magasin"/>
    <n v="47.45"/>
    <n v="650"/>
    <n v="0"/>
    <n v="650"/>
    <n v="474.5"/>
    <n v="175.5"/>
    <n v="0.27"/>
    <n v="2025"/>
    <n v="6"/>
    <s v="2025-06"/>
    <s v="T2"/>
    <s v="50+"/>
    <s v="faible"/>
    <s v="Long"/>
    <s v="Moyenne"/>
  </r>
  <r>
    <s v="TX0000993"/>
    <d v="2025-07-19T00:00:00"/>
    <s v="CLI00168"/>
    <s v="PRD013"/>
    <s v="AG010"/>
    <s v="COM041"/>
    <n v="1"/>
    <n v="110"/>
    <n v="0.1"/>
    <s v="Virement"/>
    <s v="Validée"/>
    <s v="Client 00168"/>
    <s v="Kolwezi"/>
    <s v="Institution"/>
    <s v="Disque SSD 1TB"/>
    <s v="Informatique"/>
    <s v="Premium"/>
    <s v="Agence Kisangani 2"/>
    <s v="Kisangani"/>
    <s v="Commercial 041"/>
    <n v="44"/>
    <x v="1"/>
    <n v="55"/>
    <n v="3.8"/>
    <n v="9"/>
    <s v="WhatsApp"/>
    <n v="72.599999999999994"/>
    <n v="110"/>
    <n v="11"/>
    <n v="99"/>
    <n v="72.599999999999994"/>
    <n v="26.400000000000006"/>
    <n v="0.26666666666666672"/>
    <n v="2025"/>
    <n v="7"/>
    <s v="2025-07"/>
    <s v="T3"/>
    <s v="40-49"/>
    <s v="faible"/>
    <s v="Long"/>
    <s v="Faible"/>
  </r>
  <r>
    <s v="TX0000994"/>
    <d v="2025-04-28T00:00:00"/>
    <s v="CLI00174"/>
    <s v="PRD006"/>
    <s v="AG013"/>
    <s v="COM051"/>
    <n v="4"/>
    <n v="190"/>
    <n v="0"/>
    <s v="Virement"/>
    <s v="Validée"/>
    <s v="Client 00174"/>
    <s v="Matadi"/>
    <s v="Institution"/>
    <s v="Imprimante Office"/>
    <s v="Bureautique"/>
    <s v="Standard"/>
    <s v="Agence Kinshasa 3"/>
    <s v="Kinshasa"/>
    <s v="Commercial 051"/>
    <n v="49"/>
    <x v="1"/>
    <n v="57"/>
    <n v="6.8"/>
    <n v="5"/>
    <s v="Magasin"/>
    <n v="148.19999999999999"/>
    <n v="760"/>
    <n v="0"/>
    <n v="760"/>
    <n v="592.79999999999995"/>
    <n v="167.20000000000005"/>
    <n v="0.22000000000000006"/>
    <n v="2025"/>
    <n v="4"/>
    <s v="2025-04"/>
    <s v="T2"/>
    <s v="40-49"/>
    <s v="moyen"/>
    <s v="Moyen"/>
    <s v="Moyenne"/>
  </r>
  <r>
    <s v="TX0000995"/>
    <d v="2025-01-12T00:00:00"/>
    <s v="CLI00766"/>
    <s v="PRD010"/>
    <s v="AG007"/>
    <s v="COM056"/>
    <n v="3"/>
    <n v="95"/>
    <n v="0.02"/>
    <s v="Mobile Money"/>
    <s v="Validée"/>
    <s v="Client 00766"/>
    <s v="Lubumbashi"/>
    <s v="Grande entreprise"/>
    <s v="Routeur Business"/>
    <s v="Réseau"/>
    <s v="Standard"/>
    <s v="Agence Kinshasa 2"/>
    <s v="Kinshasa"/>
    <s v="Commercial 056"/>
    <n v="24"/>
    <x v="0"/>
    <n v="7"/>
    <n v="8.8000000000000007"/>
    <n v="1"/>
    <s v="Téléphone"/>
    <n v="70.3"/>
    <n v="285"/>
    <n v="5.7"/>
    <n v="279.3"/>
    <n v="210.89999999999998"/>
    <n v="68.400000000000034"/>
    <n v="0.24489795918367357"/>
    <n v="2025"/>
    <n v="1"/>
    <s v="2025-01"/>
    <s v="T1"/>
    <s v="22-29"/>
    <s v="bon"/>
    <s v="Rapide"/>
    <s v="Faible"/>
  </r>
  <r>
    <s v="TX0000996"/>
    <d v="2025-09-29T00:00:00"/>
    <s v="CLI01147"/>
    <s v="PRD010"/>
    <s v="AG017"/>
    <s v="COM037"/>
    <n v="2"/>
    <n v="95"/>
    <n v="0"/>
    <s v="Carte"/>
    <s v="Validée"/>
    <s v="Client 01147"/>
    <s v="Kinshasa"/>
    <s v="PME"/>
    <s v="Routeur Business"/>
    <s v="Réseau"/>
    <s v="Standard"/>
    <s v="Agence Matadi 3"/>
    <s v="Matadi"/>
    <s v="Commercial 037"/>
    <n v="30"/>
    <x v="0"/>
    <n v="25"/>
    <n v="3.8"/>
    <n v="9"/>
    <s v="Web"/>
    <n v="70.3"/>
    <n v="190"/>
    <n v="0"/>
    <n v="190"/>
    <n v="140.6"/>
    <n v="49.400000000000006"/>
    <n v="0.26"/>
    <n v="2025"/>
    <n v="9"/>
    <s v="2025-09"/>
    <s v="T3"/>
    <s v="30-39"/>
    <s v="faible"/>
    <s v="Long"/>
    <s v="Faible"/>
  </r>
  <r>
    <s v="TX0000997"/>
    <d v="2025-09-14T00:00:00"/>
    <s v="CLI01509"/>
    <s v="PRD008"/>
    <s v="AG018"/>
    <s v="COM045"/>
    <n v="2"/>
    <n v="35"/>
    <n v="0.1"/>
    <s v="Virement"/>
    <s v="Validée"/>
    <s v="Client 01509"/>
    <s v="Goma"/>
    <s v="Institution"/>
    <s v="Clavier Pro"/>
    <s v="Informatique"/>
    <s v="Entrée de gamme"/>
    <s v="Agence Kolwezi 3"/>
    <s v="Kolwezi"/>
    <s v="Commercial 045"/>
    <n v="47"/>
    <x v="0"/>
    <n v="63"/>
    <n v="3.4"/>
    <n v="9"/>
    <s v="Magasin"/>
    <n v="24.15"/>
    <n v="70"/>
    <n v="7"/>
    <n v="63"/>
    <n v="48.3"/>
    <n v="14.700000000000003"/>
    <n v="0.23333333333333336"/>
    <n v="2025"/>
    <n v="9"/>
    <s v="2025-09"/>
    <s v="T3"/>
    <s v="40-49"/>
    <s v="faible"/>
    <s v="Long"/>
    <s v="Faible"/>
  </r>
  <r>
    <s v="TX0000999"/>
    <d v="2025-04-21T00:00:00"/>
    <s v="CLI01194"/>
    <s v="PRD008"/>
    <s v="AG007"/>
    <s v="COM059"/>
    <n v="1"/>
    <n v="35"/>
    <n v="0.1"/>
    <s v="Virement"/>
    <s v="Validée"/>
    <s v="Client 01194"/>
    <s v="Kinshasa"/>
    <s v="Grande entreprise"/>
    <s v="Clavier Pro"/>
    <s v="Informatique"/>
    <s v="Entrée de gamme"/>
    <s v="Agence Kinshasa 2"/>
    <s v="Kinshasa"/>
    <s v="Commercial 059"/>
    <n v="50"/>
    <x v="0"/>
    <n v="15"/>
    <n v="7.7"/>
    <n v="3"/>
    <s v="Magasin"/>
    <n v="24.15"/>
    <n v="35"/>
    <n v="3.5"/>
    <n v="31.5"/>
    <n v="24.15"/>
    <n v="7.3500000000000014"/>
    <n v="0.23333333333333336"/>
    <n v="2025"/>
    <n v="4"/>
    <s v="2025-04"/>
    <s v="T2"/>
    <s v="50+"/>
    <s v="bon"/>
    <s v="Rapide"/>
    <s v="Faible"/>
  </r>
  <r>
    <s v="TX0001000"/>
    <d v="2025-12-29T00:00:00"/>
    <s v="CLI02156"/>
    <s v="PRD009"/>
    <s v="AG011"/>
    <s v="COM057"/>
    <n v="1"/>
    <n v="22"/>
    <n v="0.08"/>
    <s v="Carte"/>
    <s v="Validée"/>
    <s v="Client 02156"/>
    <s v="Kisangani"/>
    <s v="Indépendant"/>
    <s v="Souris Wireless"/>
    <s v="Informatique"/>
    <s v="Entrée de gamme"/>
    <s v="Agence Matadi 2"/>
    <s v="Matadi"/>
    <s v="Commercial 057"/>
    <n v="50"/>
    <x v="0"/>
    <n v="12"/>
    <n v="6.6"/>
    <n v="5"/>
    <s v="Téléphone"/>
    <n v="14.96"/>
    <n v="22"/>
    <n v="1.76"/>
    <n v="20.239999999999998"/>
    <n v="14.96"/>
    <n v="5.2799999999999976"/>
    <n v="0.26086956521739119"/>
    <n v="2025"/>
    <n v="12"/>
    <s v="2025-12"/>
    <s v="T4"/>
    <s v="50+"/>
    <s v="moyen"/>
    <s v="Moyen"/>
    <s v="Faible"/>
  </r>
  <r>
    <s v="TX0001001"/>
    <d v="2025-11-04T00:00:00"/>
    <s v="CLI00419"/>
    <s v="PRD003"/>
    <s v="AG004"/>
    <s v="COM046"/>
    <n v="2"/>
    <n v="780"/>
    <n v="0.02"/>
    <s v="Cash"/>
    <s v="Validée"/>
    <s v="Client 00419"/>
    <s v="Kisangani"/>
    <s v="PME"/>
    <s v="Laptop Business 14"/>
    <s v="Informatique"/>
    <s v="Premium"/>
    <s v="Agence Kisangani 1"/>
    <s v="Kisangani"/>
    <s v="Commercial 046"/>
    <n v="28"/>
    <x v="0"/>
    <n v="59"/>
    <n v="7.5"/>
    <n v="3"/>
    <s v="Téléphone"/>
    <n v="468"/>
    <n v="1560"/>
    <n v="31.2"/>
    <n v="1528.8"/>
    <n v="936"/>
    <n v="592.79999999999995"/>
    <n v="0.38775510204081631"/>
    <n v="2025"/>
    <n v="11"/>
    <s v="2025-11"/>
    <s v="T4"/>
    <s v="22-29"/>
    <s v="bon"/>
    <s v="Rapide"/>
    <s v="Elevée"/>
  </r>
  <r>
    <s v="TX0001002"/>
    <d v="2025-12-14T00:00:00"/>
    <s v="CLI00814"/>
    <s v="PRD008"/>
    <s v="AG003"/>
    <s v="COM041"/>
    <n v="1"/>
    <n v="35"/>
    <n v="0"/>
    <s v="Carte"/>
    <s v="Validée"/>
    <s v="Client 00814"/>
    <s v="Kisangani"/>
    <s v="PME"/>
    <s v="Clavier Pro"/>
    <s v="Informatique"/>
    <s v="Entrée de gamme"/>
    <s v="Agence Goma 1"/>
    <s v="Goma"/>
    <s v="Commercial 041"/>
    <n v="58"/>
    <x v="0"/>
    <n v="14"/>
    <n v="4.0999999999999996"/>
    <n v="7"/>
    <s v="Web"/>
    <n v="24.15"/>
    <n v="35"/>
    <n v="0"/>
    <n v="35"/>
    <n v="24.15"/>
    <n v="10.850000000000001"/>
    <n v="0.31000000000000005"/>
    <n v="2025"/>
    <n v="12"/>
    <s v="2025-12"/>
    <s v="T4"/>
    <s v="50+"/>
    <s v="faible"/>
    <s v="Long"/>
    <s v="Faible"/>
  </r>
  <r>
    <s v="TX0001004"/>
    <d v="2025-02-18T00:00:00"/>
    <s v="CLI02069"/>
    <s v="PRD016"/>
    <s v="AG011"/>
    <s v="COM025"/>
    <n v="2"/>
    <n v="420"/>
    <n v="0.05"/>
    <s v="Mobile Money"/>
    <s v="Validée"/>
    <s v="Client 02069"/>
    <s v="Goma"/>
    <s v="PME"/>
    <s v="Projecteur HD"/>
    <s v="Bureautique"/>
    <s v="Premium"/>
    <s v="Agence Matadi 2"/>
    <s v="Matadi"/>
    <s v="Commercial 025"/>
    <n v="41"/>
    <x v="1"/>
    <n v="46"/>
    <n v="7.9"/>
    <n v="3"/>
    <s v="Magasin"/>
    <n v="273"/>
    <n v="840"/>
    <n v="42"/>
    <n v="798"/>
    <n v="546"/>
    <n v="252"/>
    <n v="0.31578947368421051"/>
    <n v="2025"/>
    <n v="2"/>
    <s v="2025-02"/>
    <s v="T1"/>
    <s v="40-49"/>
    <s v="bon"/>
    <s v="Rapide"/>
    <s v="Moyenne"/>
  </r>
  <r>
    <s v="TX0001005"/>
    <d v="2025-04-05T00:00:00"/>
    <s v="CLI02149"/>
    <s v="PRD001"/>
    <s v="AG001"/>
    <s v="COM059"/>
    <n v="1"/>
    <n v="120"/>
    <n v="0"/>
    <s v="Cash"/>
    <s v="Validée"/>
    <s v="Client 02149"/>
    <s v="Kolwezi"/>
    <s v="Grande entreprise"/>
    <s v="Smartphone A1"/>
    <s v="Électronique"/>
    <s v="Entrée de gamme"/>
    <s v="Agence Kinshasa 1"/>
    <s v="Kinshasa"/>
    <s v="Commercial 059"/>
    <n v="50"/>
    <x v="1"/>
    <n v="40"/>
    <n v="8.6"/>
    <n v="1"/>
    <s v="Magasin"/>
    <n v="73.2"/>
    <n v="120"/>
    <n v="0"/>
    <n v="120"/>
    <n v="73.2"/>
    <n v="46.8"/>
    <n v="0.38999999999999996"/>
    <n v="2025"/>
    <n v="4"/>
    <s v="2025-04"/>
    <s v="T2"/>
    <s v="50+"/>
    <s v="bon"/>
    <s v="Rapide"/>
    <s v="Faible"/>
  </r>
  <r>
    <s v="TX0001006"/>
    <d v="2025-03-07T00:00:00"/>
    <s v="CLI01371"/>
    <s v="PRD014"/>
    <s v="AG004"/>
    <s v="COM036"/>
    <n v="5"/>
    <n v="65"/>
    <n v="0.05"/>
    <s v="Cash"/>
    <s v="Validée"/>
    <s v="Client 01371"/>
    <s v="Kolwezi"/>
    <s v="Grande entreprise"/>
    <s v="Casque Pro"/>
    <s v="Électronique"/>
    <s v="Standard"/>
    <s v="Agence Kisangani 1"/>
    <s v="Kisangani"/>
    <s v="Commercial 036"/>
    <n v="35"/>
    <x v="1"/>
    <n v="28"/>
    <n v="7.8"/>
    <n v="2"/>
    <s v="Magasin"/>
    <n v="47.45"/>
    <n v="325"/>
    <n v="16.25"/>
    <n v="308.75"/>
    <n v="237.25"/>
    <n v="71.5"/>
    <n v="0.23157894736842105"/>
    <n v="2025"/>
    <n v="3"/>
    <s v="2025-03"/>
    <s v="T1"/>
    <s v="30-39"/>
    <s v="bon"/>
    <s v="Rapide"/>
    <s v="Faible"/>
  </r>
  <r>
    <s v="TX0001007"/>
    <d v="2025-12-26T00:00:00"/>
    <s v="CLI01546"/>
    <s v="PRD011"/>
    <s v="AG016"/>
    <s v="COM041"/>
    <n v="2"/>
    <n v="240"/>
    <n v="0.08"/>
    <s v="Virement"/>
    <s v="Validée"/>
    <s v="Client 01546"/>
    <s v="Kisangani"/>
    <s v="Institution"/>
    <s v="Switch 24 Ports"/>
    <s v="Réseau"/>
    <s v="Premium"/>
    <s v="Agence Kisangani 3"/>
    <s v="Kisangani"/>
    <s v="Commercial 041"/>
    <n v="33"/>
    <x v="0"/>
    <n v="63"/>
    <n v="4.7"/>
    <n v="7"/>
    <s v="Magasin"/>
    <n v="177.6"/>
    <n v="480"/>
    <n v="38.4"/>
    <n v="441.6"/>
    <n v="355.2"/>
    <n v="86.400000000000034"/>
    <n v="0.19565217391304354"/>
    <n v="2025"/>
    <n v="12"/>
    <s v="2025-12"/>
    <s v="T4"/>
    <s v="30-39"/>
    <s v="faible"/>
    <s v="Long"/>
    <s v="Faible"/>
  </r>
  <r>
    <s v="TX0001008"/>
    <d v="2025-11-14T00:00:00"/>
    <s v="CLI00491"/>
    <s v="PRD014"/>
    <s v="AG001"/>
    <s v="COM057"/>
    <n v="3"/>
    <n v="65"/>
    <n v="0.02"/>
    <s v="Virement"/>
    <s v="Validée"/>
    <s v="Client 00491"/>
    <s v="Goma"/>
    <s v="Grande entreprise"/>
    <s v="Casque Pro"/>
    <s v="Électronique"/>
    <s v="Standard"/>
    <s v="Agence Kinshasa 1"/>
    <s v="Kinshasa"/>
    <s v="Commercial 057"/>
    <n v="59"/>
    <x v="1"/>
    <n v="31"/>
    <n v="8.9"/>
    <n v="1"/>
    <s v="WhatsApp"/>
    <n v="47.45"/>
    <n v="195"/>
    <n v="3.9"/>
    <n v="191.1"/>
    <n v="142.35000000000002"/>
    <n v="48.749999999999972"/>
    <n v="0.25510204081632637"/>
    <n v="2025"/>
    <n v="11"/>
    <s v="2025-11"/>
    <s v="T4"/>
    <s v="50+"/>
    <s v="bon"/>
    <s v="Rapide"/>
    <s v="Faible"/>
  </r>
  <r>
    <s v="TX0001009"/>
    <d v="2025-06-09T00:00:00"/>
    <s v="CLI01417"/>
    <s v="PRD005"/>
    <s v="AG002"/>
    <s v="COM005"/>
    <n v="3"/>
    <n v="260"/>
    <n v="0.1"/>
    <s v="Cash"/>
    <s v="Validée"/>
    <s v="Client 01417"/>
    <s v="Kinshasa"/>
    <s v="Institution"/>
    <s v="Tablette T10"/>
    <s v="Électronique"/>
    <s v="Standard"/>
    <s v="Agence Lubumbashi 1"/>
    <s v="Lubumbashi"/>
    <s v="Commercial 005"/>
    <n v="31"/>
    <x v="1"/>
    <n v="11"/>
    <n v="7.5"/>
    <n v="3"/>
    <s v="WhatsApp"/>
    <n v="189.8"/>
    <n v="780"/>
    <n v="78"/>
    <n v="702"/>
    <n v="569.40000000000009"/>
    <n v="132.59999999999991"/>
    <n v="0.18888888888888877"/>
    <n v="2025"/>
    <n v="6"/>
    <s v="2025-06"/>
    <s v="T2"/>
    <s v="30-39"/>
    <s v="bon"/>
    <s v="Rapide"/>
    <s v="Moyenne"/>
  </r>
  <r>
    <s v="TX0001010"/>
    <d v="2025-04-26T00:00:00"/>
    <s v="CLI01175"/>
    <s v="PRD004"/>
    <s v="AG018"/>
    <s v="COM019"/>
    <n v="1"/>
    <n v="520"/>
    <n v="0.05"/>
    <s v="Mobile Money"/>
    <s v="Validée"/>
    <s v="Client 01175"/>
    <s v="Lubumbashi"/>
    <s v="Indépendant"/>
    <s v="Laptop Essential 15"/>
    <s v="Informatique"/>
    <s v="Standard"/>
    <s v="Agence Kolwezi 3"/>
    <s v="Kolwezi"/>
    <s v="Commercial 019"/>
    <n v="24"/>
    <x v="0"/>
    <n v="24"/>
    <n v="4.5"/>
    <n v="7"/>
    <s v="Magasin"/>
    <n v="348.4"/>
    <n v="520"/>
    <n v="26"/>
    <n v="494"/>
    <n v="348.4"/>
    <n v="145.60000000000002"/>
    <n v="0.29473684210526319"/>
    <n v="2025"/>
    <n v="4"/>
    <s v="2025-04"/>
    <s v="T2"/>
    <s v="22-29"/>
    <s v="faible"/>
    <s v="Long"/>
    <s v="Faible"/>
  </r>
  <r>
    <s v="TX0001011"/>
    <d v="2025-03-29T00:00:00"/>
    <s v="CLI00109"/>
    <s v="PRD005"/>
    <s v="AG014"/>
    <s v="COM013"/>
    <n v="4"/>
    <n v="260"/>
    <n v="0"/>
    <s v="Carte"/>
    <s v="Validée"/>
    <s v="Client 00109"/>
    <s v="Kolwezi"/>
    <s v="ONG"/>
    <s v="Tablette T10"/>
    <s v="Électronique"/>
    <s v="Standard"/>
    <s v="Agence Lubumbashi 3"/>
    <s v="Lubumbashi"/>
    <s v="Commercial 013"/>
    <n v="23"/>
    <x v="0"/>
    <n v="29"/>
    <n v="9.3000000000000007"/>
    <n v="1"/>
    <s v="Téléphone"/>
    <n v="189.8"/>
    <n v="1040"/>
    <n v="0"/>
    <n v="1040"/>
    <n v="759.2"/>
    <n v="280.79999999999995"/>
    <n v="0.26999999999999996"/>
    <n v="2025"/>
    <n v="3"/>
    <s v="2025-03"/>
    <s v="T1"/>
    <s v="22-29"/>
    <s v="excellent"/>
    <s v="Rapide"/>
    <s v="Elevée"/>
  </r>
  <r>
    <s v="TX0001012"/>
    <d v="2025-08-20T00:00:00"/>
    <s v="CLI02072"/>
    <s v="PRD005"/>
    <s v="AG003"/>
    <s v="COM016"/>
    <n v="1"/>
    <n v="260"/>
    <n v="0"/>
    <s v="Mobile Money"/>
    <s v="Validée"/>
    <s v="Client 02072"/>
    <s v="Kolwezi"/>
    <s v="Institution"/>
    <s v="Tablette T10"/>
    <s v="Électronique"/>
    <s v="Standard"/>
    <s v="Agence Goma 1"/>
    <s v="Goma"/>
    <s v="Commercial 016"/>
    <n v="51"/>
    <x v="0"/>
    <n v="24"/>
    <n v="6.7"/>
    <n v="4"/>
    <s v="Magasin"/>
    <n v="189.8"/>
    <n v="260"/>
    <n v="0"/>
    <n v="260"/>
    <n v="189.8"/>
    <n v="70.199999999999989"/>
    <n v="0.26999999999999996"/>
    <n v="2025"/>
    <n v="8"/>
    <s v="2025-08"/>
    <s v="T3"/>
    <s v="50+"/>
    <s v="moyen"/>
    <s v="Moyen"/>
    <s v="Faible"/>
  </r>
  <r>
    <s v="TX0001013"/>
    <d v="2025-09-24T00:00:00"/>
    <s v="CLI01046"/>
    <s v="PRD002"/>
    <s v="AG010"/>
    <s v="COM009"/>
    <n v="3"/>
    <n v="350"/>
    <n v="0.08"/>
    <s v="Cash"/>
    <s v="Validée"/>
    <s v="Client 01046"/>
    <s v="Kinshasa"/>
    <s v="Institution"/>
    <s v="Smartphone Pro X"/>
    <s v="Électronique"/>
    <s v="Premium"/>
    <s v="Agence Kisangani 2"/>
    <s v="Kisangani"/>
    <s v="Commercial 009"/>
    <n v="46"/>
    <x v="1"/>
    <n v="10"/>
    <n v="6.4"/>
    <n v="4"/>
    <s v="Magasin"/>
    <n v="213.5"/>
    <n v="1050"/>
    <n v="84"/>
    <n v="966"/>
    <n v="640.5"/>
    <n v="325.5"/>
    <n v="0.33695652173913043"/>
    <n v="2025"/>
    <n v="9"/>
    <s v="2025-09"/>
    <s v="T3"/>
    <s v="40-49"/>
    <s v="moyen"/>
    <s v="Moyen"/>
    <s v="Moyenne"/>
  </r>
  <r>
    <s v="TX0001014"/>
    <d v="2025-07-22T00:00:00"/>
    <s v="CLI00088"/>
    <s v="PRD011"/>
    <s v="AG008"/>
    <s v="COM032"/>
    <n v="2"/>
    <n v="240"/>
    <n v="0.1"/>
    <s v="Cash"/>
    <s v="Validée"/>
    <s v="Client 00088"/>
    <s v="Kinshasa"/>
    <s v="PME"/>
    <s v="Switch 24 Ports"/>
    <s v="Réseau"/>
    <s v="Premium"/>
    <s v="Agence Lubumbashi 2"/>
    <s v="Lubumbashi"/>
    <s v="Commercial 032"/>
    <n v="28"/>
    <x v="1"/>
    <n v="31"/>
    <n v="4.5999999999999996"/>
    <n v="8"/>
    <s v="Web"/>
    <n v="177.6"/>
    <n v="480"/>
    <n v="48"/>
    <n v="432"/>
    <n v="355.2"/>
    <n v="76.800000000000011"/>
    <n v="0.17777777777777781"/>
    <n v="2025"/>
    <n v="7"/>
    <s v="2025-07"/>
    <s v="T3"/>
    <s v="22-29"/>
    <s v="faible"/>
    <s v="Long"/>
    <s v="Faible"/>
  </r>
  <r>
    <s v="TX0001015"/>
    <d v="2025-01-10T00:00:00"/>
    <s v="CLI00394"/>
    <s v="PRD004"/>
    <s v="AG005"/>
    <s v="COM028"/>
    <n v="6"/>
    <n v="520"/>
    <n v="0"/>
    <s v="Cash"/>
    <s v="Validée"/>
    <s v="Client 00394"/>
    <s v="Matadi"/>
    <s v="Indépendant"/>
    <s v="Laptop Essential 15"/>
    <s v="Informatique"/>
    <s v="Standard"/>
    <s v="Agence Matadi 1"/>
    <s v="Matadi"/>
    <s v="Commercial 028"/>
    <n v="47"/>
    <x v="0"/>
    <n v="57"/>
    <n v="8"/>
    <n v="1"/>
    <s v="Téléphone"/>
    <n v="348.4"/>
    <n v="3120"/>
    <n v="0"/>
    <n v="3120"/>
    <n v="2090.3999999999996"/>
    <n v="1029.6000000000004"/>
    <n v="0.33000000000000013"/>
    <n v="2025"/>
    <n v="1"/>
    <s v="2025-01"/>
    <s v="T1"/>
    <s v="40-49"/>
    <s v="bon"/>
    <s v="Rapide"/>
    <s v="Elevée"/>
  </r>
  <r>
    <s v="TX0001016"/>
    <d v="2025-11-08T00:00:00"/>
    <s v="CLI00833"/>
    <s v="PRD012"/>
    <s v="AG013"/>
    <s v="COM026"/>
    <n v="1"/>
    <n v="180"/>
    <n v="0.1"/>
    <s v="Cash"/>
    <s v="Validée"/>
    <s v="Client 00833"/>
    <s v="Lubumbashi"/>
    <s v="ONG"/>
    <s v="Onduleur 1200VA"/>
    <s v="Énergie"/>
    <s v="Standard"/>
    <s v="Agence Kinshasa 3"/>
    <s v="Kinshasa"/>
    <s v="Commercial 026"/>
    <n v="42"/>
    <x v="1"/>
    <n v="41"/>
    <n v="4.8"/>
    <n v="8"/>
    <s v="Web"/>
    <n v="129.6"/>
    <n v="180"/>
    <n v="18"/>
    <n v="162"/>
    <n v="129.6"/>
    <n v="32.400000000000006"/>
    <n v="0.20000000000000004"/>
    <n v="2025"/>
    <n v="11"/>
    <s v="2025-11"/>
    <s v="T4"/>
    <s v="40-49"/>
    <s v="faible"/>
    <s v="Long"/>
    <s v="Faible"/>
  </r>
  <r>
    <s v="TX0001017"/>
    <d v="2025-04-19T00:00:00"/>
    <s v="CLI01867"/>
    <s v="PRD003"/>
    <s v="AG011"/>
    <s v="COM048"/>
    <n v="1"/>
    <n v="780"/>
    <n v="0"/>
    <s v="Carte"/>
    <s v="Validée"/>
    <s v="Client 01867"/>
    <s v="Kinshasa"/>
    <s v="PME"/>
    <s v="Laptop Business 14"/>
    <s v="Informatique"/>
    <s v="Premium"/>
    <s v="Agence Matadi 2"/>
    <s v="Matadi"/>
    <s v="Commercial 048"/>
    <n v="44"/>
    <x v="0"/>
    <n v="42"/>
    <n v="6.5"/>
    <n v="5"/>
    <s v="WhatsApp"/>
    <n v="468"/>
    <n v="780"/>
    <n v="0"/>
    <n v="780"/>
    <n v="468"/>
    <n v="312"/>
    <n v="0.4"/>
    <n v="2025"/>
    <n v="4"/>
    <s v="2025-04"/>
    <s v="T2"/>
    <s v="40-49"/>
    <s v="moyen"/>
    <s v="Moyen"/>
    <s v="Moyenne"/>
  </r>
  <r>
    <s v="TX0001018"/>
    <d v="2025-08-09T00:00:00"/>
    <s v="CLI01395"/>
    <s v="PRD012"/>
    <s v="AG002"/>
    <s v="COM053"/>
    <n v="2"/>
    <n v="180"/>
    <n v="0"/>
    <s v="Mobile Money"/>
    <s v="Validée"/>
    <s v="Client 01395"/>
    <s v="Kinshasa"/>
    <s v="Grande entreprise"/>
    <s v="Onduleur 1200VA"/>
    <s v="Énergie"/>
    <s v="Standard"/>
    <s v="Agence Lubumbashi 1"/>
    <s v="Lubumbashi"/>
    <s v="Commercial 053"/>
    <n v="37"/>
    <x v="1"/>
    <n v="22"/>
    <n v="4.5999999999999996"/>
    <n v="8"/>
    <s v="WhatsApp"/>
    <n v="129.6"/>
    <n v="360"/>
    <n v="0"/>
    <n v="360"/>
    <n v="259.2"/>
    <n v="100.80000000000001"/>
    <n v="0.28000000000000003"/>
    <n v="2025"/>
    <n v="8"/>
    <s v="2025-08"/>
    <s v="T3"/>
    <s v="30-39"/>
    <s v="faible"/>
    <s v="Long"/>
    <s v="Faible"/>
  </r>
  <r>
    <s v="TX0001020"/>
    <d v="2025-05-04T00:00:00"/>
    <s v="CLI01081"/>
    <s v="PRD010"/>
    <s v="AG002"/>
    <s v="COM008"/>
    <n v="2"/>
    <n v="95"/>
    <n v="0.05"/>
    <s v="Cash"/>
    <s v="Validée"/>
    <s v="Client 01081"/>
    <s v="Kinshasa"/>
    <s v="Grande entreprise"/>
    <s v="Routeur Business"/>
    <s v="Réseau"/>
    <s v="Standard"/>
    <s v="Agence Lubumbashi 1"/>
    <s v="Lubumbashi"/>
    <s v="Commercial 008"/>
    <n v="36"/>
    <x v="1"/>
    <n v="72"/>
    <n v="8.8000000000000007"/>
    <n v="1"/>
    <s v="Téléphone"/>
    <n v="70.3"/>
    <n v="190"/>
    <n v="9.5"/>
    <n v="180.5"/>
    <n v="140.6"/>
    <n v="39.900000000000006"/>
    <n v="0.22105263157894739"/>
    <n v="2025"/>
    <n v="5"/>
    <s v="2025-05"/>
    <s v="T2"/>
    <s v="30-39"/>
    <s v="bon"/>
    <s v="Rapide"/>
    <s v="Faible"/>
  </r>
  <r>
    <s v="TX0001021"/>
    <d v="2025-05-02T00:00:00"/>
    <s v="CLI01833"/>
    <s v="PRD007"/>
    <s v="AG011"/>
    <s v="COM020"/>
    <n v="2"/>
    <n v="145"/>
    <n v="0.08"/>
    <s v="Carte"/>
    <s v="Validée"/>
    <s v="Client 01833"/>
    <s v="Matadi"/>
    <s v="ONG"/>
    <s v="Écran 24 pouces"/>
    <s v="Informatique"/>
    <s v="Standard"/>
    <s v="Agence Matadi 2"/>
    <s v="Matadi"/>
    <s v="Commercial 020"/>
    <n v="23"/>
    <x v="0"/>
    <n v="60"/>
    <n v="3.8"/>
    <n v="9"/>
    <s v="WhatsApp"/>
    <n v="97.15"/>
    <n v="290"/>
    <n v="23.2"/>
    <n v="266.8"/>
    <n v="194.3"/>
    <n v="72.5"/>
    <n v="0.27173913043478259"/>
    <n v="2025"/>
    <n v="5"/>
    <s v="2025-05"/>
    <s v="T2"/>
    <s v="22-29"/>
    <s v="faible"/>
    <s v="Long"/>
    <s v="Faible"/>
  </r>
  <r>
    <s v="TX0001022"/>
    <d v="2025-03-05T00:00:00"/>
    <s v="CLI00869"/>
    <s v="PRD008"/>
    <s v="AG012"/>
    <s v="COM040"/>
    <n v="1"/>
    <n v="35"/>
    <n v="0.08"/>
    <s v="Virement"/>
    <s v="Validée"/>
    <s v="Client 00869"/>
    <s v="Goma"/>
    <s v="Grande entreprise"/>
    <s v="Clavier Pro"/>
    <s v="Informatique"/>
    <s v="Entrée de gamme"/>
    <s v="Agence Kolwezi 2"/>
    <s v="Kolwezi"/>
    <s v="Commercial 040"/>
    <n v="56"/>
    <x v="0"/>
    <n v="57"/>
    <n v="6.5"/>
    <n v="4"/>
    <s v="Magasin"/>
    <n v="24.15"/>
    <n v="35"/>
    <n v="2.8000000000000003"/>
    <n v="32.200000000000003"/>
    <n v="24.15"/>
    <n v="8.0500000000000043"/>
    <n v="0.25000000000000011"/>
    <n v="2025"/>
    <n v="3"/>
    <s v="2025-03"/>
    <s v="T1"/>
    <s v="50+"/>
    <s v="moyen"/>
    <s v="Moyen"/>
    <s v="Faible"/>
  </r>
  <r>
    <s v="TX0001023"/>
    <d v="2025-10-17T00:00:00"/>
    <s v="CLI00074"/>
    <s v="PRD002"/>
    <s v="AG017"/>
    <s v="COM024"/>
    <n v="3"/>
    <n v="350"/>
    <n v="0"/>
    <s v="Virement"/>
    <s v="Validée"/>
    <s v="Client 00074"/>
    <s v="Kinshasa"/>
    <s v="Indépendant"/>
    <s v="Smartphone Pro X"/>
    <s v="Électronique"/>
    <s v="Premium"/>
    <s v="Agence Matadi 3"/>
    <s v="Matadi"/>
    <s v="Commercial 024"/>
    <n v="58"/>
    <x v="1"/>
    <n v="14"/>
    <n v="4.2"/>
    <n v="9"/>
    <s v="Téléphone"/>
    <n v="213.5"/>
    <n v="1050"/>
    <n v="0"/>
    <n v="1050"/>
    <n v="640.5"/>
    <n v="409.5"/>
    <n v="0.39"/>
    <n v="2025"/>
    <n v="10"/>
    <s v="2025-10"/>
    <s v="T4"/>
    <s v="50+"/>
    <s v="faible"/>
    <s v="Long"/>
    <s v="Elevée"/>
  </r>
  <r>
    <s v="TX0001024"/>
    <d v="2025-10-26T00:00:00"/>
    <s v="CLI00745"/>
    <s v="PRD001"/>
    <s v="AG015"/>
    <s v="COM017"/>
    <n v="4"/>
    <n v="120"/>
    <n v="0.02"/>
    <s v="Mobile Money"/>
    <s v="Validée"/>
    <s v="Client 00745"/>
    <s v="Lubumbashi"/>
    <s v="ONG"/>
    <s v="Smartphone A1"/>
    <s v="Électronique"/>
    <s v="Entrée de gamme"/>
    <s v="Agence Goma 3"/>
    <s v="Goma"/>
    <s v="Commercial 017"/>
    <n v="55"/>
    <x v="0"/>
    <n v="53"/>
    <n v="6.9"/>
    <n v="4"/>
    <s v="Web"/>
    <n v="73.2"/>
    <n v="480"/>
    <n v="9.6"/>
    <n v="470.4"/>
    <n v="292.8"/>
    <n v="177.59999999999997"/>
    <n v="0.37755102040816318"/>
    <n v="2025"/>
    <n v="10"/>
    <s v="2025-10"/>
    <s v="T4"/>
    <s v="50+"/>
    <s v="moyen"/>
    <s v="Moyen"/>
    <s v="Faible"/>
  </r>
  <r>
    <s v="TX0001025"/>
    <d v="2025-11-06T00:00:00"/>
    <s v="CLI01540"/>
    <s v="PRD010"/>
    <s v="AG018"/>
    <s v="COM042"/>
    <n v="4"/>
    <n v="95"/>
    <n v="0.08"/>
    <s v="Mobile Money"/>
    <s v="Validée"/>
    <s v="Client 01540"/>
    <s v="Kinshasa"/>
    <s v="Grande entreprise"/>
    <s v="Routeur Business"/>
    <s v="Réseau"/>
    <s v="Standard"/>
    <s v="Agence Kolwezi 3"/>
    <s v="Kolwezi"/>
    <s v="Commercial 042"/>
    <n v="53"/>
    <x v="0"/>
    <n v="46"/>
    <n v="8.1"/>
    <n v="3"/>
    <s v="Téléphone"/>
    <n v="70.3"/>
    <n v="380"/>
    <n v="30.400000000000002"/>
    <n v="349.6"/>
    <n v="281.2"/>
    <n v="68.400000000000034"/>
    <n v="0.19565217391304357"/>
    <n v="2025"/>
    <n v="11"/>
    <s v="2025-11"/>
    <s v="T4"/>
    <s v="50+"/>
    <s v="bon"/>
    <s v="Rapide"/>
    <s v="Faible"/>
  </r>
  <r>
    <s v="TX0001026"/>
    <d v="2025-07-07T00:00:00"/>
    <s v="CLI02139"/>
    <s v="PRD010"/>
    <s v="AG005"/>
    <s v="COM035"/>
    <n v="3"/>
    <n v="95"/>
    <n v="0.08"/>
    <s v="Carte"/>
    <s v="Validée"/>
    <s v="Client 02139"/>
    <s v="Matadi"/>
    <s v="ONG"/>
    <s v="Routeur Business"/>
    <s v="Réseau"/>
    <s v="Standard"/>
    <s v="Agence Matadi 1"/>
    <s v="Matadi"/>
    <s v="Commercial 035"/>
    <n v="27"/>
    <x v="1"/>
    <n v="24"/>
    <n v="5.8"/>
    <n v="6"/>
    <s v="Magasin"/>
    <n v="70.3"/>
    <n v="285"/>
    <n v="22.8"/>
    <n v="262.2"/>
    <n v="210.89999999999998"/>
    <n v="51.300000000000011"/>
    <n v="0.19565217391304354"/>
    <n v="2025"/>
    <n v="7"/>
    <s v="2025-07"/>
    <s v="T3"/>
    <s v="22-29"/>
    <s v="moyen"/>
    <s v="Moyen"/>
    <s v="Faible"/>
  </r>
  <r>
    <s v="TX0001028"/>
    <d v="2025-04-25T00:00:00"/>
    <s v="CLI00780"/>
    <s v="PRD004"/>
    <s v="AG006"/>
    <s v="COM054"/>
    <n v="2"/>
    <n v="520"/>
    <n v="0"/>
    <s v="Mobile Money"/>
    <s v="Validée"/>
    <s v="Client 00780"/>
    <s v="Kisangani"/>
    <s v="Grande entreprise"/>
    <s v="Laptop Essential 15"/>
    <s v="Informatique"/>
    <s v="Standard"/>
    <s v="Agence Kolwezi 1"/>
    <s v="Kolwezi"/>
    <s v="Commercial 054"/>
    <n v="34"/>
    <x v="1"/>
    <n v="3"/>
    <n v="4.5999999999999996"/>
    <n v="8"/>
    <s v="WhatsApp"/>
    <n v="348.4"/>
    <n v="1040"/>
    <n v="0"/>
    <n v="1040"/>
    <n v="696.8"/>
    <n v="343.20000000000005"/>
    <n v="0.33000000000000007"/>
    <n v="2025"/>
    <n v="4"/>
    <s v="2025-04"/>
    <s v="T2"/>
    <s v="30-39"/>
    <s v="faible"/>
    <s v="Long"/>
    <s v="Elevée"/>
  </r>
  <r>
    <s v="TX0001029"/>
    <d v="2025-08-31T00:00:00"/>
    <s v="CLI00225"/>
    <s v="PRD014"/>
    <s v="AG001"/>
    <s v="COM036"/>
    <n v="1"/>
    <n v="65"/>
    <n v="0.08"/>
    <s v="Cash"/>
    <s v="Validée"/>
    <s v="Client 00225"/>
    <s v="Lubumbashi"/>
    <s v="Institution"/>
    <s v="Casque Pro"/>
    <s v="Électronique"/>
    <s v="Standard"/>
    <s v="Agence Kinshasa 1"/>
    <s v="Kinshasa"/>
    <s v="Commercial 036"/>
    <n v="51"/>
    <x v="0"/>
    <n v="56"/>
    <n v="7.4"/>
    <n v="4"/>
    <s v="Magasin"/>
    <n v="47.45"/>
    <n v="65"/>
    <n v="5.2"/>
    <n v="59.8"/>
    <n v="47.45"/>
    <n v="12.349999999999994"/>
    <n v="0.2065217391304347"/>
    <n v="2025"/>
    <n v="8"/>
    <s v="2025-08"/>
    <s v="T3"/>
    <s v="50+"/>
    <s v="bon"/>
    <s v="Moyen"/>
    <s v="Faible"/>
  </r>
  <r>
    <s v="TX0001030"/>
    <d v="2025-04-21T00:00:00"/>
    <s v="CLI01711"/>
    <s v="PRD001"/>
    <s v="AG015"/>
    <s v="COM012"/>
    <n v="2"/>
    <n v="120"/>
    <n v="0.08"/>
    <s v="Carte"/>
    <s v="Validée"/>
    <s v="Client 01711"/>
    <s v="Kisangani"/>
    <s v="ONG"/>
    <s v="Smartphone A1"/>
    <s v="Électronique"/>
    <s v="Entrée de gamme"/>
    <s v="Agence Goma 3"/>
    <s v="Goma"/>
    <s v="Commercial 012"/>
    <n v="51"/>
    <x v="1"/>
    <n v="16"/>
    <n v="4.2"/>
    <n v="9"/>
    <s v="WhatsApp"/>
    <n v="73.2"/>
    <n v="240"/>
    <n v="19.2"/>
    <n v="220.8"/>
    <n v="146.4"/>
    <n v="74.400000000000006"/>
    <n v="0.33695652173913043"/>
    <n v="2025"/>
    <n v="4"/>
    <s v="2025-04"/>
    <s v="T2"/>
    <s v="50+"/>
    <s v="faible"/>
    <s v="Long"/>
    <s v="Faible"/>
  </r>
  <r>
    <s v="TX0001031"/>
    <d v="2025-05-05T00:00:00"/>
    <s v="CLI00903"/>
    <s v="PRD011"/>
    <s v="AG012"/>
    <s v="COM042"/>
    <n v="5"/>
    <n v="240"/>
    <n v="0.05"/>
    <s v="Carte"/>
    <s v="Validée"/>
    <s v="Client 00903"/>
    <s v="Kolwezi"/>
    <s v="Grande entreprise"/>
    <s v="Switch 24 Ports"/>
    <s v="Réseau"/>
    <s v="Premium"/>
    <s v="Agence Kolwezi 2"/>
    <s v="Kolwezi"/>
    <s v="Commercial 042"/>
    <n v="46"/>
    <x v="1"/>
    <n v="27"/>
    <n v="5.0999999999999996"/>
    <n v="6"/>
    <s v="WhatsApp"/>
    <n v="177.6"/>
    <n v="1200"/>
    <n v="60"/>
    <n v="1140"/>
    <n v="888"/>
    <n v="252"/>
    <n v="0.22105263157894736"/>
    <n v="2025"/>
    <n v="5"/>
    <s v="2025-05"/>
    <s v="T2"/>
    <s v="40-49"/>
    <s v="moyen"/>
    <s v="Moyen"/>
    <s v="Elevée"/>
  </r>
  <r>
    <s v="TX0001033"/>
    <d v="2025-03-17T00:00:00"/>
    <s v="CLI01779"/>
    <s v="PRD011"/>
    <s v="AG001"/>
    <s v="COM036"/>
    <n v="2"/>
    <n v="240"/>
    <n v="0.1"/>
    <s v="Virement"/>
    <s v="Validée"/>
    <s v="Client 01779"/>
    <s v="Matadi"/>
    <s v="Indépendant"/>
    <s v="Switch 24 Ports"/>
    <s v="Réseau"/>
    <s v="Premium"/>
    <s v="Agence Kinshasa 1"/>
    <s v="Kinshasa"/>
    <s v="Commercial 036"/>
    <n v="27"/>
    <x v="0"/>
    <n v="12"/>
    <n v="4.9000000000000004"/>
    <n v="6"/>
    <s v="Magasin"/>
    <n v="177.6"/>
    <n v="480"/>
    <n v="48"/>
    <n v="432"/>
    <n v="355.2"/>
    <n v="76.800000000000011"/>
    <n v="0.17777777777777781"/>
    <n v="2025"/>
    <n v="3"/>
    <s v="2025-03"/>
    <s v="T1"/>
    <s v="22-29"/>
    <s v="faible"/>
    <s v="Moyen"/>
    <s v="Faible"/>
  </r>
  <r>
    <s v="TX0001034"/>
    <d v="2025-10-09T00:00:00"/>
    <s v="CLI00601"/>
    <s v="PRD014"/>
    <s v="AG009"/>
    <s v="COM006"/>
    <n v="2"/>
    <n v="65"/>
    <n v="0.02"/>
    <s v="Virement"/>
    <s v="Validée"/>
    <s v="Client 00601"/>
    <s v="Kolwezi"/>
    <s v="Indépendant"/>
    <s v="Casque Pro"/>
    <s v="Électronique"/>
    <s v="Standard"/>
    <s v="Agence Goma 2"/>
    <s v="Goma"/>
    <s v="Commercial 006"/>
    <n v="46"/>
    <x v="1"/>
    <n v="5"/>
    <n v="4.0999999999999996"/>
    <n v="8"/>
    <s v="Téléphone"/>
    <n v="47.45"/>
    <n v="130"/>
    <n v="2.6"/>
    <n v="127.4"/>
    <n v="94.9"/>
    <n v="32.5"/>
    <n v="0.25510204081632654"/>
    <n v="2025"/>
    <n v="10"/>
    <s v="2025-10"/>
    <s v="T4"/>
    <s v="40-49"/>
    <s v="faible"/>
    <s v="Long"/>
    <s v="Faible"/>
  </r>
  <r>
    <s v="TX0001035"/>
    <d v="2025-09-04T00:00:00"/>
    <s v="CLI00299"/>
    <s v="PRD007"/>
    <s v="AG001"/>
    <s v="COM036"/>
    <n v="4"/>
    <n v="145"/>
    <n v="0"/>
    <s v="Carte"/>
    <s v="Validée"/>
    <s v="Client 00299"/>
    <s v="Lubumbashi"/>
    <s v="Indépendant"/>
    <s v="Écran 24 pouces"/>
    <s v="Informatique"/>
    <s v="Standard"/>
    <s v="Agence Kinshasa 1"/>
    <s v="Kinshasa"/>
    <s v="Commercial 036"/>
    <n v="22"/>
    <x v="1"/>
    <n v="5"/>
    <n v="5.6"/>
    <n v="5"/>
    <s v="Téléphone"/>
    <n v="97.15"/>
    <n v="580"/>
    <n v="0"/>
    <n v="580"/>
    <n v="388.6"/>
    <n v="191.39999999999998"/>
    <n v="0.32999999999999996"/>
    <n v="2025"/>
    <n v="9"/>
    <s v="2025-09"/>
    <s v="T3"/>
    <s v="22-29"/>
    <s v="moyen"/>
    <s v="Moyen"/>
    <s v="Moyenne"/>
  </r>
  <r>
    <s v="TX0001036"/>
    <d v="2025-03-03T00:00:00"/>
    <s v="CLI02165"/>
    <s v="PRD011"/>
    <s v="AG011"/>
    <s v="COM060"/>
    <n v="1"/>
    <n v="240"/>
    <n v="0"/>
    <s v="Virement"/>
    <s v="Validée"/>
    <s v="Client 02165"/>
    <s v="Goma"/>
    <s v="ONG"/>
    <s v="Switch 24 Ports"/>
    <s v="Réseau"/>
    <s v="Premium"/>
    <s v="Agence Matadi 2"/>
    <s v="Matadi"/>
    <s v="Commercial 060"/>
    <n v="60"/>
    <x v="0"/>
    <n v="61"/>
    <n v="8.6"/>
    <n v="1"/>
    <s v="Magasin"/>
    <n v="177.6"/>
    <n v="240"/>
    <n v="0"/>
    <n v="240"/>
    <n v="177.6"/>
    <n v="62.400000000000006"/>
    <n v="0.26"/>
    <n v="2025"/>
    <n v="3"/>
    <s v="2025-03"/>
    <s v="T1"/>
    <s v="50+"/>
    <s v="bon"/>
    <s v="Rapide"/>
    <s v="Faible"/>
  </r>
  <r>
    <s v="TX0001037"/>
    <d v="2025-09-18T00:00:00"/>
    <s v="CLI00611"/>
    <s v="PRD008"/>
    <s v="AG010"/>
    <s v="COM055"/>
    <n v="1"/>
    <n v="35"/>
    <n v="0"/>
    <s v="Cash"/>
    <s v="Validée"/>
    <s v="Client 00611"/>
    <s v="Kinshasa"/>
    <s v="Indépendant"/>
    <s v="Clavier Pro"/>
    <s v="Informatique"/>
    <s v="Entrée de gamme"/>
    <s v="Agence Kisangani 2"/>
    <s v="Kisangani"/>
    <s v="Commercial 055"/>
    <n v="38"/>
    <x v="1"/>
    <n v="40"/>
    <n v="7.4"/>
    <n v="4"/>
    <s v="Téléphone"/>
    <n v="24.15"/>
    <n v="35"/>
    <n v="0"/>
    <n v="35"/>
    <n v="24.15"/>
    <n v="10.850000000000001"/>
    <n v="0.31000000000000005"/>
    <n v="2025"/>
    <n v="9"/>
    <s v="2025-09"/>
    <s v="T3"/>
    <s v="30-39"/>
    <s v="bon"/>
    <s v="Moyen"/>
    <s v="Faible"/>
  </r>
  <r>
    <s v="TX0001038"/>
    <d v="2025-01-04T00:00:00"/>
    <s v="CLI00673"/>
    <s v="PRD016"/>
    <s v="AG008"/>
    <s v="COM001"/>
    <n v="3"/>
    <n v="420"/>
    <n v="0.05"/>
    <s v="Mobile Money"/>
    <s v="Validée"/>
    <s v="Client 00673"/>
    <s v="Kinshasa"/>
    <s v="Grande entreprise"/>
    <s v="Projecteur HD"/>
    <s v="Bureautique"/>
    <s v="Premium"/>
    <s v="Agence Lubumbashi 2"/>
    <s v="Lubumbashi"/>
    <s v="Commercial 001"/>
    <n v="24"/>
    <x v="0"/>
    <n v="60"/>
    <n v="7.7"/>
    <n v="3"/>
    <s v="WhatsApp"/>
    <n v="273"/>
    <n v="1260"/>
    <n v="63"/>
    <n v="1197"/>
    <n v="819"/>
    <n v="378"/>
    <n v="0.31578947368421051"/>
    <n v="2025"/>
    <n v="1"/>
    <s v="2025-01"/>
    <s v="T1"/>
    <s v="22-29"/>
    <s v="bon"/>
    <s v="Rapide"/>
    <s v="Elevée"/>
  </r>
  <r>
    <s v="TX0001039"/>
    <d v="2025-07-18T00:00:00"/>
    <s v="CLI01595"/>
    <s v="PRD003"/>
    <s v="AG002"/>
    <s v="COM008"/>
    <n v="2"/>
    <n v="780"/>
    <n v="0"/>
    <s v="Cash"/>
    <s v="Validée"/>
    <s v="Client 01595"/>
    <s v="Goma"/>
    <s v="Institution"/>
    <s v="Laptop Business 14"/>
    <s v="Informatique"/>
    <s v="Premium"/>
    <s v="Agence Lubumbashi 1"/>
    <s v="Lubumbashi"/>
    <s v="Commercial 008"/>
    <n v="41"/>
    <x v="0"/>
    <n v="52"/>
    <n v="3.9"/>
    <n v="8"/>
    <s v="Magasin"/>
    <n v="468"/>
    <n v="1560"/>
    <n v="0"/>
    <n v="1560"/>
    <n v="936"/>
    <n v="624"/>
    <n v="0.4"/>
    <n v="2025"/>
    <n v="7"/>
    <s v="2025-07"/>
    <s v="T3"/>
    <s v="40-49"/>
    <s v="faible"/>
    <s v="Long"/>
    <s v="Elevée"/>
  </r>
  <r>
    <s v="TX0001040"/>
    <d v="2025-07-12T00:00:00"/>
    <s v="CLI01372"/>
    <s v="PRD001"/>
    <s v="AG002"/>
    <s v="COM005"/>
    <n v="3"/>
    <n v="120"/>
    <n v="0.05"/>
    <s v="Virement"/>
    <s v="Validée"/>
    <s v="Client 01372"/>
    <s v="Goma"/>
    <s v="Grande entreprise"/>
    <s v="Smartphone A1"/>
    <s v="Électronique"/>
    <s v="Entrée de gamme"/>
    <s v="Agence Lubumbashi 1"/>
    <s v="Lubumbashi"/>
    <s v="Commercial 005"/>
    <n v="59"/>
    <x v="1"/>
    <n v="43"/>
    <n v="6.9"/>
    <n v="4"/>
    <s v="Téléphone"/>
    <n v="73.2"/>
    <n v="360"/>
    <n v="18"/>
    <n v="342"/>
    <n v="219.60000000000002"/>
    <n v="122.39999999999998"/>
    <n v="0.35789473684210521"/>
    <n v="2025"/>
    <n v="7"/>
    <s v="2025-07"/>
    <s v="T3"/>
    <s v="50+"/>
    <s v="moyen"/>
    <s v="Moyen"/>
    <s v="Faible"/>
  </r>
  <r>
    <s v="TX0001041"/>
    <d v="2025-07-28T00:00:00"/>
    <s v="CLI00300"/>
    <s v="PRD011"/>
    <s v="AG002"/>
    <s v="COM030"/>
    <n v="4"/>
    <n v="240"/>
    <n v="0.1"/>
    <s v="Carte"/>
    <s v="Validée"/>
    <s v="Client 00300"/>
    <s v="Kisangani"/>
    <s v="Institution"/>
    <s v="Switch 24 Ports"/>
    <s v="Réseau"/>
    <s v="Premium"/>
    <s v="Agence Lubumbashi 1"/>
    <s v="Lubumbashi"/>
    <s v="Commercial 030"/>
    <n v="23"/>
    <x v="0"/>
    <n v="54"/>
    <n v="4.3"/>
    <n v="9"/>
    <s v="WhatsApp"/>
    <n v="177.6"/>
    <n v="960"/>
    <n v="96"/>
    <n v="864"/>
    <n v="710.4"/>
    <n v="153.60000000000002"/>
    <n v="0.17777777777777781"/>
    <n v="2025"/>
    <n v="7"/>
    <s v="2025-07"/>
    <s v="T3"/>
    <s v="22-29"/>
    <s v="faible"/>
    <s v="Long"/>
    <s v="Moyenne"/>
  </r>
  <r>
    <s v="TX0001042"/>
    <d v="2025-07-08T00:00:00"/>
    <s v="CLI01816"/>
    <s v="PRD014"/>
    <s v="AG005"/>
    <s v="COM004"/>
    <n v="1"/>
    <n v="65"/>
    <n v="0"/>
    <s v="Virement"/>
    <s v="Validée"/>
    <s v="Client 01816"/>
    <s v="Goma"/>
    <s v="Grande entreprise"/>
    <s v="Casque Pro"/>
    <s v="Électronique"/>
    <s v="Standard"/>
    <s v="Agence Matadi 1"/>
    <s v="Matadi"/>
    <s v="Commercial 004"/>
    <n v="55"/>
    <x v="0"/>
    <n v="10"/>
    <n v="9.1"/>
    <n v="1"/>
    <s v="WhatsApp"/>
    <n v="47.45"/>
    <n v="65"/>
    <n v="0"/>
    <n v="65"/>
    <n v="47.45"/>
    <n v="17.549999999999997"/>
    <n v="0.26999999999999996"/>
    <n v="2025"/>
    <n v="7"/>
    <s v="2025-07"/>
    <s v="T3"/>
    <s v="50+"/>
    <s v="excellent"/>
    <s v="Rapide"/>
    <s v="Faible"/>
  </r>
  <r>
    <s v="TX0001043"/>
    <d v="2025-05-25T00:00:00"/>
    <s v="CLI02029"/>
    <s v="PRD015"/>
    <s v="AG015"/>
    <s v="COM039"/>
    <n v="2"/>
    <n v="48"/>
    <n v="0"/>
    <s v="Mobile Money"/>
    <s v="Validée"/>
    <s v="Client 02029"/>
    <s v="Lubumbashi"/>
    <s v="ONG"/>
    <s v="Webcam HD"/>
    <s v="Électronique"/>
    <s v="Entrée de gamme"/>
    <s v="Agence Goma 3"/>
    <s v="Goma"/>
    <s v="Commercial 039"/>
    <n v="38"/>
    <x v="1"/>
    <n v="58"/>
    <n v="6.9"/>
    <n v="4"/>
    <s v="Magasin"/>
    <n v="37.44"/>
    <n v="96"/>
    <n v="0"/>
    <n v="96"/>
    <n v="74.88"/>
    <n v="21.120000000000005"/>
    <n v="0.22000000000000006"/>
    <n v="2025"/>
    <n v="5"/>
    <s v="2025-05"/>
    <s v="T2"/>
    <s v="30-39"/>
    <s v="moyen"/>
    <s v="Moyen"/>
    <s v="Faible"/>
  </r>
  <r>
    <s v="TX0001044"/>
    <d v="2025-03-12T00:00:00"/>
    <s v="CLI01652"/>
    <s v="PRD014"/>
    <s v="AG005"/>
    <s v="COM039"/>
    <n v="2"/>
    <n v="65"/>
    <n v="0.05"/>
    <s v="Cash"/>
    <s v="Validée"/>
    <s v="Client 01652"/>
    <s v="Kisangani"/>
    <s v="Grande entreprise"/>
    <s v="Casque Pro"/>
    <s v="Électronique"/>
    <s v="Standard"/>
    <s v="Agence Matadi 1"/>
    <s v="Matadi"/>
    <s v="Commercial 039"/>
    <n v="27"/>
    <x v="0"/>
    <n v="41"/>
    <n v="6"/>
    <n v="6"/>
    <s v="WhatsApp"/>
    <n v="47.45"/>
    <n v="130"/>
    <n v="6.5"/>
    <n v="123.5"/>
    <n v="94.9"/>
    <n v="28.599999999999994"/>
    <n v="0.231578947368421"/>
    <n v="2025"/>
    <n v="3"/>
    <s v="2025-03"/>
    <s v="T1"/>
    <s v="22-29"/>
    <s v="moyen"/>
    <s v="Moyen"/>
    <s v="Faible"/>
  </r>
  <r>
    <s v="TX0001045"/>
    <d v="2025-01-25T00:00:00"/>
    <s v="CLI02016"/>
    <s v="PRD016"/>
    <s v="AG013"/>
    <s v="COM060"/>
    <n v="20"/>
    <n v="420"/>
    <n v="0.05"/>
    <s v="Cash"/>
    <s v="Validée"/>
    <s v="Client 02016"/>
    <s v="Lubumbashi"/>
    <s v="PME"/>
    <s v="Projecteur HD"/>
    <s v="Bureautique"/>
    <s v="Premium"/>
    <s v="Agence Kinshasa 3"/>
    <s v="Kinshasa"/>
    <s v="Commercial 060"/>
    <n v="27"/>
    <x v="1"/>
    <n v="33"/>
    <n v="4.2"/>
    <n v="9"/>
    <s v="Web"/>
    <n v="273"/>
    <n v="8400"/>
    <n v="420"/>
    <n v="7980"/>
    <n v="5460"/>
    <n v="2520"/>
    <n v="0.31578947368421051"/>
    <n v="2025"/>
    <n v="1"/>
    <s v="2025-01"/>
    <s v="T1"/>
    <s v="22-29"/>
    <s v="faible"/>
    <s v="Long"/>
    <s v="Elevée"/>
  </r>
  <r>
    <s v="TX0001047"/>
    <d v="2025-02-15T00:00:00"/>
    <s v="CLI00813"/>
    <s v="PRD007"/>
    <s v="AG015"/>
    <s v="COM015"/>
    <n v="6"/>
    <n v="145"/>
    <n v="0"/>
    <s v="Virement"/>
    <s v="Validée"/>
    <s v="Client 00813"/>
    <s v="Kisangani"/>
    <s v="ONG"/>
    <s v="Écran 24 pouces"/>
    <s v="Informatique"/>
    <s v="Standard"/>
    <s v="Agence Goma 3"/>
    <s v="Goma"/>
    <s v="Commercial 015"/>
    <n v="37"/>
    <x v="1"/>
    <n v="28"/>
    <n v="4.0999999999999996"/>
    <n v="8"/>
    <s v="WhatsApp"/>
    <n v="97.15"/>
    <n v="870"/>
    <n v="0"/>
    <n v="870"/>
    <n v="582.90000000000009"/>
    <n v="287.09999999999991"/>
    <n v="0.3299999999999999"/>
    <n v="2025"/>
    <n v="2"/>
    <s v="2025-02"/>
    <s v="T1"/>
    <s v="30-39"/>
    <s v="faible"/>
    <s v="Long"/>
    <s v="Moyenne"/>
  </r>
  <r>
    <s v="TX0001048"/>
    <d v="2025-07-25T00:00:00"/>
    <s v="CLI00702"/>
    <s v="PRD007"/>
    <s v="AG012"/>
    <s v="COM059"/>
    <n v="1"/>
    <n v="145"/>
    <n v="0.05"/>
    <s v="Cash"/>
    <s v="Validée"/>
    <s v="Client 00702"/>
    <s v="Kisangani"/>
    <s v="ONG"/>
    <s v="Écran 24 pouces"/>
    <s v="Informatique"/>
    <s v="Standard"/>
    <s v="Agence Kolwezi 2"/>
    <s v="Kolwezi"/>
    <s v="Commercial 059"/>
    <n v="49"/>
    <x v="1"/>
    <n v="48"/>
    <n v="7.2"/>
    <n v="2"/>
    <s v="WhatsApp"/>
    <n v="97.15"/>
    <n v="145"/>
    <n v="7.25"/>
    <n v="137.75"/>
    <n v="97.15"/>
    <n v="40.599999999999994"/>
    <n v="0.29473684210526313"/>
    <n v="2025"/>
    <n v="7"/>
    <s v="2025-07"/>
    <s v="T3"/>
    <s v="40-49"/>
    <s v="bon"/>
    <s v="Rapide"/>
    <s v="Faible"/>
  </r>
  <r>
    <s v="TX0001049"/>
    <d v="2025-11-05T00:00:00"/>
    <s v="CLI00840"/>
    <s v="PRD006"/>
    <s v="AG004"/>
    <s v="COM006"/>
    <n v="1"/>
    <n v="190"/>
    <n v="0.02"/>
    <s v="Cash"/>
    <s v="Validée"/>
    <s v="Client 00840"/>
    <s v="Matadi"/>
    <s v="ONG"/>
    <s v="Imprimante Office"/>
    <s v="Bureautique"/>
    <s v="Standard"/>
    <s v="Agence Kisangani 1"/>
    <s v="Kisangani"/>
    <s v="Commercial 006"/>
    <n v="55"/>
    <x v="0"/>
    <n v="40"/>
    <n v="3.8"/>
    <n v="9"/>
    <s v="Magasin"/>
    <n v="148.19999999999999"/>
    <n v="190"/>
    <n v="3.8000000000000003"/>
    <n v="186.2"/>
    <n v="148.19999999999999"/>
    <n v="38"/>
    <n v="0.20408163265306123"/>
    <n v="2025"/>
    <n v="11"/>
    <s v="2025-11"/>
    <s v="T4"/>
    <s v="50+"/>
    <s v="faible"/>
    <s v="Long"/>
    <s v="Faible"/>
  </r>
  <r>
    <s v="TX0001050"/>
    <d v="2025-06-12T00:00:00"/>
    <s v="CLI01729"/>
    <s v="PRD008"/>
    <s v="AG017"/>
    <s v="COM043"/>
    <n v="1"/>
    <n v="35"/>
    <n v="0.02"/>
    <s v="Virement"/>
    <s v="Validée"/>
    <s v="Client 01729"/>
    <s v="Matadi"/>
    <s v="Grande entreprise"/>
    <s v="Clavier Pro"/>
    <s v="Informatique"/>
    <s v="Entrée de gamme"/>
    <s v="Agence Matadi 3"/>
    <s v="Matadi"/>
    <s v="Commercial 043"/>
    <n v="40"/>
    <x v="0"/>
    <n v="39"/>
    <n v="8.6999999999999993"/>
    <n v="2"/>
    <s v="Web"/>
    <n v="24.15"/>
    <n v="35"/>
    <n v="0.70000000000000007"/>
    <n v="34.299999999999997"/>
    <n v="24.15"/>
    <n v="10.149999999999999"/>
    <n v="0.29591836734693877"/>
    <n v="2025"/>
    <n v="6"/>
    <s v="2025-06"/>
    <s v="T2"/>
    <s v="40-49"/>
    <s v="bon"/>
    <s v="Rapide"/>
    <s v="Faible"/>
  </r>
  <r>
    <s v="TX0001051"/>
    <d v="2025-12-08T00:00:00"/>
    <s v="CLI00780"/>
    <s v="PRD007"/>
    <s v="AG015"/>
    <s v="COM005"/>
    <n v="3"/>
    <n v="145"/>
    <n v="0"/>
    <s v="Virement"/>
    <s v="Validée"/>
    <s v="Client 00780"/>
    <s v="Kisangani"/>
    <s v="Grande entreprise"/>
    <s v="Écran 24 pouces"/>
    <s v="Informatique"/>
    <s v="Standard"/>
    <s v="Agence Goma 3"/>
    <s v="Goma"/>
    <s v="Commercial 005"/>
    <n v="34"/>
    <x v="1"/>
    <n v="3"/>
    <n v="6.2"/>
    <n v="4"/>
    <s v="Web"/>
    <n v="97.15"/>
    <n v="435"/>
    <n v="0"/>
    <n v="435"/>
    <n v="291.45000000000005"/>
    <n v="143.54999999999995"/>
    <n v="0.3299999999999999"/>
    <n v="2025"/>
    <n v="12"/>
    <s v="2025-12"/>
    <s v="T4"/>
    <s v="30-39"/>
    <s v="moyen"/>
    <s v="Moyen"/>
    <s v="Faible"/>
  </r>
  <r>
    <s v="TX0001052"/>
    <d v="2025-07-22T00:00:00"/>
    <s v="CLI00691"/>
    <s v="PRD011"/>
    <s v="AG002"/>
    <s v="COM010"/>
    <n v="2"/>
    <n v="240"/>
    <n v="0"/>
    <s v="Cash"/>
    <s v="Validée"/>
    <s v="Client 00691"/>
    <s v="Goma"/>
    <s v="Institution"/>
    <s v="Switch 24 Ports"/>
    <s v="Réseau"/>
    <s v="Premium"/>
    <s v="Agence Lubumbashi 1"/>
    <s v="Lubumbashi"/>
    <s v="Commercial 010"/>
    <n v="25"/>
    <x v="1"/>
    <n v="45"/>
    <n v="5.8"/>
    <n v="6"/>
    <s v="WhatsApp"/>
    <n v="177.6"/>
    <n v="480"/>
    <n v="0"/>
    <n v="480"/>
    <n v="355.2"/>
    <n v="124.80000000000001"/>
    <n v="0.26"/>
    <n v="2025"/>
    <n v="7"/>
    <s v="2025-07"/>
    <s v="T3"/>
    <s v="22-29"/>
    <s v="moyen"/>
    <s v="Moyen"/>
    <s v="Faible"/>
  </r>
  <r>
    <s v="TX0001053"/>
    <d v="2025-04-15T00:00:00"/>
    <s v="CLI01167"/>
    <s v="PRD002"/>
    <s v="AG008"/>
    <s v="COM029"/>
    <n v="3"/>
    <n v="350"/>
    <n v="0.1"/>
    <s v="Cash"/>
    <s v="Validée"/>
    <s v="Client 01167"/>
    <s v="Kinshasa"/>
    <s v="ONG"/>
    <s v="Smartphone Pro X"/>
    <s v="Électronique"/>
    <s v="Premium"/>
    <s v="Agence Lubumbashi 2"/>
    <s v="Lubumbashi"/>
    <s v="Commercial 029"/>
    <n v="24"/>
    <x v="1"/>
    <n v="41"/>
    <n v="4.9000000000000004"/>
    <n v="7"/>
    <s v="Magasin"/>
    <n v="213.5"/>
    <n v="1050"/>
    <n v="105"/>
    <n v="945"/>
    <n v="640.5"/>
    <n v="304.5"/>
    <n v="0.32222222222222224"/>
    <n v="2025"/>
    <n v="4"/>
    <s v="2025-04"/>
    <s v="T2"/>
    <s v="22-29"/>
    <s v="faible"/>
    <s v="Long"/>
    <s v="Moyenne"/>
  </r>
  <r>
    <s v="TX0001055"/>
    <d v="2025-02-17T00:00:00"/>
    <s v="CLI00308"/>
    <s v="PRD001"/>
    <s v="AG006"/>
    <s v="COM041"/>
    <n v="5"/>
    <n v="120"/>
    <n v="0.1"/>
    <s v="Carte"/>
    <s v="Validée"/>
    <s v="Client 00308"/>
    <s v="Kinshasa"/>
    <s v="PME"/>
    <s v="Smartphone A1"/>
    <s v="Électronique"/>
    <s v="Entrée de gamme"/>
    <s v="Agence Kolwezi 1"/>
    <s v="Kolwezi"/>
    <s v="Commercial 041"/>
    <n v="31"/>
    <x v="0"/>
    <n v="43"/>
    <n v="5.0999999999999996"/>
    <n v="6"/>
    <s v="Téléphone"/>
    <n v="73.2"/>
    <n v="600"/>
    <n v="60"/>
    <n v="540"/>
    <n v="366"/>
    <n v="174"/>
    <n v="0.32222222222222224"/>
    <n v="2025"/>
    <n v="2"/>
    <s v="2025-02"/>
    <s v="T1"/>
    <s v="30-39"/>
    <s v="moyen"/>
    <s v="Moyen"/>
    <s v="Moyenne"/>
  </r>
  <r>
    <s v="TX0001056"/>
    <d v="2025-08-03T00:00:00"/>
    <s v="CLI00793"/>
    <s v="PRD009"/>
    <s v="AG017"/>
    <s v="COM060"/>
    <n v="1"/>
    <n v="22"/>
    <n v="0.05"/>
    <s v="Virement"/>
    <s v="Validée"/>
    <s v="Client 00793"/>
    <s v="Lubumbashi"/>
    <s v="Institution"/>
    <s v="Souris Wireless"/>
    <s v="Informatique"/>
    <s v="Entrée de gamme"/>
    <s v="Agence Matadi 3"/>
    <s v="Matadi"/>
    <s v="Commercial 060"/>
    <n v="24"/>
    <x v="1"/>
    <n v="47"/>
    <n v="6"/>
    <n v="6"/>
    <s v="Web"/>
    <n v="14.96"/>
    <n v="22"/>
    <n v="1.1000000000000001"/>
    <n v="20.9"/>
    <n v="14.96"/>
    <n v="5.9399999999999977"/>
    <n v="0.28421052631578936"/>
    <n v="2025"/>
    <n v="8"/>
    <s v="2025-08"/>
    <s v="T3"/>
    <s v="22-29"/>
    <s v="moyen"/>
    <s v="Moyen"/>
    <s v="Faible"/>
  </r>
  <r>
    <s v="TX0001057"/>
    <d v="2025-08-07T00:00:00"/>
    <s v="CLI02013"/>
    <s v="PRD015"/>
    <s v="AG008"/>
    <s v="COM049"/>
    <n v="5"/>
    <n v="48"/>
    <n v="0"/>
    <s v="Carte"/>
    <s v="Validée"/>
    <s v="Client 02013"/>
    <s v="Kolwezi"/>
    <s v="ONG"/>
    <s v="Webcam HD"/>
    <s v="Électronique"/>
    <s v="Entrée de gamme"/>
    <s v="Agence Lubumbashi 2"/>
    <s v="Lubumbashi"/>
    <s v="Commercial 049"/>
    <n v="38"/>
    <x v="1"/>
    <n v="14"/>
    <n v="3.3"/>
    <n v="9"/>
    <s v="Magasin"/>
    <n v="37.44"/>
    <n v="240"/>
    <n v="0"/>
    <n v="240"/>
    <n v="187.2"/>
    <n v="52.800000000000011"/>
    <n v="0.22000000000000006"/>
    <n v="2025"/>
    <n v="8"/>
    <s v="2025-08"/>
    <s v="T3"/>
    <s v="30-39"/>
    <s v="faible"/>
    <s v="Long"/>
    <s v="Faible"/>
  </r>
  <r>
    <s v="TX0001058"/>
    <d v="2025-06-13T00:00:00"/>
    <s v="CLI02111"/>
    <s v="PRD006"/>
    <s v="AG018"/>
    <s v="COM044"/>
    <n v="2"/>
    <n v="190"/>
    <n v="0"/>
    <s v="Carte"/>
    <s v="Validée"/>
    <s v="Client 02111"/>
    <s v="Matadi"/>
    <s v="PME"/>
    <s v="Imprimante Office"/>
    <s v="Bureautique"/>
    <s v="Standard"/>
    <s v="Agence Kolwezi 3"/>
    <s v="Kolwezi"/>
    <s v="Commercial 044"/>
    <n v="34"/>
    <x v="1"/>
    <n v="45"/>
    <n v="5"/>
    <n v="7"/>
    <s v="Magasin"/>
    <n v="148.19999999999999"/>
    <n v="380"/>
    <n v="0"/>
    <n v="380"/>
    <n v="296.39999999999998"/>
    <n v="83.600000000000023"/>
    <n v="0.22000000000000006"/>
    <n v="2025"/>
    <n v="6"/>
    <s v="2025-06"/>
    <s v="T2"/>
    <s v="30-39"/>
    <s v="moyen"/>
    <s v="Long"/>
    <s v="Faible"/>
  </r>
  <r>
    <s v="TX0001059"/>
    <d v="2025-12-26T00:00:00"/>
    <s v="CLI01842"/>
    <s v="PRD001"/>
    <s v="AG016"/>
    <s v="COM051"/>
    <n v="3"/>
    <n v="120"/>
    <n v="0.08"/>
    <s v="Mobile Money"/>
    <s v="Validée"/>
    <s v="Client 01842"/>
    <s v="Goma"/>
    <s v="Grande entreprise"/>
    <s v="Smartphone A1"/>
    <s v="Électronique"/>
    <s v="Entrée de gamme"/>
    <s v="Agence Kisangani 3"/>
    <s v="Kisangani"/>
    <s v="Commercial 051"/>
    <n v="45"/>
    <x v="0"/>
    <n v="26"/>
    <n v="3.3"/>
    <n v="9"/>
    <s v="WhatsApp"/>
    <n v="73.2"/>
    <n v="360"/>
    <n v="28.8"/>
    <n v="331.2"/>
    <n v="219.60000000000002"/>
    <n v="111.59999999999997"/>
    <n v="0.33695652173913032"/>
    <n v="2025"/>
    <n v="12"/>
    <s v="2025-12"/>
    <s v="T4"/>
    <s v="40-49"/>
    <s v="faible"/>
    <s v="Long"/>
    <s v="Faible"/>
  </r>
  <r>
    <s v="TX0001060"/>
    <d v="2025-02-01T00:00:00"/>
    <s v="CLI00488"/>
    <s v="PRD015"/>
    <s v="AG016"/>
    <s v="COM045"/>
    <n v="2"/>
    <n v="48"/>
    <n v="0.02"/>
    <s v="Carte"/>
    <s v="Validée"/>
    <s v="Client 00488"/>
    <s v="Kinshasa"/>
    <s v="Institution"/>
    <s v="Webcam HD"/>
    <s v="Électronique"/>
    <s v="Entrée de gamme"/>
    <s v="Agence Kisangani 3"/>
    <s v="Kisangani"/>
    <s v="Commercial 045"/>
    <n v="27"/>
    <x v="1"/>
    <n v="30"/>
    <n v="4"/>
    <n v="9"/>
    <s v="WhatsApp"/>
    <n v="37.44"/>
    <n v="96"/>
    <n v="1.92"/>
    <n v="94.08"/>
    <n v="74.88"/>
    <n v="19.200000000000003"/>
    <n v="0.20408163265306126"/>
    <n v="2025"/>
    <n v="2"/>
    <s v="2025-02"/>
    <s v="T1"/>
    <s v="22-29"/>
    <s v="faible"/>
    <s v="Long"/>
    <s v="Faible"/>
  </r>
  <r>
    <s v="TX0001061"/>
    <d v="2025-01-02T00:00:00"/>
    <s v="CLI02123"/>
    <s v="PRD005"/>
    <s v="AG001"/>
    <s v="COM024"/>
    <n v="2"/>
    <n v="260"/>
    <n v="0"/>
    <s v="Cash"/>
    <s v="Validée"/>
    <s v="Client 02123"/>
    <s v="Kolwezi"/>
    <s v="ONG"/>
    <s v="Tablette T10"/>
    <s v="Électronique"/>
    <s v="Standard"/>
    <s v="Agence Kinshasa 1"/>
    <s v="Kinshasa"/>
    <s v="Commercial 024"/>
    <n v="59"/>
    <x v="0"/>
    <n v="26"/>
    <n v="4.0999999999999996"/>
    <n v="7"/>
    <s v="WhatsApp"/>
    <n v="189.8"/>
    <n v="520"/>
    <n v="0"/>
    <n v="520"/>
    <n v="379.6"/>
    <n v="140.39999999999998"/>
    <n v="0.26999999999999996"/>
    <n v="2025"/>
    <n v="1"/>
    <s v="2025-01"/>
    <s v="T1"/>
    <s v="50+"/>
    <s v="faible"/>
    <s v="Long"/>
    <s v="Moyenne"/>
  </r>
  <r>
    <s v="TX0001063"/>
    <d v="2025-08-18T00:00:00"/>
    <s v="CLI01500"/>
    <s v="PRD001"/>
    <s v="AG011"/>
    <s v="COM035"/>
    <n v="6"/>
    <n v="120"/>
    <n v="0.08"/>
    <s v="Virement"/>
    <s v="Validée"/>
    <s v="Client 01500"/>
    <s v="Kinshasa"/>
    <s v="Institution"/>
    <s v="Smartphone A1"/>
    <s v="Électronique"/>
    <s v="Entrée de gamme"/>
    <s v="Agence Matadi 2"/>
    <s v="Matadi"/>
    <s v="Commercial 035"/>
    <n v="33"/>
    <x v="1"/>
    <n v="57"/>
    <n v="5.0999999999999996"/>
    <n v="6"/>
    <s v="WhatsApp"/>
    <n v="73.2"/>
    <n v="720"/>
    <n v="57.6"/>
    <n v="662.4"/>
    <n v="439.20000000000005"/>
    <n v="223.19999999999993"/>
    <n v="0.33695652173913032"/>
    <n v="2025"/>
    <n v="8"/>
    <s v="2025-08"/>
    <s v="T3"/>
    <s v="30-39"/>
    <s v="moyen"/>
    <s v="Moyen"/>
    <s v="Moyenne"/>
  </r>
  <r>
    <s v="TX0001064"/>
    <d v="2025-03-31T00:00:00"/>
    <s v="CLI00616"/>
    <s v="PRD003"/>
    <s v="AG017"/>
    <s v="COM042"/>
    <n v="1"/>
    <n v="780"/>
    <n v="0.05"/>
    <s v="Virement"/>
    <s v="Validée"/>
    <s v="Client 00616"/>
    <s v="Kolwezi"/>
    <s v="ONG"/>
    <s v="Laptop Business 14"/>
    <s v="Informatique"/>
    <s v="Premium"/>
    <s v="Agence Matadi 3"/>
    <s v="Matadi"/>
    <s v="Commercial 042"/>
    <n v="48"/>
    <x v="1"/>
    <n v="4"/>
    <n v="4.0999999999999996"/>
    <n v="7"/>
    <s v="Web"/>
    <n v="468"/>
    <n v="780"/>
    <n v="39"/>
    <n v="741"/>
    <n v="468"/>
    <n v="273"/>
    <n v="0.36842105263157893"/>
    <n v="2025"/>
    <n v="3"/>
    <s v="2025-03"/>
    <s v="T1"/>
    <s v="40-49"/>
    <s v="faible"/>
    <s v="Long"/>
    <s v="Moyenne"/>
  </r>
  <r>
    <s v="TX0001065"/>
    <d v="2025-10-30T00:00:00"/>
    <s v="CLI01630"/>
    <s v="PRD015"/>
    <s v="AG002"/>
    <s v="COM036"/>
    <n v="3"/>
    <n v="48"/>
    <n v="0.08"/>
    <s v="Virement"/>
    <s v="Validée"/>
    <s v="Client 01630"/>
    <s v="Kinshasa"/>
    <s v="Institution"/>
    <s v="Webcam HD"/>
    <s v="Électronique"/>
    <s v="Entrée de gamme"/>
    <s v="Agence Lubumbashi 1"/>
    <s v="Lubumbashi"/>
    <s v="Commercial 036"/>
    <n v="29"/>
    <x v="0"/>
    <n v="14"/>
    <n v="6.3"/>
    <n v="5"/>
    <s v="WhatsApp"/>
    <n v="37.44"/>
    <n v="144"/>
    <n v="11.52"/>
    <n v="132.47999999999999"/>
    <n v="112.32"/>
    <n v="20.159999999999997"/>
    <n v="0.15217391304347824"/>
    <n v="2025"/>
    <n v="10"/>
    <s v="2025-10"/>
    <s v="T4"/>
    <s v="22-29"/>
    <s v="moyen"/>
    <s v="Moyen"/>
    <s v="Faible"/>
  </r>
  <r>
    <s v="TX0001067"/>
    <d v="2025-05-30T00:00:00"/>
    <s v="CLI00942"/>
    <s v="PRD014"/>
    <s v="AG009"/>
    <s v="COM033"/>
    <n v="3"/>
    <n v="65"/>
    <n v="0"/>
    <s v="Virement"/>
    <s v="Validée"/>
    <s v="Client 00942"/>
    <s v="Kisangani"/>
    <s v="ONG"/>
    <s v="Casque Pro"/>
    <s v="Électronique"/>
    <s v="Standard"/>
    <s v="Agence Goma 2"/>
    <s v="Goma"/>
    <s v="Commercial 033"/>
    <n v="26"/>
    <x v="0"/>
    <n v="15"/>
    <n v="7.9"/>
    <n v="1"/>
    <s v="Magasin"/>
    <n v="47.45"/>
    <n v="195"/>
    <n v="0"/>
    <n v="195"/>
    <n v="142.35000000000002"/>
    <n v="52.649999999999977"/>
    <n v="0.26999999999999991"/>
    <n v="2025"/>
    <n v="5"/>
    <s v="2025-05"/>
    <s v="T2"/>
    <s v="22-29"/>
    <s v="bon"/>
    <s v="Rapide"/>
    <s v="Faible"/>
  </r>
  <r>
    <s v="TX0001069"/>
    <d v="2025-04-02T00:00:00"/>
    <s v="CLI00147"/>
    <s v="PRD015"/>
    <s v="AG003"/>
    <s v="COM023"/>
    <n v="1"/>
    <n v="48"/>
    <n v="0.05"/>
    <s v="Mobile Money"/>
    <s v="Validée"/>
    <s v="Client 00147"/>
    <s v="Matadi"/>
    <s v="Institution"/>
    <s v="Webcam HD"/>
    <s v="Électronique"/>
    <s v="Entrée de gamme"/>
    <s v="Agence Goma 1"/>
    <s v="Goma"/>
    <s v="Commercial 023"/>
    <n v="45"/>
    <x v="0"/>
    <n v="21"/>
    <n v="3.4"/>
    <n v="9"/>
    <s v="Magasin"/>
    <n v="37.44"/>
    <n v="48"/>
    <n v="2.4000000000000004"/>
    <n v="45.6"/>
    <n v="37.44"/>
    <n v="8.1600000000000037"/>
    <n v="0.17894736842105272"/>
    <n v="2025"/>
    <n v="4"/>
    <s v="2025-04"/>
    <s v="T2"/>
    <s v="40-49"/>
    <s v="faible"/>
    <s v="Long"/>
    <s v="Faible"/>
  </r>
  <r>
    <s v="TX0001070"/>
    <d v="2025-12-03T00:00:00"/>
    <s v="CLI01957"/>
    <s v="PRD007"/>
    <s v="AG018"/>
    <s v="COM050"/>
    <n v="1"/>
    <n v="145"/>
    <n v="0.05"/>
    <s v="Mobile Money"/>
    <s v="Validée"/>
    <s v="Client 01957"/>
    <s v="Kolwezi"/>
    <s v="Institution"/>
    <s v="Écran 24 pouces"/>
    <s v="Informatique"/>
    <s v="Standard"/>
    <s v="Agence Kolwezi 3"/>
    <s v="Kolwezi"/>
    <s v="Commercial 050"/>
    <n v="47"/>
    <x v="1"/>
    <n v="62"/>
    <n v="8.1"/>
    <n v="2"/>
    <s v="Magasin"/>
    <n v="97.15"/>
    <n v="145"/>
    <n v="7.25"/>
    <n v="137.75"/>
    <n v="97.15"/>
    <n v="40.599999999999994"/>
    <n v="0.29473684210526313"/>
    <n v="2025"/>
    <n v="12"/>
    <s v="2025-12"/>
    <s v="T4"/>
    <s v="40-49"/>
    <s v="bon"/>
    <s v="Rapide"/>
    <s v="Faible"/>
  </r>
  <r>
    <s v="TX0001071"/>
    <d v="2025-11-09T00:00:00"/>
    <s v="CLI00320"/>
    <s v="PRD003"/>
    <s v="AG015"/>
    <s v="COM032"/>
    <n v="3"/>
    <n v="780"/>
    <n v="0.02"/>
    <s v="Carte"/>
    <s v="Validée"/>
    <s v="Client 00320"/>
    <s v="Kinshasa"/>
    <s v="Institution"/>
    <s v="Laptop Business 14"/>
    <s v="Informatique"/>
    <s v="Premium"/>
    <s v="Agence Goma 3"/>
    <s v="Goma"/>
    <s v="Commercial 032"/>
    <n v="44"/>
    <x v="1"/>
    <n v="50"/>
    <n v="4.8"/>
    <n v="6"/>
    <s v="Magasin"/>
    <n v="468"/>
    <n v="2340"/>
    <n v="46.800000000000004"/>
    <n v="2293.1999999999998"/>
    <n v="1404"/>
    <n v="889.19999999999982"/>
    <n v="0.38775510204081626"/>
    <n v="2025"/>
    <n v="11"/>
    <s v="2025-11"/>
    <s v="T4"/>
    <s v="40-49"/>
    <s v="faible"/>
    <s v="Moyen"/>
    <s v="Elevée"/>
  </r>
  <r>
    <s v="TX0001072"/>
    <d v="2025-03-08T00:00:00"/>
    <s v="CLI01788"/>
    <s v="PRD016"/>
    <s v="AG005"/>
    <s v="COM054"/>
    <n v="2"/>
    <n v="420"/>
    <n v="0.05"/>
    <s v="Carte"/>
    <s v="Validée"/>
    <s v="Client 01788"/>
    <s v="Kolwezi"/>
    <s v="PME"/>
    <s v="Projecteur HD"/>
    <s v="Bureautique"/>
    <s v="Premium"/>
    <s v="Agence Matadi 1"/>
    <s v="Matadi"/>
    <s v="Commercial 054"/>
    <n v="30"/>
    <x v="1"/>
    <n v="7"/>
    <n v="5.4"/>
    <n v="5"/>
    <s v="Téléphone"/>
    <n v="273"/>
    <n v="840"/>
    <n v="42"/>
    <n v="798"/>
    <n v="546"/>
    <n v="252"/>
    <n v="0.31578947368421051"/>
    <n v="2025"/>
    <n v="3"/>
    <s v="2025-03"/>
    <s v="T1"/>
    <s v="30-39"/>
    <s v="moyen"/>
    <s v="Moyen"/>
    <s v="Moyenne"/>
  </r>
  <r>
    <s v="TX0001073"/>
    <d v="2025-07-24T00:00:00"/>
    <s v="CLI00157"/>
    <s v="PRD011"/>
    <s v="AG017"/>
    <s v="COM001"/>
    <n v="3"/>
    <n v="240"/>
    <n v="0.08"/>
    <s v="Carte"/>
    <s v="Validée"/>
    <s v="Client 00157"/>
    <s v="Kisangani"/>
    <s v="PME"/>
    <s v="Switch 24 Ports"/>
    <s v="Réseau"/>
    <s v="Premium"/>
    <s v="Agence Matadi 3"/>
    <s v="Matadi"/>
    <s v="Commercial 001"/>
    <n v="54"/>
    <x v="1"/>
    <n v="29"/>
    <n v="6.6"/>
    <n v="5"/>
    <s v="Téléphone"/>
    <n v="177.6"/>
    <n v="720"/>
    <n v="57.6"/>
    <n v="662.4"/>
    <n v="532.79999999999995"/>
    <n v="129.60000000000002"/>
    <n v="0.19565217391304351"/>
    <n v="2025"/>
    <n v="7"/>
    <s v="2025-07"/>
    <s v="T3"/>
    <s v="50+"/>
    <s v="moyen"/>
    <s v="Moyen"/>
    <s v="Moyenne"/>
  </r>
  <r>
    <s v="TX0001074"/>
    <d v="2025-07-19T00:00:00"/>
    <s v="CLI01104"/>
    <s v="PRD001"/>
    <s v="AG012"/>
    <s v="COM049"/>
    <n v="2"/>
    <n v="120"/>
    <n v="0.05"/>
    <s v="Virement"/>
    <s v="Validée"/>
    <s v="Client 01104"/>
    <s v="Matadi"/>
    <s v="Institution"/>
    <s v="Smartphone A1"/>
    <s v="Électronique"/>
    <s v="Entrée de gamme"/>
    <s v="Agence Kolwezi 2"/>
    <s v="Kolwezi"/>
    <s v="Commercial 049"/>
    <n v="32"/>
    <x v="0"/>
    <n v="59"/>
    <n v="6.4"/>
    <n v="4"/>
    <s v="Téléphone"/>
    <n v="73.2"/>
    <n v="240"/>
    <n v="12"/>
    <n v="228"/>
    <n v="146.4"/>
    <n v="81.599999999999994"/>
    <n v="0.35789473684210527"/>
    <n v="2025"/>
    <n v="7"/>
    <s v="2025-07"/>
    <s v="T3"/>
    <s v="30-39"/>
    <s v="moyen"/>
    <s v="Moyen"/>
    <s v="Faible"/>
  </r>
  <r>
    <s v="TX0001075"/>
    <d v="2025-05-24T00:00:00"/>
    <s v="CLI00157"/>
    <s v="PRD001"/>
    <s v="AG004"/>
    <s v="COM011"/>
    <n v="5"/>
    <n v="120"/>
    <n v="0"/>
    <s v="Virement"/>
    <s v="Validée"/>
    <s v="Client 00157"/>
    <s v="Kisangani"/>
    <s v="PME"/>
    <s v="Smartphone A1"/>
    <s v="Électronique"/>
    <s v="Entrée de gamme"/>
    <s v="Agence Kisangani 1"/>
    <s v="Kisangani"/>
    <s v="Commercial 011"/>
    <n v="54"/>
    <x v="1"/>
    <n v="29"/>
    <n v="5.4"/>
    <n v="7"/>
    <s v="WhatsApp"/>
    <n v="73.2"/>
    <n v="600"/>
    <n v="0"/>
    <n v="600"/>
    <n v="366"/>
    <n v="234"/>
    <n v="0.39"/>
    <n v="2025"/>
    <n v="5"/>
    <s v="2025-05"/>
    <s v="T2"/>
    <s v="50+"/>
    <s v="moyen"/>
    <s v="Long"/>
    <s v="Moyenne"/>
  </r>
  <r>
    <s v="TX0001076"/>
    <d v="2025-09-26T00:00:00"/>
    <s v="CLI01100"/>
    <s v="PRD009"/>
    <s v="AG006"/>
    <s v="COM060"/>
    <n v="2"/>
    <n v="22"/>
    <n v="0.05"/>
    <s v="Mobile Money"/>
    <s v="Validée"/>
    <s v="Client 01100"/>
    <s v="Kolwezi"/>
    <s v="Institution"/>
    <s v="Souris Wireless"/>
    <s v="Informatique"/>
    <s v="Entrée de gamme"/>
    <s v="Agence Kolwezi 1"/>
    <s v="Kolwezi"/>
    <s v="Commercial 060"/>
    <n v="48"/>
    <x v="0"/>
    <n v="27"/>
    <n v="7.9"/>
    <n v="3"/>
    <s v="Magasin"/>
    <n v="14.96"/>
    <n v="44"/>
    <n v="2.2000000000000002"/>
    <n v="41.8"/>
    <n v="29.92"/>
    <n v="11.879999999999995"/>
    <n v="0.28421052631578936"/>
    <n v="2025"/>
    <n v="9"/>
    <s v="2025-09"/>
    <s v="T3"/>
    <s v="40-49"/>
    <s v="bon"/>
    <s v="Rapide"/>
    <s v="Faible"/>
  </r>
  <r>
    <s v="TX0001077"/>
    <d v="2025-05-07T00:00:00"/>
    <s v="CLI01446"/>
    <s v="PRD010"/>
    <s v="AG006"/>
    <s v="COM041"/>
    <n v="3"/>
    <n v="95"/>
    <n v="0"/>
    <s v="Virement"/>
    <s v="Validée"/>
    <s v="Client 01446"/>
    <s v="Goma"/>
    <s v="Indépendant"/>
    <s v="Routeur Business"/>
    <s v="Réseau"/>
    <s v="Standard"/>
    <s v="Agence Kolwezi 1"/>
    <s v="Kolwezi"/>
    <s v="Commercial 041"/>
    <n v="42"/>
    <x v="0"/>
    <n v="21"/>
    <n v="4.4000000000000004"/>
    <n v="8"/>
    <s v="Téléphone"/>
    <n v="70.3"/>
    <n v="285"/>
    <n v="0"/>
    <n v="285"/>
    <n v="210.89999999999998"/>
    <n v="74.100000000000023"/>
    <n v="0.26000000000000006"/>
    <n v="2025"/>
    <n v="5"/>
    <s v="2025-05"/>
    <s v="T2"/>
    <s v="40-49"/>
    <s v="faible"/>
    <s v="Long"/>
    <s v="Faible"/>
  </r>
  <r>
    <s v="TX0001078"/>
    <d v="2025-10-21T00:00:00"/>
    <s v="CLI00911"/>
    <s v="PRD007"/>
    <s v="AG018"/>
    <s v="COM058"/>
    <n v="6"/>
    <n v="145"/>
    <n v="0"/>
    <s v="Mobile Money"/>
    <s v="Validée"/>
    <s v="Client 00911"/>
    <s v="Kolwezi"/>
    <s v="Institution"/>
    <s v="Écran 24 pouces"/>
    <s v="Informatique"/>
    <s v="Standard"/>
    <s v="Agence Kolwezi 3"/>
    <s v="Kolwezi"/>
    <s v="Commercial 058"/>
    <n v="47"/>
    <x v="0"/>
    <n v="22"/>
    <n v="8.1"/>
    <n v="2"/>
    <s v="Magasin"/>
    <n v="97.15"/>
    <n v="870"/>
    <n v="0"/>
    <n v="870"/>
    <n v="582.90000000000009"/>
    <n v="287.09999999999991"/>
    <n v="0.3299999999999999"/>
    <n v="2025"/>
    <n v="10"/>
    <s v="2025-10"/>
    <s v="T4"/>
    <s v="40-49"/>
    <s v="bon"/>
    <s v="Rapide"/>
    <s v="Moyenne"/>
  </r>
  <r>
    <s v="TX0001080"/>
    <d v="2025-03-29T00:00:00"/>
    <s v="CLI01407"/>
    <s v="PRD013"/>
    <s v="AG006"/>
    <s v="COM037"/>
    <n v="2"/>
    <n v="110"/>
    <n v="0.05"/>
    <s v="Carte"/>
    <s v="Validée"/>
    <s v="Client 01407"/>
    <s v="Matadi"/>
    <s v="Grande entreprise"/>
    <s v="Disque SSD 1TB"/>
    <s v="Informatique"/>
    <s v="Premium"/>
    <s v="Agence Kolwezi 1"/>
    <s v="Kolwezi"/>
    <s v="Commercial 037"/>
    <n v="60"/>
    <x v="0"/>
    <n v="66"/>
    <n v="7.2"/>
    <n v="2"/>
    <s v="Téléphone"/>
    <n v="72.599999999999994"/>
    <n v="220"/>
    <n v="11"/>
    <n v="209"/>
    <n v="145.19999999999999"/>
    <n v="63.800000000000011"/>
    <n v="0.3052631578947369"/>
    <n v="2025"/>
    <n v="3"/>
    <s v="2025-03"/>
    <s v="T1"/>
    <s v="50+"/>
    <s v="bon"/>
    <s v="Rapide"/>
    <s v="Faible"/>
  </r>
  <r>
    <s v="TX0001081"/>
    <d v="2025-12-18T00:00:00"/>
    <s v="CLI00911"/>
    <s v="PRD011"/>
    <s v="AG017"/>
    <s v="COM039"/>
    <n v="2"/>
    <n v="240"/>
    <n v="0"/>
    <s v="Cash"/>
    <s v="Validée"/>
    <s v="Client 00911"/>
    <s v="Kolwezi"/>
    <s v="Institution"/>
    <s v="Switch 24 Ports"/>
    <s v="Réseau"/>
    <s v="Premium"/>
    <s v="Agence Matadi 3"/>
    <s v="Matadi"/>
    <s v="Commercial 039"/>
    <n v="47"/>
    <x v="0"/>
    <n v="22"/>
    <n v="7.2"/>
    <n v="3"/>
    <s v="Web"/>
    <n v="177.6"/>
    <n v="480"/>
    <n v="0"/>
    <n v="480"/>
    <n v="355.2"/>
    <n v="124.80000000000001"/>
    <n v="0.26"/>
    <n v="2025"/>
    <n v="12"/>
    <s v="2025-12"/>
    <s v="T4"/>
    <s v="40-49"/>
    <s v="bon"/>
    <s v="Rapide"/>
    <s v="Faible"/>
  </r>
  <r>
    <s v="TX0001083"/>
    <d v="2025-09-07T00:00:00"/>
    <s v="CLI01329"/>
    <s v="PRD001"/>
    <s v="AG011"/>
    <s v="COM049"/>
    <n v="4"/>
    <n v="120"/>
    <n v="0"/>
    <s v="Virement"/>
    <s v="Validée"/>
    <s v="Client 01329"/>
    <s v="Kolwezi"/>
    <s v="Institution"/>
    <s v="Smartphone A1"/>
    <s v="Électronique"/>
    <s v="Entrée de gamme"/>
    <s v="Agence Matadi 2"/>
    <s v="Matadi"/>
    <s v="Commercial 049"/>
    <n v="26"/>
    <x v="1"/>
    <n v="25"/>
    <n v="4.0999999999999996"/>
    <n v="7"/>
    <s v="Téléphone"/>
    <n v="73.2"/>
    <n v="480"/>
    <n v="0"/>
    <n v="480"/>
    <n v="292.8"/>
    <n v="187.2"/>
    <n v="0.38999999999999996"/>
    <n v="2025"/>
    <n v="9"/>
    <s v="2025-09"/>
    <s v="T3"/>
    <s v="22-29"/>
    <s v="faible"/>
    <s v="Long"/>
    <s v="Faible"/>
  </r>
  <r>
    <s v="TX0001085"/>
    <d v="2025-01-25T00:00:00"/>
    <s v="CLI00464"/>
    <s v="PRD016"/>
    <s v="AG016"/>
    <s v="COM011"/>
    <n v="1"/>
    <n v="420"/>
    <n v="0.1"/>
    <s v="Virement"/>
    <s v="Validée"/>
    <s v="Client 00464"/>
    <s v="Kinshasa"/>
    <s v="Grande entreprise"/>
    <s v="Projecteur HD"/>
    <s v="Bureautique"/>
    <s v="Premium"/>
    <s v="Agence Kisangani 3"/>
    <s v="Kisangani"/>
    <s v="Commercial 011"/>
    <n v="30"/>
    <x v="0"/>
    <n v="8"/>
    <n v="7.3"/>
    <n v="3"/>
    <s v="Magasin"/>
    <n v="273"/>
    <n v="420"/>
    <n v="42"/>
    <n v="378"/>
    <n v="273"/>
    <n v="105"/>
    <n v="0.27777777777777779"/>
    <n v="2025"/>
    <n v="1"/>
    <s v="2025-01"/>
    <s v="T1"/>
    <s v="30-39"/>
    <s v="bon"/>
    <s v="Rapide"/>
    <s v="Faible"/>
  </r>
  <r>
    <s v="TX0001086"/>
    <d v="2025-07-06T00:00:00"/>
    <s v="CLI01103"/>
    <s v="PRD002"/>
    <s v="AG003"/>
    <s v="COM054"/>
    <n v="1"/>
    <n v="350"/>
    <n v="0"/>
    <s v="Cash"/>
    <s v="Validée"/>
    <s v="Client 01103"/>
    <s v="Kolwezi"/>
    <s v="Grande entreprise"/>
    <s v="Smartphone Pro X"/>
    <s v="Électronique"/>
    <s v="Premium"/>
    <s v="Agence Goma 1"/>
    <s v="Goma"/>
    <s v="Commercial 054"/>
    <n v="30"/>
    <x v="0"/>
    <n v="12"/>
    <n v="6.1"/>
    <n v="5"/>
    <s v="Magasin"/>
    <n v="213.5"/>
    <n v="350"/>
    <n v="0"/>
    <n v="350"/>
    <n v="213.5"/>
    <n v="136.5"/>
    <n v="0.39"/>
    <n v="2025"/>
    <n v="7"/>
    <s v="2025-07"/>
    <s v="T3"/>
    <s v="30-39"/>
    <s v="moyen"/>
    <s v="Moyen"/>
    <s v="Faible"/>
  </r>
  <r>
    <s v="TX0001087"/>
    <d v="2025-06-17T00:00:00"/>
    <s v="CLI01859"/>
    <s v="PRD004"/>
    <s v="AG011"/>
    <s v="COM053"/>
    <n v="1"/>
    <n v="520"/>
    <n v="0"/>
    <s v="Carte"/>
    <s v="Validée"/>
    <s v="Client 01859"/>
    <s v="Lubumbashi"/>
    <s v="ONG"/>
    <s v="Laptop Essential 15"/>
    <s v="Informatique"/>
    <s v="Standard"/>
    <s v="Agence Matadi 2"/>
    <s v="Matadi"/>
    <s v="Commercial 053"/>
    <n v="26"/>
    <x v="0"/>
    <n v="68"/>
    <n v="4.0999999999999996"/>
    <n v="8"/>
    <s v="WhatsApp"/>
    <n v="348.4"/>
    <n v="520"/>
    <n v="0"/>
    <n v="520"/>
    <n v="348.4"/>
    <n v="171.60000000000002"/>
    <n v="0.33000000000000007"/>
    <n v="2025"/>
    <n v="6"/>
    <s v="2025-06"/>
    <s v="T2"/>
    <s v="22-29"/>
    <s v="faible"/>
    <s v="Long"/>
    <s v="Moyenne"/>
  </r>
  <r>
    <s v="TX0001088"/>
    <d v="2025-09-26T00:00:00"/>
    <s v="CLI00879"/>
    <s v="PRD014"/>
    <s v="AG016"/>
    <s v="COM047"/>
    <n v="1"/>
    <n v="65"/>
    <n v="0.1"/>
    <s v="Mobile Money"/>
    <s v="Validée"/>
    <s v="Client 00879"/>
    <s v="Kolwezi"/>
    <s v="Indépendant"/>
    <s v="Casque Pro"/>
    <s v="Électronique"/>
    <s v="Standard"/>
    <s v="Agence Kisangani 3"/>
    <s v="Kisangani"/>
    <s v="Commercial 047"/>
    <n v="31"/>
    <x v="0"/>
    <n v="38"/>
    <n v="6.6"/>
    <n v="5"/>
    <s v="Téléphone"/>
    <n v="47.45"/>
    <n v="65"/>
    <n v="6.5"/>
    <n v="58.5"/>
    <n v="47.45"/>
    <n v="11.049999999999997"/>
    <n v="0.18888888888888883"/>
    <n v="2025"/>
    <n v="9"/>
    <s v="2025-09"/>
    <s v="T3"/>
    <s v="30-39"/>
    <s v="moyen"/>
    <s v="Moyen"/>
    <s v="Faible"/>
  </r>
  <r>
    <s v="TX0001089"/>
    <d v="2025-05-17T00:00:00"/>
    <s v="CLI01300"/>
    <s v="PRD002"/>
    <s v="AG001"/>
    <s v="COM040"/>
    <n v="10"/>
    <n v="350"/>
    <n v="0"/>
    <s v="Cash"/>
    <s v="Validée"/>
    <s v="Client 01300"/>
    <s v="Kinshasa"/>
    <s v="Indépendant"/>
    <s v="Smartphone Pro X"/>
    <s v="Électronique"/>
    <s v="Premium"/>
    <s v="Agence Kinshasa 1"/>
    <s v="Kinshasa"/>
    <s v="Commercial 040"/>
    <n v="23"/>
    <x v="1"/>
    <n v="38"/>
    <n v="8.1"/>
    <n v="2"/>
    <s v="Magasin"/>
    <n v="213.5"/>
    <n v="3500"/>
    <n v="0"/>
    <n v="3500"/>
    <n v="2135"/>
    <n v="1365"/>
    <n v="0.39"/>
    <n v="2025"/>
    <n v="5"/>
    <s v="2025-05"/>
    <s v="T2"/>
    <s v="22-29"/>
    <s v="bon"/>
    <s v="Rapide"/>
    <s v="Elevée"/>
  </r>
  <r>
    <s v="TX0001090"/>
    <d v="2025-08-22T00:00:00"/>
    <s v="CLI00357"/>
    <s v="PRD002"/>
    <s v="AG012"/>
    <s v="COM012"/>
    <n v="2"/>
    <n v="350"/>
    <n v="0.05"/>
    <s v="Cash"/>
    <s v="Validée"/>
    <s v="Client 00357"/>
    <s v="Kinshasa"/>
    <s v="PME"/>
    <s v="Smartphone Pro X"/>
    <s v="Électronique"/>
    <s v="Premium"/>
    <s v="Agence Kolwezi 2"/>
    <s v="Kolwezi"/>
    <s v="Commercial 012"/>
    <n v="23"/>
    <x v="1"/>
    <n v="49"/>
    <n v="6.7"/>
    <n v="4"/>
    <s v="Téléphone"/>
    <n v="213.5"/>
    <n v="700"/>
    <n v="35"/>
    <n v="665"/>
    <n v="427"/>
    <n v="238"/>
    <n v="0.35789473684210527"/>
    <n v="2025"/>
    <n v="8"/>
    <s v="2025-08"/>
    <s v="T3"/>
    <s v="22-29"/>
    <s v="moyen"/>
    <s v="Moyen"/>
    <s v="Moyenne"/>
  </r>
  <r>
    <s v="TX0001091"/>
    <d v="2025-11-06T00:00:00"/>
    <s v="CLI02146"/>
    <s v="PRD016"/>
    <s v="AG018"/>
    <s v="COM004"/>
    <n v="4"/>
    <n v="420"/>
    <n v="0"/>
    <s v="Mobile Money"/>
    <s v="Validée"/>
    <s v="Client 02146"/>
    <s v="Kolwezi"/>
    <s v="Institution"/>
    <s v="Projecteur HD"/>
    <s v="Bureautique"/>
    <s v="Premium"/>
    <s v="Agence Kolwezi 3"/>
    <s v="Kolwezi"/>
    <s v="Commercial 004"/>
    <n v="55"/>
    <x v="0"/>
    <n v="69"/>
    <n v="6"/>
    <n v="6"/>
    <s v="WhatsApp"/>
    <n v="273"/>
    <n v="1680"/>
    <n v="0"/>
    <n v="1680"/>
    <n v="1092"/>
    <n v="588"/>
    <n v="0.35"/>
    <n v="2025"/>
    <n v="11"/>
    <s v="2025-11"/>
    <s v="T4"/>
    <s v="50+"/>
    <s v="moyen"/>
    <s v="Moyen"/>
    <s v="Elevée"/>
  </r>
  <r>
    <s v="TX0001092"/>
    <d v="2025-09-21T00:00:00"/>
    <s v="CLI01479"/>
    <s v="PRD005"/>
    <s v="AG008"/>
    <s v="COM055"/>
    <n v="3"/>
    <n v="260"/>
    <n v="0.1"/>
    <s v="Virement"/>
    <s v="Validée"/>
    <s v="Client 01479"/>
    <s v="Kinshasa"/>
    <s v="Institution"/>
    <s v="Tablette T10"/>
    <s v="Électronique"/>
    <s v="Standard"/>
    <s v="Agence Lubumbashi 2"/>
    <s v="Lubumbashi"/>
    <s v="Commercial 055"/>
    <n v="60"/>
    <x v="1"/>
    <n v="67"/>
    <n v="7.4"/>
    <n v="4"/>
    <s v="Web"/>
    <n v="189.8"/>
    <n v="780"/>
    <n v="78"/>
    <n v="702"/>
    <n v="569.40000000000009"/>
    <n v="132.59999999999991"/>
    <n v="0.18888888888888877"/>
    <n v="2025"/>
    <n v="9"/>
    <s v="2025-09"/>
    <s v="T3"/>
    <s v="50+"/>
    <s v="bon"/>
    <s v="Moyen"/>
    <s v="Moyenne"/>
  </r>
  <r>
    <s v="TX0001093"/>
    <d v="2025-08-08T00:00:00"/>
    <s v="CLI00561"/>
    <s v="PRD011"/>
    <s v="AG018"/>
    <s v="COM052"/>
    <n v="2"/>
    <n v="240"/>
    <n v="0"/>
    <s v="Mobile Money"/>
    <s v="Validée"/>
    <s v="Client 00561"/>
    <s v="Kisangani"/>
    <s v="Grande entreprise"/>
    <s v="Switch 24 Ports"/>
    <s v="Réseau"/>
    <s v="Premium"/>
    <s v="Agence Kolwezi 3"/>
    <s v="Kolwezi"/>
    <s v="Commercial 052"/>
    <n v="46"/>
    <x v="1"/>
    <n v="61"/>
    <n v="4.7"/>
    <n v="7"/>
    <s v="Web"/>
    <n v="177.6"/>
    <n v="480"/>
    <n v="0"/>
    <n v="480"/>
    <n v="355.2"/>
    <n v="124.80000000000001"/>
    <n v="0.26"/>
    <n v="2025"/>
    <n v="8"/>
    <s v="2025-08"/>
    <s v="T3"/>
    <s v="40-49"/>
    <s v="faible"/>
    <s v="Long"/>
    <s v="Faible"/>
  </r>
  <r>
    <s v="TX0001094"/>
    <d v="2025-03-27T00:00:00"/>
    <s v="CLI01843"/>
    <s v="PRD015"/>
    <s v="AG009"/>
    <s v="COM020"/>
    <n v="1"/>
    <n v="48"/>
    <n v="0.08"/>
    <s v="Virement"/>
    <s v="Validée"/>
    <s v="Client 01843"/>
    <s v="Goma"/>
    <s v="Indépendant"/>
    <s v="Webcam HD"/>
    <s v="Électronique"/>
    <s v="Entrée de gamme"/>
    <s v="Agence Goma 2"/>
    <s v="Goma"/>
    <s v="Commercial 020"/>
    <n v="23"/>
    <x v="1"/>
    <n v="54"/>
    <n v="7.8"/>
    <n v="2"/>
    <s v="Web"/>
    <n v="37.44"/>
    <n v="48"/>
    <n v="3.84"/>
    <n v="44.16"/>
    <n v="37.44"/>
    <n v="6.7199999999999989"/>
    <n v="0.15217391304347824"/>
    <n v="2025"/>
    <n v="3"/>
    <s v="2025-03"/>
    <s v="T1"/>
    <s v="22-29"/>
    <s v="bon"/>
    <s v="Rapide"/>
    <s v="Faible"/>
  </r>
  <r>
    <s v="TX0001095"/>
    <d v="2025-06-12T00:00:00"/>
    <s v="CLI01146"/>
    <s v="PRD011"/>
    <s v="AG014"/>
    <s v="COM024"/>
    <n v="4"/>
    <n v="240"/>
    <n v="0.1"/>
    <s v="Virement"/>
    <s v="Validée"/>
    <s v="Client 01146"/>
    <s v="Kolwezi"/>
    <s v="Grande entreprise"/>
    <s v="Switch 24 Ports"/>
    <s v="Réseau"/>
    <s v="Premium"/>
    <s v="Agence Lubumbashi 3"/>
    <s v="Lubumbashi"/>
    <s v="Commercial 024"/>
    <n v="22"/>
    <x v="1"/>
    <n v="34"/>
    <n v="7.9"/>
    <n v="1"/>
    <s v="Magasin"/>
    <n v="177.6"/>
    <n v="960"/>
    <n v="96"/>
    <n v="864"/>
    <n v="710.4"/>
    <n v="153.60000000000002"/>
    <n v="0.17777777777777781"/>
    <n v="2025"/>
    <n v="6"/>
    <s v="2025-06"/>
    <s v="T2"/>
    <s v="22-29"/>
    <s v="bon"/>
    <s v="Rapide"/>
    <s v="Moyenne"/>
  </r>
  <r>
    <s v="TX0001096"/>
    <d v="2025-12-21T00:00:00"/>
    <s v="CLI00528"/>
    <s v="PRD010"/>
    <s v="AG004"/>
    <s v="COM006"/>
    <n v="2"/>
    <n v="95"/>
    <n v="0"/>
    <s v="Cash"/>
    <s v="Validée"/>
    <s v="Client 00528"/>
    <s v="Matadi"/>
    <s v="Grande entreprise"/>
    <s v="Routeur Business"/>
    <s v="Réseau"/>
    <s v="Standard"/>
    <s v="Agence Kisangani 1"/>
    <s v="Kisangani"/>
    <s v="Commercial 006"/>
    <n v="49"/>
    <x v="0"/>
    <n v="18"/>
    <n v="8.1999999999999993"/>
    <n v="1"/>
    <s v="Web"/>
    <n v="70.3"/>
    <n v="190"/>
    <n v="0"/>
    <n v="190"/>
    <n v="140.6"/>
    <n v="49.400000000000006"/>
    <n v="0.26"/>
    <n v="2025"/>
    <n v="12"/>
    <s v="2025-12"/>
    <s v="T4"/>
    <s v="40-49"/>
    <s v="bon"/>
    <s v="Rapide"/>
    <s v="Faible"/>
  </r>
  <r>
    <s v="TX0001097"/>
    <d v="2025-06-07T00:00:00"/>
    <s v="CLI00026"/>
    <s v="PRD002"/>
    <s v="AG002"/>
    <s v="COM010"/>
    <n v="2"/>
    <n v="350"/>
    <n v="0"/>
    <s v="Carte"/>
    <s v="Validée"/>
    <s v="Client 00026"/>
    <s v="Lubumbashi"/>
    <s v="Institution"/>
    <s v="Smartphone Pro X"/>
    <s v="Électronique"/>
    <s v="Premium"/>
    <s v="Agence Lubumbashi 1"/>
    <s v="Lubumbashi"/>
    <s v="Commercial 010"/>
    <n v="43"/>
    <x v="0"/>
    <n v="45"/>
    <n v="4.3"/>
    <n v="9"/>
    <s v="WhatsApp"/>
    <n v="213.5"/>
    <n v="700"/>
    <n v="0"/>
    <n v="700"/>
    <n v="427"/>
    <n v="273"/>
    <n v="0.39"/>
    <n v="2025"/>
    <n v="6"/>
    <s v="2025-06"/>
    <s v="T2"/>
    <s v="40-49"/>
    <s v="faible"/>
    <s v="Long"/>
    <s v="Moyenne"/>
  </r>
  <r>
    <s v="TX0001098"/>
    <d v="2025-06-16T00:00:00"/>
    <s v="CLI00969"/>
    <s v="PRD005"/>
    <s v="AG004"/>
    <s v="COM052"/>
    <n v="5"/>
    <n v="260"/>
    <n v="0"/>
    <s v="Carte"/>
    <s v="Validée"/>
    <s v="Client 00969"/>
    <s v="Lubumbashi"/>
    <s v="Grande entreprise"/>
    <s v="Tablette T10"/>
    <s v="Électronique"/>
    <s v="Standard"/>
    <s v="Agence Kisangani 1"/>
    <s v="Kisangani"/>
    <s v="Commercial 052"/>
    <n v="38"/>
    <x v="0"/>
    <n v="59"/>
    <n v="4.2"/>
    <n v="8"/>
    <s v="WhatsApp"/>
    <n v="189.8"/>
    <n v="1300"/>
    <n v="0"/>
    <n v="1300"/>
    <n v="949"/>
    <n v="351"/>
    <n v="0.27"/>
    <n v="2025"/>
    <n v="6"/>
    <s v="2025-06"/>
    <s v="T2"/>
    <s v="30-39"/>
    <s v="faible"/>
    <s v="Long"/>
    <s v="Elevée"/>
  </r>
  <r>
    <s v="TX0001099"/>
    <d v="2025-04-15T00:00:00"/>
    <s v="CLI01393"/>
    <s v="PRD016"/>
    <s v="AG002"/>
    <s v="COM034"/>
    <n v="3"/>
    <n v="420"/>
    <n v="0.02"/>
    <s v="Carte"/>
    <s v="Validée"/>
    <s v="Client 01393"/>
    <s v="Goma"/>
    <s v="PME"/>
    <s v="Projecteur HD"/>
    <s v="Bureautique"/>
    <s v="Premium"/>
    <s v="Agence Lubumbashi 1"/>
    <s v="Lubumbashi"/>
    <s v="Commercial 034"/>
    <n v="24"/>
    <x v="1"/>
    <n v="22"/>
    <n v="5.8"/>
    <n v="6"/>
    <s v="Téléphone"/>
    <n v="273"/>
    <n v="1260"/>
    <n v="25.2"/>
    <n v="1234.8"/>
    <n v="819"/>
    <n v="415.79999999999995"/>
    <n v="0.33673469387755101"/>
    <n v="2025"/>
    <n v="4"/>
    <s v="2025-04"/>
    <s v="T2"/>
    <s v="22-29"/>
    <s v="moyen"/>
    <s v="Moyen"/>
    <s v="Elevée"/>
  </r>
  <r>
    <s v="TX0001100"/>
    <d v="2025-09-24T00:00:00"/>
    <s v="CLI01163"/>
    <s v="PRD010"/>
    <s v="AG010"/>
    <s v="COM055"/>
    <n v="3"/>
    <n v="95"/>
    <n v="0.02"/>
    <s v="Mobile Money"/>
    <s v="Validée"/>
    <s v="Client 01163"/>
    <s v="Lubumbashi"/>
    <s v="Indépendant"/>
    <s v="Routeur Business"/>
    <s v="Réseau"/>
    <s v="Standard"/>
    <s v="Agence Kisangani 2"/>
    <s v="Kisangani"/>
    <s v="Commercial 055"/>
    <n v="48"/>
    <x v="0"/>
    <n v="18"/>
    <n v="7"/>
    <n v="3"/>
    <s v="WhatsApp"/>
    <n v="70.3"/>
    <n v="285"/>
    <n v="5.7"/>
    <n v="279.3"/>
    <n v="210.89999999999998"/>
    <n v="68.400000000000034"/>
    <n v="0.24489795918367357"/>
    <n v="2025"/>
    <n v="9"/>
    <s v="2025-09"/>
    <s v="T3"/>
    <s v="40-49"/>
    <s v="bon"/>
    <s v="Rapide"/>
    <s v="Faible"/>
  </r>
  <r>
    <s v="TX0001101"/>
    <d v="2025-12-20T00:00:00"/>
    <s v="CLI02010"/>
    <s v="PRD005"/>
    <s v="AG016"/>
    <s v="COM055"/>
    <n v="20"/>
    <n v="260"/>
    <n v="0"/>
    <s v="Mobile Money"/>
    <s v="Validée"/>
    <s v="Client 02010"/>
    <s v="Kisangani"/>
    <s v="ONG"/>
    <s v="Tablette T10"/>
    <s v="Électronique"/>
    <s v="Standard"/>
    <s v="Agence Kisangani 3"/>
    <s v="Kisangani"/>
    <s v="Commercial 055"/>
    <n v="35"/>
    <x v="1"/>
    <n v="22"/>
    <n v="3.7"/>
    <n v="8"/>
    <s v="WhatsApp"/>
    <n v="189.8"/>
    <n v="5200"/>
    <n v="0"/>
    <n v="5200"/>
    <n v="3796"/>
    <n v="1404"/>
    <n v="0.27"/>
    <n v="2025"/>
    <n v="12"/>
    <s v="2025-12"/>
    <s v="T4"/>
    <s v="30-39"/>
    <s v="faible"/>
    <s v="Long"/>
    <s v="Elevée"/>
  </r>
  <r>
    <s v="TX0001103"/>
    <d v="2025-04-22T00:00:00"/>
    <s v="CLI01180"/>
    <s v="PRD007"/>
    <s v="AG003"/>
    <s v="COM034"/>
    <n v="4"/>
    <n v="145"/>
    <n v="0"/>
    <s v="Cash"/>
    <s v="Validée"/>
    <s v="Client 01180"/>
    <s v="Matadi"/>
    <s v="Grande entreprise"/>
    <s v="Écran 24 pouces"/>
    <s v="Informatique"/>
    <s v="Standard"/>
    <s v="Agence Goma 1"/>
    <s v="Goma"/>
    <s v="Commercial 034"/>
    <n v="38"/>
    <x v="1"/>
    <n v="25"/>
    <n v="4"/>
    <n v="9"/>
    <s v="WhatsApp"/>
    <n v="97.15"/>
    <n v="580"/>
    <n v="0"/>
    <n v="580"/>
    <n v="388.6"/>
    <n v="191.39999999999998"/>
    <n v="0.32999999999999996"/>
    <n v="2025"/>
    <n v="4"/>
    <s v="2025-04"/>
    <s v="T2"/>
    <s v="30-39"/>
    <s v="faible"/>
    <s v="Long"/>
    <s v="Moyenne"/>
  </r>
  <r>
    <s v="TX0001104"/>
    <d v="2025-11-07T00:00:00"/>
    <s v="CLI00780"/>
    <s v="PRD003"/>
    <s v="AG005"/>
    <s v="COM013"/>
    <n v="1"/>
    <n v="780"/>
    <n v="0.1"/>
    <s v="Cash"/>
    <s v="Validée"/>
    <s v="Client 00780"/>
    <s v="Kisangani"/>
    <s v="Grande entreprise"/>
    <s v="Laptop Business 14"/>
    <s v="Informatique"/>
    <s v="Premium"/>
    <s v="Agence Matadi 1"/>
    <s v="Matadi"/>
    <s v="Commercial 013"/>
    <n v="34"/>
    <x v="1"/>
    <n v="3"/>
    <n v="7.9"/>
    <n v="1"/>
    <s v="Téléphone"/>
    <n v="468"/>
    <n v="780"/>
    <n v="78"/>
    <n v="702"/>
    <n v="468"/>
    <n v="234"/>
    <n v="0.33333333333333331"/>
    <n v="2025"/>
    <n v="11"/>
    <s v="2025-11"/>
    <s v="T4"/>
    <s v="30-39"/>
    <s v="bon"/>
    <s v="Rapide"/>
    <s v="Moyenne"/>
  </r>
  <r>
    <s v="TX0001105"/>
    <d v="2025-01-05T00:00:00"/>
    <s v="CLI00380"/>
    <s v="PRD002"/>
    <s v="AG013"/>
    <s v="COM048"/>
    <n v="5"/>
    <n v="350"/>
    <n v="0.05"/>
    <s v="Carte"/>
    <s v="Validée"/>
    <s v="Client 00380"/>
    <s v="Kinshasa"/>
    <s v="ONG"/>
    <s v="Smartphone Pro X"/>
    <s v="Électronique"/>
    <s v="Premium"/>
    <s v="Agence Kinshasa 3"/>
    <s v="Kinshasa"/>
    <s v="Commercial 048"/>
    <n v="30"/>
    <x v="0"/>
    <n v="68"/>
    <n v="6.6"/>
    <n v="3"/>
    <s v="Web"/>
    <n v="213.5"/>
    <n v="1750"/>
    <n v="87.5"/>
    <n v="1662.5"/>
    <n v="1067.5"/>
    <n v="595"/>
    <n v="0.35789473684210527"/>
    <n v="2025"/>
    <n v="1"/>
    <s v="2025-01"/>
    <s v="T1"/>
    <s v="30-39"/>
    <s v="moyen"/>
    <s v="Rapide"/>
    <s v="Elevée"/>
  </r>
  <r>
    <s v="TX0001106"/>
    <d v="2025-10-11T00:00:00"/>
    <s v="CLI02006"/>
    <s v="PRD006"/>
    <s v="AG007"/>
    <s v="COM046"/>
    <n v="2"/>
    <n v="190"/>
    <n v="0"/>
    <s v="Carte"/>
    <s v="Validée"/>
    <s v="Client 02006"/>
    <s v="Lubumbashi"/>
    <s v="ONG"/>
    <s v="Imprimante Office"/>
    <s v="Bureautique"/>
    <s v="Standard"/>
    <s v="Agence Kinshasa 2"/>
    <s v="Kinshasa"/>
    <s v="Commercial 046"/>
    <n v="49"/>
    <x v="1"/>
    <n v="9"/>
    <n v="8.5"/>
    <n v="2"/>
    <s v="Web"/>
    <n v="148.19999999999999"/>
    <n v="380"/>
    <n v="0"/>
    <n v="380"/>
    <n v="296.39999999999998"/>
    <n v="83.600000000000023"/>
    <n v="0.22000000000000006"/>
    <n v="2025"/>
    <n v="10"/>
    <s v="2025-10"/>
    <s v="T4"/>
    <s v="40-49"/>
    <s v="bon"/>
    <s v="Rapide"/>
    <s v="Faible"/>
  </r>
  <r>
    <s v="TX0001107"/>
    <d v="2025-04-03T00:00:00"/>
    <s v="CLI01655"/>
    <s v="PRD003"/>
    <s v="AG015"/>
    <s v="COM012"/>
    <n v="5"/>
    <n v="780"/>
    <n v="0.02"/>
    <s v="Mobile Money"/>
    <s v="Validée"/>
    <s v="Client 01655"/>
    <s v="Kinshasa"/>
    <s v="Grande entreprise"/>
    <s v="Laptop Business 14"/>
    <s v="Informatique"/>
    <s v="Premium"/>
    <s v="Agence Goma 3"/>
    <s v="Goma"/>
    <s v="Commercial 012"/>
    <n v="33"/>
    <x v="0"/>
    <n v="19"/>
    <n v="4.0999999999999996"/>
    <n v="7"/>
    <s v="Téléphone"/>
    <n v="468"/>
    <n v="3900"/>
    <n v="78"/>
    <n v="3822"/>
    <n v="2340"/>
    <n v="1482"/>
    <n v="0.38775510204081631"/>
    <n v="2025"/>
    <n v="4"/>
    <s v="2025-04"/>
    <s v="T2"/>
    <s v="30-39"/>
    <s v="faible"/>
    <s v="Long"/>
    <s v="Elevée"/>
  </r>
  <r>
    <s v="TX0001108"/>
    <d v="2025-07-14T00:00:00"/>
    <s v="CLI01488"/>
    <s v="PRD009"/>
    <s v="AG016"/>
    <s v="COM009"/>
    <n v="1"/>
    <n v="22"/>
    <n v="0.05"/>
    <s v="Cash"/>
    <s v="Validée"/>
    <s v="Client 01488"/>
    <s v="Matadi"/>
    <s v="Indépendant"/>
    <s v="Souris Wireless"/>
    <s v="Informatique"/>
    <s v="Entrée de gamme"/>
    <s v="Agence Kisangani 3"/>
    <s v="Kisangani"/>
    <s v="Commercial 009"/>
    <n v="46"/>
    <x v="0"/>
    <n v="69"/>
    <n v="7"/>
    <n v="3"/>
    <s v="Téléphone"/>
    <n v="14.96"/>
    <n v="22"/>
    <n v="1.1000000000000001"/>
    <n v="20.9"/>
    <n v="14.96"/>
    <n v="5.9399999999999977"/>
    <n v="0.28421052631578936"/>
    <n v="2025"/>
    <n v="7"/>
    <s v="2025-07"/>
    <s v="T3"/>
    <s v="40-49"/>
    <s v="bon"/>
    <s v="Rapide"/>
    <s v="Faible"/>
  </r>
  <r>
    <s v="TX0001109"/>
    <d v="2025-12-03T00:00:00"/>
    <s v="CLI00370"/>
    <s v="PRD015"/>
    <s v="AG013"/>
    <s v="COM058"/>
    <n v="3"/>
    <n v="48"/>
    <n v="0.08"/>
    <s v="Cash"/>
    <s v="Validée"/>
    <s v="Client 00370"/>
    <s v="Lubumbashi"/>
    <s v="ONG"/>
    <s v="Webcam HD"/>
    <s v="Électronique"/>
    <s v="Entrée de gamme"/>
    <s v="Agence Kinshasa 3"/>
    <s v="Kinshasa"/>
    <s v="Commercial 058"/>
    <n v="44"/>
    <x v="1"/>
    <n v="8"/>
    <n v="5.5"/>
    <n v="6"/>
    <s v="Web"/>
    <n v="37.44"/>
    <n v="144"/>
    <n v="11.52"/>
    <n v="132.47999999999999"/>
    <n v="112.32"/>
    <n v="20.159999999999997"/>
    <n v="0.15217391304347824"/>
    <n v="2025"/>
    <n v="12"/>
    <s v="2025-12"/>
    <s v="T4"/>
    <s v="40-49"/>
    <s v="moyen"/>
    <s v="Moyen"/>
    <s v="Faible"/>
  </r>
  <r>
    <s v="TX0001110"/>
    <d v="2025-08-29T00:00:00"/>
    <s v="CLI00745"/>
    <s v="PRD015"/>
    <s v="AG004"/>
    <s v="COM042"/>
    <n v="1"/>
    <n v="48"/>
    <n v="0.02"/>
    <s v="Carte"/>
    <s v="Validée"/>
    <s v="Client 00745"/>
    <s v="Lubumbashi"/>
    <s v="ONG"/>
    <s v="Webcam HD"/>
    <s v="Électronique"/>
    <s v="Entrée de gamme"/>
    <s v="Agence Kisangani 1"/>
    <s v="Kisangani"/>
    <s v="Commercial 042"/>
    <n v="55"/>
    <x v="0"/>
    <n v="53"/>
    <n v="6.6"/>
    <n v="5"/>
    <s v="Téléphone"/>
    <n v="37.44"/>
    <n v="48"/>
    <n v="0.96"/>
    <n v="47.04"/>
    <n v="37.44"/>
    <n v="9.6000000000000014"/>
    <n v="0.20408163265306126"/>
    <n v="2025"/>
    <n v="8"/>
    <s v="2025-08"/>
    <s v="T3"/>
    <s v="50+"/>
    <s v="moyen"/>
    <s v="Moyen"/>
    <s v="Faible"/>
  </r>
  <r>
    <s v="TX0001111"/>
    <d v="2025-04-04T00:00:00"/>
    <s v="CLI00890"/>
    <s v="PRD006"/>
    <s v="AG001"/>
    <s v="COM021"/>
    <n v="1"/>
    <n v="190"/>
    <n v="0.05"/>
    <s v="Carte"/>
    <s v="Validée"/>
    <s v="Client 00890"/>
    <s v="Lubumbashi"/>
    <s v="PME"/>
    <s v="Imprimante Office"/>
    <s v="Bureautique"/>
    <s v="Standard"/>
    <s v="Agence Kinshasa 1"/>
    <s v="Kinshasa"/>
    <s v="Commercial 021"/>
    <n v="55"/>
    <x v="1"/>
    <n v="72"/>
    <n v="8.6999999999999993"/>
    <n v="2"/>
    <s v="Web"/>
    <n v="148.19999999999999"/>
    <n v="190"/>
    <n v="9.5"/>
    <n v="180.5"/>
    <n v="148.19999999999999"/>
    <n v="32.300000000000011"/>
    <n v="0.17894736842105269"/>
    <n v="2025"/>
    <n v="4"/>
    <s v="2025-04"/>
    <s v="T2"/>
    <s v="50+"/>
    <s v="bon"/>
    <s v="Rapide"/>
    <s v="Faible"/>
  </r>
  <r>
    <s v="TX0001112"/>
    <d v="2025-06-17T00:00:00"/>
    <s v="CLI00702"/>
    <s v="PRD004"/>
    <s v="AG014"/>
    <s v="COM052"/>
    <n v="3"/>
    <n v="520"/>
    <n v="0.05"/>
    <s v="Cash"/>
    <s v="Validée"/>
    <s v="Client 00702"/>
    <s v="Kisangani"/>
    <s v="ONG"/>
    <s v="Laptop Essential 15"/>
    <s v="Informatique"/>
    <s v="Standard"/>
    <s v="Agence Lubumbashi 3"/>
    <s v="Lubumbashi"/>
    <s v="Commercial 052"/>
    <n v="49"/>
    <x v="1"/>
    <n v="48"/>
    <n v="3.4"/>
    <n v="9"/>
    <s v="WhatsApp"/>
    <n v="348.4"/>
    <n v="1560"/>
    <n v="78"/>
    <n v="1482"/>
    <n v="1045.1999999999998"/>
    <n v="436.80000000000018"/>
    <n v="0.2947368421052633"/>
    <n v="2025"/>
    <n v="6"/>
    <s v="2025-06"/>
    <s v="T2"/>
    <s v="40-49"/>
    <s v="faible"/>
    <s v="Long"/>
    <s v="Elevée"/>
  </r>
  <r>
    <s v="TX0001113"/>
    <d v="2025-03-27T00:00:00"/>
    <s v="CLI00968"/>
    <s v="PRD005"/>
    <s v="AG008"/>
    <s v="COM058"/>
    <n v="2"/>
    <n v="260"/>
    <n v="0"/>
    <s v="Carte"/>
    <s v="Validée"/>
    <s v="Client 00968"/>
    <s v="Goma"/>
    <s v="ONG"/>
    <s v="Tablette T10"/>
    <s v="Électronique"/>
    <s v="Standard"/>
    <s v="Agence Lubumbashi 2"/>
    <s v="Lubumbashi"/>
    <s v="Commercial 058"/>
    <n v="47"/>
    <x v="1"/>
    <n v="21"/>
    <n v="6.2"/>
    <n v="6"/>
    <s v="Téléphone"/>
    <n v="189.8"/>
    <n v="520"/>
    <n v="0"/>
    <n v="520"/>
    <n v="379.6"/>
    <n v="140.39999999999998"/>
    <n v="0.26999999999999996"/>
    <n v="2025"/>
    <n v="3"/>
    <s v="2025-03"/>
    <s v="T1"/>
    <s v="40-49"/>
    <s v="moyen"/>
    <s v="Moyen"/>
    <s v="Moyenne"/>
  </r>
  <r>
    <s v="TX0001114"/>
    <d v="2025-05-17T00:00:00"/>
    <s v="CLI00833"/>
    <s v="PRD011"/>
    <s v="AG018"/>
    <s v="COM020"/>
    <n v="2"/>
    <n v="240"/>
    <n v="0.02"/>
    <s v="Mobile Money"/>
    <s v="Validée"/>
    <s v="Client 00833"/>
    <s v="Lubumbashi"/>
    <s v="ONG"/>
    <s v="Switch 24 Ports"/>
    <s v="Réseau"/>
    <s v="Premium"/>
    <s v="Agence Kolwezi 3"/>
    <s v="Kolwezi"/>
    <s v="Commercial 020"/>
    <n v="42"/>
    <x v="1"/>
    <n v="41"/>
    <n v="7.9"/>
    <n v="1"/>
    <s v="WhatsApp"/>
    <n v="177.6"/>
    <n v="480"/>
    <n v="9.6"/>
    <n v="470.4"/>
    <n v="355.2"/>
    <n v="115.19999999999999"/>
    <n v="0.24489795918367346"/>
    <n v="2025"/>
    <n v="5"/>
    <s v="2025-05"/>
    <s v="T2"/>
    <s v="40-49"/>
    <s v="bon"/>
    <s v="Rapide"/>
    <s v="Faible"/>
  </r>
  <r>
    <s v="TX0001115"/>
    <d v="2025-07-21T00:00:00"/>
    <s v="CLI02020"/>
    <s v="PRD008"/>
    <s v="AG006"/>
    <s v="COM052"/>
    <n v="2"/>
    <n v="35"/>
    <n v="0"/>
    <s v="Virement"/>
    <s v="Validée"/>
    <s v="Client 02020"/>
    <s v="Goma"/>
    <s v="Institution"/>
    <s v="Clavier Pro"/>
    <s v="Informatique"/>
    <s v="Entrée de gamme"/>
    <s v="Agence Kolwezi 1"/>
    <s v="Kolwezi"/>
    <s v="Commercial 052"/>
    <n v="56"/>
    <x v="0"/>
    <n v="40"/>
    <n v="6.2"/>
    <n v="6"/>
    <s v="Web"/>
    <n v="24.15"/>
    <n v="70"/>
    <n v="0"/>
    <n v="70"/>
    <n v="48.3"/>
    <n v="21.700000000000003"/>
    <n v="0.31000000000000005"/>
    <n v="2025"/>
    <n v="7"/>
    <s v="2025-07"/>
    <s v="T3"/>
    <s v="50+"/>
    <s v="moyen"/>
    <s v="Moyen"/>
    <s v="Fai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6AE371-7BF2-4137-8A80-1A0892C0C605}" name="Tableau croisé dynamique2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6" firstHeaderRow="1" firstDataRow="1" firstDataCol="1"/>
  <pivotFields count="41">
    <pivotField showAll="0"/>
    <pivotField numFmtId="164" showAll="0"/>
    <pivotField showAll="0"/>
    <pivotField showAll="0"/>
    <pivotField showAll="0"/>
    <pivotField showAll="0"/>
    <pivotField showAll="0"/>
    <pivotField numFmtId="4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3">
    <i>
      <x/>
    </i>
    <i>
      <x v="1"/>
    </i>
    <i t="grand">
      <x/>
    </i>
  </rowItems>
  <colItems count="1">
    <i/>
  </colItems>
  <dataFields count="1">
    <dataField name="Nombre de sexe" fld="2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CFCAB-8437-4DEC-8D7E-35846119E889}">
  <dimension ref="A3:B6"/>
  <sheetViews>
    <sheetView zoomScale="140" zoomScaleNormal="140" workbookViewId="0">
      <selection activeCell="B10" sqref="B10"/>
    </sheetView>
  </sheetViews>
  <sheetFormatPr baseColWidth="10" defaultRowHeight="14.25"/>
  <cols>
    <col min="1" max="1" width="20.75" bestFit="1" customWidth="1"/>
    <col min="2" max="2" width="15.5" bestFit="1" customWidth="1"/>
  </cols>
  <sheetData>
    <row r="3" spans="1:2">
      <c r="A3" s="14" t="s">
        <v>2873</v>
      </c>
      <c r="B3" t="s">
        <v>2875</v>
      </c>
    </row>
    <row r="4" spans="1:2">
      <c r="A4" s="15" t="s">
        <v>56</v>
      </c>
      <c r="B4" s="16">
        <v>494</v>
      </c>
    </row>
    <row r="5" spans="1:2">
      <c r="A5" s="15" t="s">
        <v>85</v>
      </c>
      <c r="B5" s="16">
        <v>506</v>
      </c>
    </row>
    <row r="6" spans="1:2">
      <c r="A6" s="15" t="s">
        <v>2874</v>
      </c>
      <c r="B6" s="16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01"/>
  <sheetViews>
    <sheetView showGridLines="0" zoomScaleNormal="100" workbookViewId="0">
      <selection activeCell="B9" sqref="A1:AO1001"/>
    </sheetView>
  </sheetViews>
  <sheetFormatPr baseColWidth="10" defaultColWidth="9" defaultRowHeight="14.25"/>
  <cols>
    <col min="1" max="1" width="14" customWidth="1"/>
    <col min="2" max="2" width="13.25" customWidth="1"/>
    <col min="3" max="5" width="14" customWidth="1"/>
    <col min="6" max="6" width="14.375" bestFit="1" customWidth="1"/>
    <col min="7" max="9" width="14" customWidth="1"/>
    <col min="10" max="10" width="20" customWidth="1"/>
    <col min="11" max="11" width="14" customWidth="1"/>
    <col min="12" max="20" width="20" customWidth="1"/>
    <col min="21" max="21" width="14" customWidth="1"/>
    <col min="22" max="22" width="20" customWidth="1"/>
    <col min="23" max="23" width="17.75" customWidth="1"/>
    <col min="24" max="24" width="18.125" customWidth="1"/>
    <col min="25" max="25" width="19.25" customWidth="1"/>
    <col min="26" max="26" width="20" customWidth="1"/>
    <col min="27" max="28" width="14" customWidth="1"/>
    <col min="29" max="29" width="16" customWidth="1"/>
    <col min="30" max="30" width="14" customWidth="1"/>
    <col min="31" max="31" width="10" bestFit="1" customWidth="1"/>
    <col min="32" max="38" width="14" customWidth="1"/>
    <col min="39" max="39" width="20.375" customWidth="1"/>
    <col min="40" max="40" width="14" customWidth="1"/>
    <col min="41" max="41" width="18" customWidth="1"/>
  </cols>
  <sheetData>
    <row r="1" spans="1:41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2836</v>
      </c>
      <c r="AK1" s="7" t="s">
        <v>35</v>
      </c>
      <c r="AL1" s="7" t="s">
        <v>36</v>
      </c>
      <c r="AM1" s="7" t="s">
        <v>37</v>
      </c>
      <c r="AN1" s="7" t="s">
        <v>38</v>
      </c>
      <c r="AO1" s="7" t="s">
        <v>39</v>
      </c>
    </row>
    <row r="2" spans="1:41">
      <c r="A2" t="s">
        <v>40</v>
      </c>
      <c r="B2" s="2">
        <v>45866</v>
      </c>
      <c r="C2" t="s">
        <v>41</v>
      </c>
      <c r="D2" t="s">
        <v>42</v>
      </c>
      <c r="E2" t="s">
        <v>43</v>
      </c>
      <c r="F2" s="11" t="s">
        <v>44</v>
      </c>
      <c r="G2">
        <v>2</v>
      </c>
      <c r="H2" s="4">
        <v>260</v>
      </c>
      <c r="I2" s="3">
        <v>0.1</v>
      </c>
      <c r="J2" t="s">
        <v>45</v>
      </c>
      <c r="K2" t="s">
        <v>46</v>
      </c>
      <c r="L2" t="s">
        <v>47</v>
      </c>
      <c r="M2" t="s">
        <v>48</v>
      </c>
      <c r="N2" t="s">
        <v>49</v>
      </c>
      <c r="O2" t="s">
        <v>50</v>
      </c>
      <c r="P2" t="s">
        <v>51</v>
      </c>
      <c r="Q2" t="s">
        <v>52</v>
      </c>
      <c r="R2" t="s">
        <v>53</v>
      </c>
      <c r="S2" t="s">
        <v>54</v>
      </c>
      <c r="T2" t="s">
        <v>55</v>
      </c>
      <c r="U2" s="5">
        <v>60</v>
      </c>
      <c r="V2" s="5" t="s">
        <v>56</v>
      </c>
      <c r="W2" s="5">
        <v>40</v>
      </c>
      <c r="X2" s="11">
        <v>4.5</v>
      </c>
      <c r="Y2" s="5">
        <v>7</v>
      </c>
      <c r="Z2" s="5" t="s">
        <v>57</v>
      </c>
      <c r="AA2" s="6">
        <v>189.8</v>
      </c>
      <c r="AB2" s="8">
        <f>G2*H2</f>
        <v>520</v>
      </c>
      <c r="AC2" s="8">
        <f>I2*AB2</f>
        <v>52</v>
      </c>
      <c r="AD2" s="8">
        <f>AB2-AC2</f>
        <v>468</v>
      </c>
      <c r="AE2" s="8">
        <f>G2*AA2</f>
        <v>379.6</v>
      </c>
      <c r="AF2" s="8">
        <f>AD2-AE2</f>
        <v>88.399999999999977</v>
      </c>
      <c r="AG2" s="9">
        <f>IFERROR(AF2/AD2,)</f>
        <v>0.18888888888888883</v>
      </c>
      <c r="AH2" s="10">
        <f>YEAR(B2)</f>
        <v>2025</v>
      </c>
      <c r="AI2" s="10">
        <f>MONTH(B2)</f>
        <v>7</v>
      </c>
      <c r="AJ2" s="10" t="str">
        <f>TEXT(B2,"yyyy-mm")</f>
        <v>2025-07</v>
      </c>
      <c r="AK2" s="10" t="str">
        <f>"T"&amp;ROUNDUP(MONTH(B2)/3,0)</f>
        <v>T3</v>
      </c>
      <c r="AL2" s="10" t="str">
        <f>IF(U2&lt;30,"22-29",IF(U2&lt;40,"30-39",IF(U2&lt;50,"40-49","50+")))</f>
        <v>50+</v>
      </c>
      <c r="AM2" s="10" t="str">
        <f>IF(X2&lt;5,"faible",IF(X2&lt;7,"moyen",IF(X2&lt;9,"bon","excellent")))</f>
        <v>faible</v>
      </c>
      <c r="AN2" s="10" t="s">
        <v>2837</v>
      </c>
      <c r="AO2" s="10" t="str">
        <f>IF(AD2&gt;=1000,"Elevée",IF(AD2&gt;=500,"Moyenne","Faible"))</f>
        <v>Faible</v>
      </c>
    </row>
    <row r="3" spans="1:41">
      <c r="A3" t="s">
        <v>58</v>
      </c>
      <c r="B3" s="2">
        <v>45783</v>
      </c>
      <c r="C3" t="s">
        <v>59</v>
      </c>
      <c r="D3" t="s">
        <v>60</v>
      </c>
      <c r="E3" t="s">
        <v>61</v>
      </c>
      <c r="F3" t="s">
        <v>62</v>
      </c>
      <c r="G3">
        <v>3</v>
      </c>
      <c r="H3" s="4">
        <v>180</v>
      </c>
      <c r="I3" s="3">
        <v>0.02</v>
      </c>
      <c r="J3" t="s">
        <v>63</v>
      </c>
      <c r="K3" t="s">
        <v>46</v>
      </c>
      <c r="L3" t="s">
        <v>64</v>
      </c>
      <c r="M3" t="s">
        <v>65</v>
      </c>
      <c r="N3" t="s">
        <v>49</v>
      </c>
      <c r="O3" t="s">
        <v>66</v>
      </c>
      <c r="P3" t="s">
        <v>67</v>
      </c>
      <c r="Q3" t="s">
        <v>52</v>
      </c>
      <c r="R3" t="s">
        <v>68</v>
      </c>
      <c r="S3" t="s">
        <v>69</v>
      </c>
      <c r="T3" t="s">
        <v>70</v>
      </c>
      <c r="U3" s="5">
        <v>24</v>
      </c>
      <c r="V3" s="5" t="s">
        <v>56</v>
      </c>
      <c r="W3" s="5">
        <v>21</v>
      </c>
      <c r="X3" s="5">
        <v>8.4</v>
      </c>
      <c r="Y3" s="5">
        <v>1</v>
      </c>
      <c r="Z3" s="5" t="s">
        <v>71</v>
      </c>
      <c r="AA3" s="6">
        <v>129.6</v>
      </c>
      <c r="AB3" s="8">
        <f t="shared" ref="AB3:AB66" si="0">G3*H3</f>
        <v>540</v>
      </c>
      <c r="AC3" s="8">
        <f t="shared" ref="AC3:AC66" si="1">I3*AB3</f>
        <v>10.8</v>
      </c>
      <c r="AD3" s="8">
        <f t="shared" ref="AD3:AD66" si="2">AB3-AC3</f>
        <v>529.20000000000005</v>
      </c>
      <c r="AE3" s="8">
        <f t="shared" ref="AE3:AE66" si="3">G3*AA3</f>
        <v>388.79999999999995</v>
      </c>
      <c r="AF3" s="8">
        <f t="shared" ref="AF3:AF66" si="4">AD3-AE3</f>
        <v>140.40000000000009</v>
      </c>
      <c r="AG3" s="9">
        <f t="shared" ref="AG3:AG66" si="5">IFERROR(AF3/AD3,)</f>
        <v>0.26530612244897972</v>
      </c>
      <c r="AH3" s="10">
        <f t="shared" ref="AH3:AH66" si="6">YEAR(B3)</f>
        <v>2025</v>
      </c>
      <c r="AI3" s="10">
        <f t="shared" ref="AI3:AI66" si="7">MONTH(B3)</f>
        <v>5</v>
      </c>
      <c r="AJ3" s="10" t="str">
        <f t="shared" ref="AJ3:AJ66" si="8">TEXT(B3,"yyyy-mm")</f>
        <v>2025-05</v>
      </c>
      <c r="AK3" s="10" t="str">
        <f t="shared" ref="AK3:AK66" si="9">"T"&amp;ROUNDUP(MONTH(B3)/3,0)</f>
        <v>T2</v>
      </c>
      <c r="AL3" s="10" t="str">
        <f t="shared" ref="AL3:AL66" si="10">IF(U3&lt;30,"22-29",IF(U3&lt;40,"30-39",IF(U3&lt;50,"40-49","50+")))</f>
        <v>22-29</v>
      </c>
      <c r="AM3" s="10" t="str">
        <f t="shared" ref="AM3:AM66" si="11">IF(X3&lt;5,"faible",IF(X3&lt;7,"moyen",IF(X3&lt;9,"bon","excellent")))</f>
        <v>bon</v>
      </c>
      <c r="AN3" s="10" t="s">
        <v>2838</v>
      </c>
      <c r="AO3" s="10" t="str">
        <f t="shared" ref="AO3:AO66" si="12">IF(AD3&gt;=1000,"Elevée",IF(AD3&gt;=500,"Moyenne","Faible"))</f>
        <v>Moyenne</v>
      </c>
    </row>
    <row r="4" spans="1:41">
      <c r="A4" t="s">
        <v>72</v>
      </c>
      <c r="B4" s="2">
        <v>45688</v>
      </c>
      <c r="C4" t="s">
        <v>73</v>
      </c>
      <c r="D4" t="s">
        <v>74</v>
      </c>
      <c r="E4" t="s">
        <v>75</v>
      </c>
      <c r="F4" t="s">
        <v>76</v>
      </c>
      <c r="G4">
        <v>6</v>
      </c>
      <c r="H4" s="4">
        <v>95</v>
      </c>
      <c r="I4" s="3">
        <v>0.02</v>
      </c>
      <c r="J4" t="s">
        <v>77</v>
      </c>
      <c r="K4" t="s">
        <v>46</v>
      </c>
      <c r="L4" t="s">
        <v>78</v>
      </c>
      <c r="M4" t="s">
        <v>79</v>
      </c>
      <c r="N4" t="s">
        <v>80</v>
      </c>
      <c r="O4" t="s">
        <v>81</v>
      </c>
      <c r="P4" t="s">
        <v>82</v>
      </c>
      <c r="Q4" t="s">
        <v>52</v>
      </c>
      <c r="R4" t="s">
        <v>83</v>
      </c>
      <c r="S4" t="s">
        <v>69</v>
      </c>
      <c r="T4" t="s">
        <v>84</v>
      </c>
      <c r="U4" s="5">
        <v>42</v>
      </c>
      <c r="V4" s="5" t="s">
        <v>85</v>
      </c>
      <c r="W4" s="5">
        <v>42</v>
      </c>
      <c r="X4" s="5">
        <v>7.1</v>
      </c>
      <c r="Y4" s="5">
        <v>4</v>
      </c>
      <c r="Z4" s="5" t="s">
        <v>71</v>
      </c>
      <c r="AA4" s="6">
        <v>70.3</v>
      </c>
      <c r="AB4" s="8">
        <f t="shared" si="0"/>
        <v>570</v>
      </c>
      <c r="AC4" s="8">
        <f t="shared" si="1"/>
        <v>11.4</v>
      </c>
      <c r="AD4" s="8">
        <f t="shared" si="2"/>
        <v>558.6</v>
      </c>
      <c r="AE4" s="8">
        <f t="shared" si="3"/>
        <v>421.79999999999995</v>
      </c>
      <c r="AF4" s="8">
        <f t="shared" si="4"/>
        <v>136.80000000000007</v>
      </c>
      <c r="AG4" s="9">
        <f t="shared" si="5"/>
        <v>0.24489795918367357</v>
      </c>
      <c r="AH4" s="10">
        <f t="shared" si="6"/>
        <v>2025</v>
      </c>
      <c r="AI4" s="10">
        <f t="shared" si="7"/>
        <v>1</v>
      </c>
      <c r="AJ4" s="10" t="str">
        <f t="shared" si="8"/>
        <v>2025-01</v>
      </c>
      <c r="AK4" s="10" t="str">
        <f t="shared" si="9"/>
        <v>T1</v>
      </c>
      <c r="AL4" s="10" t="str">
        <f t="shared" si="10"/>
        <v>40-49</v>
      </c>
      <c r="AM4" s="10" t="str">
        <f t="shared" si="11"/>
        <v>bon</v>
      </c>
      <c r="AN4" s="10" t="s">
        <v>2839</v>
      </c>
      <c r="AO4" s="10" t="str">
        <f t="shared" si="12"/>
        <v>Moyenne</v>
      </c>
    </row>
    <row r="5" spans="1:41">
      <c r="A5" t="s">
        <v>86</v>
      </c>
      <c r="B5" s="2">
        <v>45919</v>
      </c>
      <c r="C5" t="s">
        <v>87</v>
      </c>
      <c r="D5" t="s">
        <v>60</v>
      </c>
      <c r="E5" t="s">
        <v>88</v>
      </c>
      <c r="F5" t="s">
        <v>89</v>
      </c>
      <c r="G5">
        <v>2</v>
      </c>
      <c r="H5" s="4">
        <v>180</v>
      </c>
      <c r="I5" s="3">
        <v>0</v>
      </c>
      <c r="J5" t="s">
        <v>90</v>
      </c>
      <c r="K5" t="s">
        <v>46</v>
      </c>
      <c r="L5" t="s">
        <v>91</v>
      </c>
      <c r="M5" t="s">
        <v>69</v>
      </c>
      <c r="N5" t="s">
        <v>80</v>
      </c>
      <c r="O5" t="s">
        <v>66</v>
      </c>
      <c r="P5" t="s">
        <v>67</v>
      </c>
      <c r="Q5" t="s">
        <v>52</v>
      </c>
      <c r="R5" t="s">
        <v>92</v>
      </c>
      <c r="S5" t="s">
        <v>48</v>
      </c>
      <c r="T5" t="s">
        <v>93</v>
      </c>
      <c r="U5" s="5">
        <v>40</v>
      </c>
      <c r="V5" s="5" t="s">
        <v>85</v>
      </c>
      <c r="W5" s="5">
        <v>70</v>
      </c>
      <c r="X5" s="5">
        <v>4</v>
      </c>
      <c r="Y5" s="5">
        <v>9</v>
      </c>
      <c r="Z5" s="5" t="s">
        <v>94</v>
      </c>
      <c r="AA5" s="6">
        <v>129.6</v>
      </c>
      <c r="AB5" s="8">
        <f t="shared" si="0"/>
        <v>360</v>
      </c>
      <c r="AC5" s="8">
        <f t="shared" si="1"/>
        <v>0</v>
      </c>
      <c r="AD5" s="8">
        <f t="shared" si="2"/>
        <v>360</v>
      </c>
      <c r="AE5" s="8">
        <f t="shared" si="3"/>
        <v>259.2</v>
      </c>
      <c r="AF5" s="8">
        <f t="shared" si="4"/>
        <v>100.80000000000001</v>
      </c>
      <c r="AG5" s="9">
        <f t="shared" si="5"/>
        <v>0.28000000000000003</v>
      </c>
      <c r="AH5" s="10">
        <f t="shared" si="6"/>
        <v>2025</v>
      </c>
      <c r="AI5" s="10">
        <f t="shared" si="7"/>
        <v>9</v>
      </c>
      <c r="AJ5" s="10" t="str">
        <f t="shared" si="8"/>
        <v>2025-09</v>
      </c>
      <c r="AK5" s="10" t="str">
        <f t="shared" si="9"/>
        <v>T3</v>
      </c>
      <c r="AL5" s="10" t="str">
        <f t="shared" si="10"/>
        <v>40-49</v>
      </c>
      <c r="AM5" s="10" t="str">
        <f t="shared" si="11"/>
        <v>faible</v>
      </c>
      <c r="AN5" s="10" t="s">
        <v>2837</v>
      </c>
      <c r="AO5" s="10" t="str">
        <f t="shared" si="12"/>
        <v>Faible</v>
      </c>
    </row>
    <row r="6" spans="1:41">
      <c r="A6" t="s">
        <v>95</v>
      </c>
      <c r="B6" s="2">
        <v>45942</v>
      </c>
      <c r="C6" t="s">
        <v>96</v>
      </c>
      <c r="D6" t="s">
        <v>97</v>
      </c>
      <c r="E6" t="s">
        <v>98</v>
      </c>
      <c r="F6" t="s">
        <v>99</v>
      </c>
      <c r="G6">
        <v>20</v>
      </c>
      <c r="H6" s="4">
        <v>520</v>
      </c>
      <c r="I6" s="3">
        <v>0.02</v>
      </c>
      <c r="J6" t="s">
        <v>45</v>
      </c>
      <c r="K6" t="s">
        <v>46</v>
      </c>
      <c r="L6" t="s">
        <v>100</v>
      </c>
      <c r="M6" t="s">
        <v>54</v>
      </c>
      <c r="N6" t="s">
        <v>101</v>
      </c>
      <c r="O6" t="s">
        <v>102</v>
      </c>
      <c r="P6" t="s">
        <v>103</v>
      </c>
      <c r="Q6" t="s">
        <v>52</v>
      </c>
      <c r="R6" t="s">
        <v>104</v>
      </c>
      <c r="S6" t="s">
        <v>79</v>
      </c>
      <c r="T6" t="s">
        <v>105</v>
      </c>
      <c r="U6" s="5">
        <v>25</v>
      </c>
      <c r="V6" s="5" t="s">
        <v>56</v>
      </c>
      <c r="W6" s="5">
        <v>49</v>
      </c>
      <c r="X6" s="5">
        <v>5.0999999999999996</v>
      </c>
      <c r="Y6" s="5">
        <v>6</v>
      </c>
      <c r="Z6" s="5" t="s">
        <v>94</v>
      </c>
      <c r="AA6" s="6">
        <v>348.4</v>
      </c>
      <c r="AB6" s="8">
        <f t="shared" si="0"/>
        <v>10400</v>
      </c>
      <c r="AC6" s="8">
        <f t="shared" si="1"/>
        <v>208</v>
      </c>
      <c r="AD6" s="8">
        <f t="shared" si="2"/>
        <v>10192</v>
      </c>
      <c r="AE6" s="8">
        <f t="shared" si="3"/>
        <v>6968</v>
      </c>
      <c r="AF6" s="8">
        <f t="shared" si="4"/>
        <v>3224</v>
      </c>
      <c r="AG6" s="9">
        <f t="shared" si="5"/>
        <v>0.31632653061224492</v>
      </c>
      <c r="AH6" s="10">
        <f t="shared" si="6"/>
        <v>2025</v>
      </c>
      <c r="AI6" s="10">
        <f t="shared" si="7"/>
        <v>10</v>
      </c>
      <c r="AJ6" s="10" t="str">
        <f t="shared" si="8"/>
        <v>2025-10</v>
      </c>
      <c r="AK6" s="10" t="str">
        <f t="shared" si="9"/>
        <v>T4</v>
      </c>
      <c r="AL6" s="10" t="str">
        <f t="shared" si="10"/>
        <v>22-29</v>
      </c>
      <c r="AM6" s="10" t="str">
        <f t="shared" si="11"/>
        <v>moyen</v>
      </c>
      <c r="AN6" s="10" t="s">
        <v>2839</v>
      </c>
      <c r="AO6" s="10" t="str">
        <f t="shared" si="12"/>
        <v>Elevée</v>
      </c>
    </row>
    <row r="7" spans="1:41">
      <c r="A7" t="s">
        <v>106</v>
      </c>
      <c r="B7" s="2">
        <v>46020</v>
      </c>
      <c r="C7" t="s">
        <v>107</v>
      </c>
      <c r="D7" t="s">
        <v>108</v>
      </c>
      <c r="E7" t="s">
        <v>109</v>
      </c>
      <c r="F7" t="s">
        <v>110</v>
      </c>
      <c r="G7">
        <v>2</v>
      </c>
      <c r="H7" s="4">
        <v>240</v>
      </c>
      <c r="I7" s="3">
        <v>0</v>
      </c>
      <c r="J7" t="s">
        <v>77</v>
      </c>
      <c r="K7" t="s">
        <v>46</v>
      </c>
      <c r="L7" t="s">
        <v>111</v>
      </c>
      <c r="M7" t="s">
        <v>65</v>
      </c>
      <c r="N7" t="s">
        <v>112</v>
      </c>
      <c r="O7" t="s">
        <v>113</v>
      </c>
      <c r="P7" t="s">
        <v>82</v>
      </c>
      <c r="Q7" t="s">
        <v>114</v>
      </c>
      <c r="R7" t="s">
        <v>115</v>
      </c>
      <c r="S7" t="s">
        <v>65</v>
      </c>
      <c r="T7" t="s">
        <v>116</v>
      </c>
      <c r="U7" s="5">
        <v>24</v>
      </c>
      <c r="V7" s="5" t="s">
        <v>56</v>
      </c>
      <c r="W7" s="5">
        <v>49</v>
      </c>
      <c r="X7" s="5">
        <v>5.7</v>
      </c>
      <c r="Y7" s="5">
        <v>6</v>
      </c>
      <c r="Z7" s="5" t="s">
        <v>117</v>
      </c>
      <c r="AA7" s="6">
        <v>177.6</v>
      </c>
      <c r="AB7" s="8">
        <f t="shared" si="0"/>
        <v>480</v>
      </c>
      <c r="AC7" s="8">
        <f t="shared" si="1"/>
        <v>0</v>
      </c>
      <c r="AD7" s="8">
        <f t="shared" si="2"/>
        <v>480</v>
      </c>
      <c r="AE7" s="8">
        <f t="shared" si="3"/>
        <v>355.2</v>
      </c>
      <c r="AF7" s="8">
        <f t="shared" si="4"/>
        <v>124.80000000000001</v>
      </c>
      <c r="AG7" s="9">
        <f t="shared" si="5"/>
        <v>0.26</v>
      </c>
      <c r="AH7" s="10">
        <f t="shared" si="6"/>
        <v>2025</v>
      </c>
      <c r="AI7" s="10">
        <f t="shared" si="7"/>
        <v>12</v>
      </c>
      <c r="AJ7" s="10" t="str">
        <f t="shared" si="8"/>
        <v>2025-12</v>
      </c>
      <c r="AK7" s="10" t="str">
        <f t="shared" si="9"/>
        <v>T4</v>
      </c>
      <c r="AL7" s="10" t="str">
        <f t="shared" si="10"/>
        <v>22-29</v>
      </c>
      <c r="AM7" s="10" t="str">
        <f t="shared" si="11"/>
        <v>moyen</v>
      </c>
      <c r="AN7" s="10" t="s">
        <v>2839</v>
      </c>
      <c r="AO7" s="10" t="str">
        <f t="shared" si="12"/>
        <v>Faible</v>
      </c>
    </row>
    <row r="8" spans="1:41">
      <c r="A8" t="s">
        <v>118</v>
      </c>
      <c r="B8" s="2">
        <v>46012</v>
      </c>
      <c r="C8" t="s">
        <v>119</v>
      </c>
      <c r="D8" t="s">
        <v>108</v>
      </c>
      <c r="E8" t="s">
        <v>120</v>
      </c>
      <c r="F8" t="s">
        <v>121</v>
      </c>
      <c r="G8">
        <v>1</v>
      </c>
      <c r="H8" s="4">
        <v>240</v>
      </c>
      <c r="I8" s="3">
        <v>0</v>
      </c>
      <c r="J8" t="s">
        <v>63</v>
      </c>
      <c r="K8" t="s">
        <v>46</v>
      </c>
      <c r="L8" t="s">
        <v>122</v>
      </c>
      <c r="M8" t="s">
        <v>123</v>
      </c>
      <c r="N8" t="s">
        <v>49</v>
      </c>
      <c r="O8" t="s">
        <v>113</v>
      </c>
      <c r="P8" t="s">
        <v>82</v>
      </c>
      <c r="Q8" t="s">
        <v>114</v>
      </c>
      <c r="R8" t="s">
        <v>124</v>
      </c>
      <c r="S8" t="s">
        <v>48</v>
      </c>
      <c r="T8" t="s">
        <v>125</v>
      </c>
      <c r="U8" s="5">
        <v>44</v>
      </c>
      <c r="V8" s="5" t="s">
        <v>85</v>
      </c>
      <c r="W8" s="5">
        <v>56</v>
      </c>
      <c r="X8" s="5">
        <v>5.7</v>
      </c>
      <c r="Y8" s="5">
        <v>6</v>
      </c>
      <c r="Z8" s="5" t="s">
        <v>57</v>
      </c>
      <c r="AA8" s="6">
        <v>177.6</v>
      </c>
      <c r="AB8" s="8">
        <f t="shared" si="0"/>
        <v>240</v>
      </c>
      <c r="AC8" s="8">
        <f t="shared" si="1"/>
        <v>0</v>
      </c>
      <c r="AD8" s="8">
        <f t="shared" si="2"/>
        <v>240</v>
      </c>
      <c r="AE8" s="8">
        <f t="shared" si="3"/>
        <v>177.6</v>
      </c>
      <c r="AF8" s="8">
        <f t="shared" si="4"/>
        <v>62.400000000000006</v>
      </c>
      <c r="AG8" s="9">
        <f t="shared" si="5"/>
        <v>0.26</v>
      </c>
      <c r="AH8" s="10">
        <f t="shared" si="6"/>
        <v>2025</v>
      </c>
      <c r="AI8" s="10">
        <f t="shared" si="7"/>
        <v>12</v>
      </c>
      <c r="AJ8" s="10" t="str">
        <f t="shared" si="8"/>
        <v>2025-12</v>
      </c>
      <c r="AK8" s="10" t="str">
        <f t="shared" si="9"/>
        <v>T4</v>
      </c>
      <c r="AL8" s="10" t="str">
        <f t="shared" si="10"/>
        <v>40-49</v>
      </c>
      <c r="AM8" s="10" t="str">
        <f t="shared" si="11"/>
        <v>moyen</v>
      </c>
      <c r="AN8" s="10" t="s">
        <v>2839</v>
      </c>
      <c r="AO8" s="10" t="str">
        <f t="shared" si="12"/>
        <v>Faible</v>
      </c>
    </row>
    <row r="9" spans="1:41">
      <c r="A9" t="s">
        <v>126</v>
      </c>
      <c r="B9" s="2">
        <v>46014</v>
      </c>
      <c r="C9" t="s">
        <v>127</v>
      </c>
      <c r="D9" t="s">
        <v>128</v>
      </c>
      <c r="E9" t="s">
        <v>129</v>
      </c>
      <c r="F9" t="s">
        <v>130</v>
      </c>
      <c r="G9">
        <v>4</v>
      </c>
      <c r="H9" s="4">
        <v>190</v>
      </c>
      <c r="I9" s="3">
        <v>0.1</v>
      </c>
      <c r="J9" t="s">
        <v>63</v>
      </c>
      <c r="K9" t="s">
        <v>46</v>
      </c>
      <c r="L9" t="s">
        <v>131</v>
      </c>
      <c r="M9" t="s">
        <v>65</v>
      </c>
      <c r="N9" t="s">
        <v>101</v>
      </c>
      <c r="O9" t="s">
        <v>132</v>
      </c>
      <c r="P9" t="s">
        <v>133</v>
      </c>
      <c r="Q9" t="s">
        <v>52</v>
      </c>
      <c r="R9" t="s">
        <v>134</v>
      </c>
      <c r="S9" t="s">
        <v>123</v>
      </c>
      <c r="T9" t="s">
        <v>135</v>
      </c>
      <c r="U9" s="5">
        <v>56</v>
      </c>
      <c r="V9" s="5" t="s">
        <v>85</v>
      </c>
      <c r="W9" s="5">
        <v>28</v>
      </c>
      <c r="X9" s="5">
        <v>4.0999999999999996</v>
      </c>
      <c r="Y9" s="5">
        <v>7</v>
      </c>
      <c r="Z9" s="5" t="s">
        <v>117</v>
      </c>
      <c r="AA9" s="6">
        <v>148.19999999999999</v>
      </c>
      <c r="AB9" s="8">
        <f t="shared" si="0"/>
        <v>760</v>
      </c>
      <c r="AC9" s="8">
        <f t="shared" si="1"/>
        <v>76</v>
      </c>
      <c r="AD9" s="8">
        <f t="shared" si="2"/>
        <v>684</v>
      </c>
      <c r="AE9" s="8">
        <f t="shared" si="3"/>
        <v>592.79999999999995</v>
      </c>
      <c r="AF9" s="8">
        <f t="shared" si="4"/>
        <v>91.200000000000045</v>
      </c>
      <c r="AG9" s="9">
        <f t="shared" si="5"/>
        <v>0.13333333333333339</v>
      </c>
      <c r="AH9" s="10">
        <f t="shared" si="6"/>
        <v>2025</v>
      </c>
      <c r="AI9" s="10">
        <f t="shared" si="7"/>
        <v>12</v>
      </c>
      <c r="AJ9" s="10" t="str">
        <f t="shared" si="8"/>
        <v>2025-12</v>
      </c>
      <c r="AK9" s="10" t="str">
        <f t="shared" si="9"/>
        <v>T4</v>
      </c>
      <c r="AL9" s="10" t="str">
        <f t="shared" si="10"/>
        <v>50+</v>
      </c>
      <c r="AM9" s="10" t="str">
        <f t="shared" si="11"/>
        <v>faible</v>
      </c>
      <c r="AN9" s="10" t="s">
        <v>2837</v>
      </c>
      <c r="AO9" s="10" t="str">
        <f t="shared" si="12"/>
        <v>Moyenne</v>
      </c>
    </row>
    <row r="10" spans="1:41">
      <c r="A10" t="s">
        <v>136</v>
      </c>
      <c r="B10" s="2">
        <v>45721</v>
      </c>
      <c r="C10" t="s">
        <v>137</v>
      </c>
      <c r="D10" t="s">
        <v>138</v>
      </c>
      <c r="E10" t="s">
        <v>139</v>
      </c>
      <c r="F10" t="s">
        <v>140</v>
      </c>
      <c r="G10">
        <v>2</v>
      </c>
      <c r="H10" s="4">
        <v>120</v>
      </c>
      <c r="I10" s="3">
        <v>0.1</v>
      </c>
      <c r="J10" t="s">
        <v>63</v>
      </c>
      <c r="K10" t="s">
        <v>46</v>
      </c>
      <c r="L10" t="s">
        <v>141</v>
      </c>
      <c r="M10" t="s">
        <v>54</v>
      </c>
      <c r="N10" t="s">
        <v>112</v>
      </c>
      <c r="O10" t="s">
        <v>142</v>
      </c>
      <c r="P10" t="s">
        <v>51</v>
      </c>
      <c r="Q10" t="s">
        <v>143</v>
      </c>
      <c r="R10" t="s">
        <v>144</v>
      </c>
      <c r="S10" t="s">
        <v>65</v>
      </c>
      <c r="T10" t="s">
        <v>145</v>
      </c>
      <c r="U10" s="5">
        <v>29</v>
      </c>
      <c r="V10" s="5" t="s">
        <v>85</v>
      </c>
      <c r="W10" s="5">
        <v>39</v>
      </c>
      <c r="X10" s="5">
        <v>4.7</v>
      </c>
      <c r="Y10" s="5">
        <v>7</v>
      </c>
      <c r="Z10" s="5" t="s">
        <v>117</v>
      </c>
      <c r="AA10" s="6">
        <v>73.2</v>
      </c>
      <c r="AB10" s="8">
        <f t="shared" si="0"/>
        <v>240</v>
      </c>
      <c r="AC10" s="8">
        <f t="shared" si="1"/>
        <v>24</v>
      </c>
      <c r="AD10" s="8">
        <f t="shared" si="2"/>
        <v>216</v>
      </c>
      <c r="AE10" s="8">
        <f t="shared" si="3"/>
        <v>146.4</v>
      </c>
      <c r="AF10" s="8">
        <f t="shared" si="4"/>
        <v>69.599999999999994</v>
      </c>
      <c r="AG10" s="9">
        <f t="shared" si="5"/>
        <v>0.32222222222222219</v>
      </c>
      <c r="AH10" s="10">
        <f t="shared" si="6"/>
        <v>2025</v>
      </c>
      <c r="AI10" s="10">
        <f t="shared" si="7"/>
        <v>3</v>
      </c>
      <c r="AJ10" s="10" t="str">
        <f t="shared" si="8"/>
        <v>2025-03</v>
      </c>
      <c r="AK10" s="10" t="str">
        <f t="shared" si="9"/>
        <v>T1</v>
      </c>
      <c r="AL10" s="10" t="str">
        <f t="shared" si="10"/>
        <v>22-29</v>
      </c>
      <c r="AM10" s="10" t="str">
        <f t="shared" si="11"/>
        <v>faible</v>
      </c>
      <c r="AN10" s="10" t="s">
        <v>2837</v>
      </c>
      <c r="AO10" s="10" t="str">
        <f t="shared" si="12"/>
        <v>Faible</v>
      </c>
    </row>
    <row r="11" spans="1:41">
      <c r="A11" t="s">
        <v>146</v>
      </c>
      <c r="B11" s="2">
        <v>46014</v>
      </c>
      <c r="C11" t="s">
        <v>147</v>
      </c>
      <c r="D11" t="s">
        <v>148</v>
      </c>
      <c r="E11" t="s">
        <v>75</v>
      </c>
      <c r="F11" t="s">
        <v>149</v>
      </c>
      <c r="G11">
        <v>20</v>
      </c>
      <c r="H11" s="4">
        <v>110</v>
      </c>
      <c r="I11" s="3">
        <v>0</v>
      </c>
      <c r="J11" t="s">
        <v>63</v>
      </c>
      <c r="K11" t="s">
        <v>46</v>
      </c>
      <c r="L11" t="s">
        <v>150</v>
      </c>
      <c r="M11" t="s">
        <v>69</v>
      </c>
      <c r="N11" t="s">
        <v>101</v>
      </c>
      <c r="O11" t="s">
        <v>151</v>
      </c>
      <c r="P11" t="s">
        <v>103</v>
      </c>
      <c r="Q11" t="s">
        <v>114</v>
      </c>
      <c r="R11" t="s">
        <v>83</v>
      </c>
      <c r="S11" t="s">
        <v>69</v>
      </c>
      <c r="T11" t="s">
        <v>152</v>
      </c>
      <c r="U11" s="5">
        <v>33</v>
      </c>
      <c r="V11" s="5" t="s">
        <v>56</v>
      </c>
      <c r="W11" s="5">
        <v>43</v>
      </c>
      <c r="X11" s="5">
        <v>6.6</v>
      </c>
      <c r="Y11" s="5">
        <v>3</v>
      </c>
      <c r="Z11" s="5" t="s">
        <v>57</v>
      </c>
      <c r="AA11" s="6">
        <v>72.599999999999994</v>
      </c>
      <c r="AB11" s="8">
        <f t="shared" si="0"/>
        <v>2200</v>
      </c>
      <c r="AC11" s="8">
        <f t="shared" si="1"/>
        <v>0</v>
      </c>
      <c r="AD11" s="8">
        <f t="shared" si="2"/>
        <v>2200</v>
      </c>
      <c r="AE11" s="8">
        <f t="shared" si="3"/>
        <v>1452</v>
      </c>
      <c r="AF11" s="8">
        <f t="shared" si="4"/>
        <v>748</v>
      </c>
      <c r="AG11" s="9">
        <f t="shared" si="5"/>
        <v>0.34</v>
      </c>
      <c r="AH11" s="10">
        <f t="shared" si="6"/>
        <v>2025</v>
      </c>
      <c r="AI11" s="10">
        <f t="shared" si="7"/>
        <v>12</v>
      </c>
      <c r="AJ11" s="10" t="str">
        <f t="shared" si="8"/>
        <v>2025-12</v>
      </c>
      <c r="AK11" s="10" t="str">
        <f t="shared" si="9"/>
        <v>T4</v>
      </c>
      <c r="AL11" s="10" t="str">
        <f t="shared" si="10"/>
        <v>30-39</v>
      </c>
      <c r="AM11" s="10" t="str">
        <f t="shared" si="11"/>
        <v>moyen</v>
      </c>
      <c r="AN11" s="10" t="s">
        <v>2838</v>
      </c>
      <c r="AO11" s="10" t="str">
        <f t="shared" si="12"/>
        <v>Elevée</v>
      </c>
    </row>
    <row r="12" spans="1:41">
      <c r="A12" t="s">
        <v>153</v>
      </c>
      <c r="B12" s="2">
        <v>45668</v>
      </c>
      <c r="C12" t="s">
        <v>154</v>
      </c>
      <c r="D12" t="s">
        <v>155</v>
      </c>
      <c r="E12" t="s">
        <v>120</v>
      </c>
      <c r="F12" t="s">
        <v>156</v>
      </c>
      <c r="G12">
        <v>4</v>
      </c>
      <c r="H12" s="4">
        <v>48</v>
      </c>
      <c r="I12" s="3">
        <v>0.08</v>
      </c>
      <c r="J12" t="s">
        <v>77</v>
      </c>
      <c r="K12" t="s">
        <v>46</v>
      </c>
      <c r="L12" t="s">
        <v>157</v>
      </c>
      <c r="M12" t="s">
        <v>54</v>
      </c>
      <c r="N12" t="s">
        <v>80</v>
      </c>
      <c r="O12" t="s">
        <v>158</v>
      </c>
      <c r="P12" t="s">
        <v>51</v>
      </c>
      <c r="Q12" t="s">
        <v>143</v>
      </c>
      <c r="R12" t="s">
        <v>124</v>
      </c>
      <c r="S12" t="s">
        <v>48</v>
      </c>
      <c r="T12" t="s">
        <v>159</v>
      </c>
      <c r="U12" s="5">
        <v>60</v>
      </c>
      <c r="V12" s="5" t="s">
        <v>85</v>
      </c>
      <c r="W12" s="5">
        <v>26</v>
      </c>
      <c r="X12" s="5">
        <v>7.9</v>
      </c>
      <c r="Y12" s="5">
        <v>1</v>
      </c>
      <c r="Z12" s="5" t="s">
        <v>71</v>
      </c>
      <c r="AA12" s="6">
        <v>37.44</v>
      </c>
      <c r="AB12" s="8">
        <f t="shared" si="0"/>
        <v>192</v>
      </c>
      <c r="AC12" s="8">
        <f t="shared" si="1"/>
        <v>15.36</v>
      </c>
      <c r="AD12" s="8">
        <f t="shared" si="2"/>
        <v>176.64</v>
      </c>
      <c r="AE12" s="8">
        <f t="shared" si="3"/>
        <v>149.76</v>
      </c>
      <c r="AF12" s="8">
        <f t="shared" si="4"/>
        <v>26.879999999999995</v>
      </c>
      <c r="AG12" s="9">
        <f t="shared" si="5"/>
        <v>0.15217391304347824</v>
      </c>
      <c r="AH12" s="10">
        <f t="shared" si="6"/>
        <v>2025</v>
      </c>
      <c r="AI12" s="10">
        <f t="shared" si="7"/>
        <v>1</v>
      </c>
      <c r="AJ12" s="10" t="str">
        <f t="shared" si="8"/>
        <v>2025-01</v>
      </c>
      <c r="AK12" s="10" t="str">
        <f t="shared" si="9"/>
        <v>T1</v>
      </c>
      <c r="AL12" s="10" t="str">
        <f t="shared" si="10"/>
        <v>50+</v>
      </c>
      <c r="AM12" s="10" t="str">
        <f t="shared" si="11"/>
        <v>bon</v>
      </c>
      <c r="AN12" s="10" t="s">
        <v>2838</v>
      </c>
      <c r="AO12" s="10" t="str">
        <f t="shared" si="12"/>
        <v>Faible</v>
      </c>
    </row>
    <row r="13" spans="1:41">
      <c r="A13" t="s">
        <v>160</v>
      </c>
      <c r="B13" s="2">
        <v>45843</v>
      </c>
      <c r="C13" t="s">
        <v>161</v>
      </c>
      <c r="D13" t="s">
        <v>162</v>
      </c>
      <c r="E13" t="s">
        <v>163</v>
      </c>
      <c r="F13" t="s">
        <v>164</v>
      </c>
      <c r="G13">
        <v>1</v>
      </c>
      <c r="H13" s="4">
        <v>35</v>
      </c>
      <c r="I13" s="3">
        <v>0.02</v>
      </c>
      <c r="J13" t="s">
        <v>45</v>
      </c>
      <c r="K13" t="s">
        <v>46</v>
      </c>
      <c r="L13" t="s">
        <v>165</v>
      </c>
      <c r="M13" t="s">
        <v>69</v>
      </c>
      <c r="N13" t="s">
        <v>101</v>
      </c>
      <c r="O13" t="s">
        <v>166</v>
      </c>
      <c r="P13" t="s">
        <v>103</v>
      </c>
      <c r="Q13" t="s">
        <v>143</v>
      </c>
      <c r="R13" t="s">
        <v>167</v>
      </c>
      <c r="S13" t="s">
        <v>123</v>
      </c>
      <c r="T13" t="s">
        <v>168</v>
      </c>
      <c r="U13" s="5">
        <v>36</v>
      </c>
      <c r="V13" s="5" t="s">
        <v>85</v>
      </c>
      <c r="W13" s="5">
        <v>16</v>
      </c>
      <c r="X13" s="5">
        <v>4.0999999999999996</v>
      </c>
      <c r="Y13" s="5">
        <v>7</v>
      </c>
      <c r="Z13" s="5" t="s">
        <v>94</v>
      </c>
      <c r="AA13" s="6">
        <v>24.15</v>
      </c>
      <c r="AB13" s="8">
        <f t="shared" si="0"/>
        <v>35</v>
      </c>
      <c r="AC13" s="8">
        <f t="shared" si="1"/>
        <v>0.70000000000000007</v>
      </c>
      <c r="AD13" s="8">
        <f t="shared" si="2"/>
        <v>34.299999999999997</v>
      </c>
      <c r="AE13" s="8">
        <f t="shared" si="3"/>
        <v>24.15</v>
      </c>
      <c r="AF13" s="8">
        <f t="shared" si="4"/>
        <v>10.149999999999999</v>
      </c>
      <c r="AG13" s="9">
        <f t="shared" si="5"/>
        <v>0.29591836734693877</v>
      </c>
      <c r="AH13" s="10">
        <f t="shared" si="6"/>
        <v>2025</v>
      </c>
      <c r="AI13" s="10">
        <f t="shared" si="7"/>
        <v>7</v>
      </c>
      <c r="AJ13" s="10" t="str">
        <f t="shared" si="8"/>
        <v>2025-07</v>
      </c>
      <c r="AK13" s="10" t="str">
        <f t="shared" si="9"/>
        <v>T3</v>
      </c>
      <c r="AL13" s="10" t="str">
        <f t="shared" si="10"/>
        <v>30-39</v>
      </c>
      <c r="AM13" s="10" t="str">
        <f t="shared" si="11"/>
        <v>faible</v>
      </c>
      <c r="AN13" s="10" t="s">
        <v>2837</v>
      </c>
      <c r="AO13" s="10" t="str">
        <f t="shared" si="12"/>
        <v>Faible</v>
      </c>
    </row>
    <row r="14" spans="1:41">
      <c r="A14" t="s">
        <v>169</v>
      </c>
      <c r="B14" s="2">
        <v>45914</v>
      </c>
      <c r="C14" t="s">
        <v>170</v>
      </c>
      <c r="D14" t="s">
        <v>97</v>
      </c>
      <c r="E14" t="s">
        <v>109</v>
      </c>
      <c r="F14" t="s">
        <v>44</v>
      </c>
      <c r="G14">
        <v>2</v>
      </c>
      <c r="H14" s="4">
        <v>520</v>
      </c>
      <c r="I14" s="3">
        <v>0.05</v>
      </c>
      <c r="J14" t="s">
        <v>45</v>
      </c>
      <c r="K14" t="s">
        <v>46</v>
      </c>
      <c r="L14" t="s">
        <v>171</v>
      </c>
      <c r="M14" t="s">
        <v>48</v>
      </c>
      <c r="N14" t="s">
        <v>101</v>
      </c>
      <c r="O14" t="s">
        <v>102</v>
      </c>
      <c r="P14" t="s">
        <v>103</v>
      </c>
      <c r="Q14" t="s">
        <v>52</v>
      </c>
      <c r="R14" t="s">
        <v>115</v>
      </c>
      <c r="S14" t="s">
        <v>65</v>
      </c>
      <c r="T14" t="s">
        <v>55</v>
      </c>
      <c r="U14" s="5">
        <v>42</v>
      </c>
      <c r="V14" s="5" t="s">
        <v>85</v>
      </c>
      <c r="W14" s="5">
        <v>41</v>
      </c>
      <c r="X14" s="5">
        <v>6.2</v>
      </c>
      <c r="Y14" s="5">
        <v>6</v>
      </c>
      <c r="Z14" s="5" t="s">
        <v>94</v>
      </c>
      <c r="AA14" s="6">
        <v>348.4</v>
      </c>
      <c r="AB14" s="8">
        <f t="shared" si="0"/>
        <v>1040</v>
      </c>
      <c r="AC14" s="8">
        <f t="shared" si="1"/>
        <v>52</v>
      </c>
      <c r="AD14" s="8">
        <f t="shared" si="2"/>
        <v>988</v>
      </c>
      <c r="AE14" s="8">
        <f t="shared" si="3"/>
        <v>696.8</v>
      </c>
      <c r="AF14" s="8">
        <f t="shared" si="4"/>
        <v>291.20000000000005</v>
      </c>
      <c r="AG14" s="9">
        <f t="shared" si="5"/>
        <v>0.29473684210526319</v>
      </c>
      <c r="AH14" s="10">
        <f t="shared" si="6"/>
        <v>2025</v>
      </c>
      <c r="AI14" s="10">
        <f t="shared" si="7"/>
        <v>9</v>
      </c>
      <c r="AJ14" s="10" t="str">
        <f t="shared" si="8"/>
        <v>2025-09</v>
      </c>
      <c r="AK14" s="10" t="str">
        <f t="shared" si="9"/>
        <v>T3</v>
      </c>
      <c r="AL14" s="10" t="str">
        <f t="shared" si="10"/>
        <v>40-49</v>
      </c>
      <c r="AM14" s="10" t="str">
        <f t="shared" si="11"/>
        <v>moyen</v>
      </c>
      <c r="AN14" s="10" t="s">
        <v>2839</v>
      </c>
      <c r="AO14" s="10" t="str">
        <f t="shared" si="12"/>
        <v>Moyenne</v>
      </c>
    </row>
    <row r="15" spans="1:41">
      <c r="A15" t="s">
        <v>172</v>
      </c>
      <c r="B15" s="2">
        <v>45691</v>
      </c>
      <c r="C15" t="s">
        <v>173</v>
      </c>
      <c r="D15" t="s">
        <v>174</v>
      </c>
      <c r="E15" t="s">
        <v>98</v>
      </c>
      <c r="F15" t="s">
        <v>175</v>
      </c>
      <c r="G15">
        <v>1</v>
      </c>
      <c r="H15" s="4">
        <v>780</v>
      </c>
      <c r="I15" s="3">
        <v>0.05</v>
      </c>
      <c r="J15" t="s">
        <v>45</v>
      </c>
      <c r="K15" t="s">
        <v>46</v>
      </c>
      <c r="L15" t="s">
        <v>176</v>
      </c>
      <c r="M15" t="s">
        <v>123</v>
      </c>
      <c r="N15" t="s">
        <v>49</v>
      </c>
      <c r="O15" t="s">
        <v>177</v>
      </c>
      <c r="P15" t="s">
        <v>103</v>
      </c>
      <c r="Q15" t="s">
        <v>114</v>
      </c>
      <c r="R15" t="s">
        <v>104</v>
      </c>
      <c r="S15" t="s">
        <v>79</v>
      </c>
      <c r="T15" t="s">
        <v>178</v>
      </c>
      <c r="U15" s="5">
        <v>45</v>
      </c>
      <c r="V15" s="5" t="s">
        <v>85</v>
      </c>
      <c r="W15" s="5">
        <v>17</v>
      </c>
      <c r="X15" s="5">
        <v>8.3000000000000007</v>
      </c>
      <c r="Y15" s="5">
        <v>2</v>
      </c>
      <c r="Z15" s="5" t="s">
        <v>71</v>
      </c>
      <c r="AA15" s="6">
        <v>468</v>
      </c>
      <c r="AB15" s="8">
        <f t="shared" si="0"/>
        <v>780</v>
      </c>
      <c r="AC15" s="8">
        <f t="shared" si="1"/>
        <v>39</v>
      </c>
      <c r="AD15" s="8">
        <f t="shared" si="2"/>
        <v>741</v>
      </c>
      <c r="AE15" s="8">
        <f t="shared" si="3"/>
        <v>468</v>
      </c>
      <c r="AF15" s="8">
        <f t="shared" si="4"/>
        <v>273</v>
      </c>
      <c r="AG15" s="9">
        <f t="shared" si="5"/>
        <v>0.36842105263157893</v>
      </c>
      <c r="AH15" s="10">
        <f t="shared" si="6"/>
        <v>2025</v>
      </c>
      <c r="AI15" s="10">
        <f t="shared" si="7"/>
        <v>2</v>
      </c>
      <c r="AJ15" s="10" t="str">
        <f t="shared" si="8"/>
        <v>2025-02</v>
      </c>
      <c r="AK15" s="10" t="str">
        <f t="shared" si="9"/>
        <v>T1</v>
      </c>
      <c r="AL15" s="10" t="str">
        <f t="shared" si="10"/>
        <v>40-49</v>
      </c>
      <c r="AM15" s="10" t="str">
        <f t="shared" si="11"/>
        <v>bon</v>
      </c>
      <c r="AN15" s="10" t="s">
        <v>2838</v>
      </c>
      <c r="AO15" s="10" t="str">
        <f t="shared" si="12"/>
        <v>Moyenne</v>
      </c>
    </row>
    <row r="16" spans="1:41">
      <c r="A16" t="s">
        <v>179</v>
      </c>
      <c r="B16" s="2">
        <v>46005</v>
      </c>
      <c r="C16" t="s">
        <v>180</v>
      </c>
      <c r="D16" t="s">
        <v>181</v>
      </c>
      <c r="E16" t="s">
        <v>120</v>
      </c>
      <c r="F16" t="s">
        <v>182</v>
      </c>
      <c r="G16">
        <v>3</v>
      </c>
      <c r="H16" s="4">
        <v>145</v>
      </c>
      <c r="I16" s="3">
        <v>0</v>
      </c>
      <c r="J16" t="s">
        <v>63</v>
      </c>
      <c r="K16" t="s">
        <v>46</v>
      </c>
      <c r="L16" t="s">
        <v>183</v>
      </c>
      <c r="M16" t="s">
        <v>65</v>
      </c>
      <c r="N16" t="s">
        <v>101</v>
      </c>
      <c r="O16" t="s">
        <v>184</v>
      </c>
      <c r="P16" t="s">
        <v>103</v>
      </c>
      <c r="Q16" t="s">
        <v>52</v>
      </c>
      <c r="R16" t="s">
        <v>124</v>
      </c>
      <c r="S16" t="s">
        <v>48</v>
      </c>
      <c r="T16" t="s">
        <v>185</v>
      </c>
      <c r="U16" s="5">
        <v>57</v>
      </c>
      <c r="V16" s="5" t="s">
        <v>85</v>
      </c>
      <c r="W16" s="5">
        <v>21</v>
      </c>
      <c r="X16" s="5">
        <v>4.2</v>
      </c>
      <c r="Y16" s="5">
        <v>8</v>
      </c>
      <c r="Z16" s="5" t="s">
        <v>117</v>
      </c>
      <c r="AA16" s="6">
        <v>97.15</v>
      </c>
      <c r="AB16" s="8">
        <f t="shared" si="0"/>
        <v>435</v>
      </c>
      <c r="AC16" s="8">
        <f t="shared" si="1"/>
        <v>0</v>
      </c>
      <c r="AD16" s="8">
        <f t="shared" si="2"/>
        <v>435</v>
      </c>
      <c r="AE16" s="8">
        <f t="shared" si="3"/>
        <v>291.45000000000005</v>
      </c>
      <c r="AF16" s="8">
        <f t="shared" si="4"/>
        <v>143.54999999999995</v>
      </c>
      <c r="AG16" s="9">
        <f t="shared" si="5"/>
        <v>0.3299999999999999</v>
      </c>
      <c r="AH16" s="10">
        <f t="shared" si="6"/>
        <v>2025</v>
      </c>
      <c r="AI16" s="10">
        <f t="shared" si="7"/>
        <v>12</v>
      </c>
      <c r="AJ16" s="10" t="str">
        <f t="shared" si="8"/>
        <v>2025-12</v>
      </c>
      <c r="AK16" s="10" t="str">
        <f t="shared" si="9"/>
        <v>T4</v>
      </c>
      <c r="AL16" s="10" t="str">
        <f t="shared" si="10"/>
        <v>50+</v>
      </c>
      <c r="AM16" s="10" t="str">
        <f t="shared" si="11"/>
        <v>faible</v>
      </c>
      <c r="AN16" s="10" t="s">
        <v>2837</v>
      </c>
      <c r="AO16" s="10" t="str">
        <f t="shared" si="12"/>
        <v>Faible</v>
      </c>
    </row>
    <row r="17" spans="1:41">
      <c r="A17" t="s">
        <v>186</v>
      </c>
      <c r="B17" s="2">
        <v>45866</v>
      </c>
      <c r="C17" t="s">
        <v>187</v>
      </c>
      <c r="D17" t="s">
        <v>188</v>
      </c>
      <c r="E17" t="s">
        <v>189</v>
      </c>
      <c r="F17" t="s">
        <v>190</v>
      </c>
      <c r="G17">
        <v>1</v>
      </c>
      <c r="H17" s="4">
        <v>350</v>
      </c>
      <c r="I17" s="3">
        <v>0.08</v>
      </c>
      <c r="J17" t="s">
        <v>63</v>
      </c>
      <c r="K17" t="s">
        <v>46</v>
      </c>
      <c r="L17" t="s">
        <v>191</v>
      </c>
      <c r="M17" t="s">
        <v>123</v>
      </c>
      <c r="N17" t="s">
        <v>49</v>
      </c>
      <c r="O17" t="s">
        <v>192</v>
      </c>
      <c r="P17" t="s">
        <v>51</v>
      </c>
      <c r="Q17" t="s">
        <v>114</v>
      </c>
      <c r="R17" t="s">
        <v>193</v>
      </c>
      <c r="S17" t="s">
        <v>79</v>
      </c>
      <c r="T17" t="s">
        <v>194</v>
      </c>
      <c r="U17" s="5">
        <v>45</v>
      </c>
      <c r="V17" s="5" t="s">
        <v>56</v>
      </c>
      <c r="W17" s="5">
        <v>34</v>
      </c>
      <c r="X17" s="5">
        <v>4</v>
      </c>
      <c r="Y17" s="5">
        <v>9</v>
      </c>
      <c r="Z17" s="5" t="s">
        <v>94</v>
      </c>
      <c r="AA17" s="6">
        <v>213.5</v>
      </c>
      <c r="AB17" s="8">
        <f t="shared" si="0"/>
        <v>350</v>
      </c>
      <c r="AC17" s="8">
        <f t="shared" si="1"/>
        <v>28</v>
      </c>
      <c r="AD17" s="8">
        <f t="shared" si="2"/>
        <v>322</v>
      </c>
      <c r="AE17" s="8">
        <f t="shared" si="3"/>
        <v>213.5</v>
      </c>
      <c r="AF17" s="8">
        <f t="shared" si="4"/>
        <v>108.5</v>
      </c>
      <c r="AG17" s="9">
        <f t="shared" si="5"/>
        <v>0.33695652173913043</v>
      </c>
      <c r="AH17" s="10">
        <f t="shared" si="6"/>
        <v>2025</v>
      </c>
      <c r="AI17" s="10">
        <f t="shared" si="7"/>
        <v>7</v>
      </c>
      <c r="AJ17" s="10" t="str">
        <f t="shared" si="8"/>
        <v>2025-07</v>
      </c>
      <c r="AK17" s="10" t="str">
        <f t="shared" si="9"/>
        <v>T3</v>
      </c>
      <c r="AL17" s="10" t="str">
        <f t="shared" si="10"/>
        <v>40-49</v>
      </c>
      <c r="AM17" s="10" t="str">
        <f t="shared" si="11"/>
        <v>faible</v>
      </c>
      <c r="AN17" s="10" t="s">
        <v>2837</v>
      </c>
      <c r="AO17" s="10" t="str">
        <f t="shared" si="12"/>
        <v>Faible</v>
      </c>
    </row>
    <row r="18" spans="1:41">
      <c r="A18" t="s">
        <v>195</v>
      </c>
      <c r="B18" s="2">
        <v>45800</v>
      </c>
      <c r="C18" t="s">
        <v>196</v>
      </c>
      <c r="D18" t="s">
        <v>188</v>
      </c>
      <c r="E18" t="s">
        <v>163</v>
      </c>
      <c r="F18" t="s">
        <v>197</v>
      </c>
      <c r="G18">
        <v>6</v>
      </c>
      <c r="H18" s="4">
        <v>350</v>
      </c>
      <c r="I18" s="3">
        <v>0.05</v>
      </c>
      <c r="J18" t="s">
        <v>63</v>
      </c>
      <c r="K18" t="s">
        <v>46</v>
      </c>
      <c r="L18" t="s">
        <v>198</v>
      </c>
      <c r="M18" t="s">
        <v>123</v>
      </c>
      <c r="N18" t="s">
        <v>80</v>
      </c>
      <c r="O18" t="s">
        <v>192</v>
      </c>
      <c r="P18" t="s">
        <v>51</v>
      </c>
      <c r="Q18" t="s">
        <v>114</v>
      </c>
      <c r="R18" t="s">
        <v>167</v>
      </c>
      <c r="S18" t="s">
        <v>123</v>
      </c>
      <c r="T18" t="s">
        <v>199</v>
      </c>
      <c r="U18" s="5">
        <v>25</v>
      </c>
      <c r="V18" s="5" t="s">
        <v>85</v>
      </c>
      <c r="W18" s="5">
        <v>71</v>
      </c>
      <c r="X18" s="5">
        <v>7.9</v>
      </c>
      <c r="Y18" s="5">
        <v>1</v>
      </c>
      <c r="Z18" s="5" t="s">
        <v>94</v>
      </c>
      <c r="AA18" s="6">
        <v>213.5</v>
      </c>
      <c r="AB18" s="8">
        <f t="shared" si="0"/>
        <v>2100</v>
      </c>
      <c r="AC18" s="8">
        <f t="shared" si="1"/>
        <v>105</v>
      </c>
      <c r="AD18" s="8">
        <f t="shared" si="2"/>
        <v>1995</v>
      </c>
      <c r="AE18" s="8">
        <f t="shared" si="3"/>
        <v>1281</v>
      </c>
      <c r="AF18" s="8">
        <f t="shared" si="4"/>
        <v>714</v>
      </c>
      <c r="AG18" s="9">
        <f t="shared" si="5"/>
        <v>0.35789473684210527</v>
      </c>
      <c r="AH18" s="10">
        <f t="shared" si="6"/>
        <v>2025</v>
      </c>
      <c r="AI18" s="10">
        <f t="shared" si="7"/>
        <v>5</v>
      </c>
      <c r="AJ18" s="10" t="str">
        <f t="shared" si="8"/>
        <v>2025-05</v>
      </c>
      <c r="AK18" s="10" t="str">
        <f t="shared" si="9"/>
        <v>T2</v>
      </c>
      <c r="AL18" s="10" t="str">
        <f t="shared" si="10"/>
        <v>22-29</v>
      </c>
      <c r="AM18" s="10" t="str">
        <f t="shared" si="11"/>
        <v>bon</v>
      </c>
      <c r="AN18" s="10" t="s">
        <v>2838</v>
      </c>
      <c r="AO18" s="10" t="str">
        <f t="shared" si="12"/>
        <v>Elevée</v>
      </c>
    </row>
    <row r="19" spans="1:41">
      <c r="A19" t="s">
        <v>200</v>
      </c>
      <c r="B19" s="2">
        <v>45742</v>
      </c>
      <c r="C19" t="s">
        <v>201</v>
      </c>
      <c r="D19" t="s">
        <v>174</v>
      </c>
      <c r="E19" t="s">
        <v>163</v>
      </c>
      <c r="F19" t="s">
        <v>202</v>
      </c>
      <c r="G19">
        <v>2</v>
      </c>
      <c r="H19" s="4">
        <v>780</v>
      </c>
      <c r="I19" s="3">
        <v>0</v>
      </c>
      <c r="J19" t="s">
        <v>90</v>
      </c>
      <c r="K19" t="s">
        <v>46</v>
      </c>
      <c r="L19" t="s">
        <v>203</v>
      </c>
      <c r="M19" t="s">
        <v>123</v>
      </c>
      <c r="N19" t="s">
        <v>101</v>
      </c>
      <c r="O19" t="s">
        <v>177</v>
      </c>
      <c r="P19" t="s">
        <v>103</v>
      </c>
      <c r="Q19" t="s">
        <v>114</v>
      </c>
      <c r="R19" t="s">
        <v>167</v>
      </c>
      <c r="S19" t="s">
        <v>123</v>
      </c>
      <c r="T19" t="s">
        <v>204</v>
      </c>
      <c r="U19" s="5">
        <v>36</v>
      </c>
      <c r="V19" s="5" t="s">
        <v>56</v>
      </c>
      <c r="W19" s="5">
        <v>53</v>
      </c>
      <c r="X19" s="5">
        <v>8.1</v>
      </c>
      <c r="Y19" s="5">
        <v>3</v>
      </c>
      <c r="Z19" s="5" t="s">
        <v>71</v>
      </c>
      <c r="AA19" s="6">
        <v>468</v>
      </c>
      <c r="AB19" s="8">
        <f t="shared" si="0"/>
        <v>1560</v>
      </c>
      <c r="AC19" s="8">
        <f t="shared" si="1"/>
        <v>0</v>
      </c>
      <c r="AD19" s="8">
        <f t="shared" si="2"/>
        <v>1560</v>
      </c>
      <c r="AE19" s="8">
        <f t="shared" si="3"/>
        <v>936</v>
      </c>
      <c r="AF19" s="8">
        <f t="shared" si="4"/>
        <v>624</v>
      </c>
      <c r="AG19" s="9">
        <f t="shared" si="5"/>
        <v>0.4</v>
      </c>
      <c r="AH19" s="10">
        <f t="shared" si="6"/>
        <v>2025</v>
      </c>
      <c r="AI19" s="10">
        <f t="shared" si="7"/>
        <v>3</v>
      </c>
      <c r="AJ19" s="10" t="str">
        <f t="shared" si="8"/>
        <v>2025-03</v>
      </c>
      <c r="AK19" s="10" t="str">
        <f t="shared" si="9"/>
        <v>T1</v>
      </c>
      <c r="AL19" s="10" t="str">
        <f t="shared" si="10"/>
        <v>30-39</v>
      </c>
      <c r="AM19" s="10" t="str">
        <f t="shared" si="11"/>
        <v>bon</v>
      </c>
      <c r="AN19" s="10" t="s">
        <v>2838</v>
      </c>
      <c r="AO19" s="10" t="str">
        <f t="shared" si="12"/>
        <v>Elevée</v>
      </c>
    </row>
    <row r="20" spans="1:41">
      <c r="A20" t="s">
        <v>205</v>
      </c>
      <c r="B20" s="2">
        <v>45779</v>
      </c>
      <c r="C20" t="s">
        <v>206</v>
      </c>
      <c r="D20" t="s">
        <v>108</v>
      </c>
      <c r="E20" t="s">
        <v>207</v>
      </c>
      <c r="F20" t="s">
        <v>208</v>
      </c>
      <c r="G20">
        <v>10</v>
      </c>
      <c r="H20" s="4">
        <v>240</v>
      </c>
      <c r="I20" s="3">
        <v>0.1</v>
      </c>
      <c r="J20" t="s">
        <v>63</v>
      </c>
      <c r="K20" t="s">
        <v>46</v>
      </c>
      <c r="L20" t="s">
        <v>209</v>
      </c>
      <c r="M20" t="s">
        <v>79</v>
      </c>
      <c r="N20" t="s">
        <v>80</v>
      </c>
      <c r="O20" t="s">
        <v>113</v>
      </c>
      <c r="P20" t="s">
        <v>82</v>
      </c>
      <c r="Q20" t="s">
        <v>114</v>
      </c>
      <c r="R20" t="s">
        <v>210</v>
      </c>
      <c r="S20" t="s">
        <v>79</v>
      </c>
      <c r="T20" t="s">
        <v>211</v>
      </c>
      <c r="U20" s="5">
        <v>37</v>
      </c>
      <c r="V20" s="5" t="s">
        <v>85</v>
      </c>
      <c r="W20" s="5">
        <v>21</v>
      </c>
      <c r="X20" s="5">
        <v>8.9</v>
      </c>
      <c r="Y20" s="5">
        <v>1</v>
      </c>
      <c r="Z20" s="5" t="s">
        <v>57</v>
      </c>
      <c r="AA20" s="6">
        <v>177.6</v>
      </c>
      <c r="AB20" s="8">
        <f t="shared" si="0"/>
        <v>2400</v>
      </c>
      <c r="AC20" s="8">
        <f t="shared" si="1"/>
        <v>240</v>
      </c>
      <c r="AD20" s="8">
        <f t="shared" si="2"/>
        <v>2160</v>
      </c>
      <c r="AE20" s="8">
        <f t="shared" si="3"/>
        <v>1776</v>
      </c>
      <c r="AF20" s="8">
        <f t="shared" si="4"/>
        <v>384</v>
      </c>
      <c r="AG20" s="9">
        <f t="shared" si="5"/>
        <v>0.17777777777777778</v>
      </c>
      <c r="AH20" s="10">
        <f t="shared" si="6"/>
        <v>2025</v>
      </c>
      <c r="AI20" s="10">
        <f t="shared" si="7"/>
        <v>5</v>
      </c>
      <c r="AJ20" s="10" t="str">
        <f t="shared" si="8"/>
        <v>2025-05</v>
      </c>
      <c r="AK20" s="10" t="str">
        <f t="shared" si="9"/>
        <v>T2</v>
      </c>
      <c r="AL20" s="10" t="str">
        <f t="shared" si="10"/>
        <v>30-39</v>
      </c>
      <c r="AM20" s="10" t="str">
        <f t="shared" si="11"/>
        <v>bon</v>
      </c>
      <c r="AN20" s="10" t="s">
        <v>2838</v>
      </c>
      <c r="AO20" s="10" t="str">
        <f t="shared" si="12"/>
        <v>Elevée</v>
      </c>
    </row>
    <row r="21" spans="1:41">
      <c r="A21" t="s">
        <v>212</v>
      </c>
      <c r="B21" s="2">
        <v>45675</v>
      </c>
      <c r="C21" t="s">
        <v>213</v>
      </c>
      <c r="D21" t="s">
        <v>97</v>
      </c>
      <c r="E21" t="s">
        <v>214</v>
      </c>
      <c r="F21" t="s">
        <v>197</v>
      </c>
      <c r="G21">
        <v>2</v>
      </c>
      <c r="H21" s="4">
        <v>520</v>
      </c>
      <c r="I21" s="3">
        <v>0.1</v>
      </c>
      <c r="J21" t="s">
        <v>90</v>
      </c>
      <c r="K21" t="s">
        <v>46</v>
      </c>
      <c r="L21" t="s">
        <v>215</v>
      </c>
      <c r="M21" t="s">
        <v>54</v>
      </c>
      <c r="N21" t="s">
        <v>80</v>
      </c>
      <c r="O21" t="s">
        <v>102</v>
      </c>
      <c r="P21" t="s">
        <v>103</v>
      </c>
      <c r="Q21" t="s">
        <v>52</v>
      </c>
      <c r="R21" t="s">
        <v>216</v>
      </c>
      <c r="S21" t="s">
        <v>65</v>
      </c>
      <c r="T21" t="s">
        <v>199</v>
      </c>
      <c r="U21" s="5">
        <v>56</v>
      </c>
      <c r="V21" s="5" t="s">
        <v>85</v>
      </c>
      <c r="W21" s="5">
        <v>11</v>
      </c>
      <c r="X21" s="5">
        <v>6.8</v>
      </c>
      <c r="Y21" s="5">
        <v>3</v>
      </c>
      <c r="Z21" s="5" t="s">
        <v>94</v>
      </c>
      <c r="AA21" s="6">
        <v>348.4</v>
      </c>
      <c r="AB21" s="8">
        <f t="shared" si="0"/>
        <v>1040</v>
      </c>
      <c r="AC21" s="8">
        <f t="shared" si="1"/>
        <v>104</v>
      </c>
      <c r="AD21" s="8">
        <f t="shared" si="2"/>
        <v>936</v>
      </c>
      <c r="AE21" s="8">
        <f t="shared" si="3"/>
        <v>696.8</v>
      </c>
      <c r="AF21" s="8">
        <f t="shared" si="4"/>
        <v>239.20000000000005</v>
      </c>
      <c r="AG21" s="9">
        <f t="shared" si="5"/>
        <v>0.25555555555555559</v>
      </c>
      <c r="AH21" s="10">
        <f t="shared" si="6"/>
        <v>2025</v>
      </c>
      <c r="AI21" s="10">
        <f t="shared" si="7"/>
        <v>1</v>
      </c>
      <c r="AJ21" s="10" t="str">
        <f t="shared" si="8"/>
        <v>2025-01</v>
      </c>
      <c r="AK21" s="10" t="str">
        <f t="shared" si="9"/>
        <v>T1</v>
      </c>
      <c r="AL21" s="10" t="str">
        <f t="shared" si="10"/>
        <v>50+</v>
      </c>
      <c r="AM21" s="10" t="str">
        <f t="shared" si="11"/>
        <v>moyen</v>
      </c>
      <c r="AN21" s="10" t="s">
        <v>2838</v>
      </c>
      <c r="AO21" s="10" t="str">
        <f t="shared" si="12"/>
        <v>Moyenne</v>
      </c>
    </row>
    <row r="22" spans="1:41">
      <c r="A22" t="s">
        <v>217</v>
      </c>
      <c r="B22" s="2">
        <v>45970</v>
      </c>
      <c r="C22" t="s">
        <v>218</v>
      </c>
      <c r="D22" t="s">
        <v>155</v>
      </c>
      <c r="E22" t="s">
        <v>219</v>
      </c>
      <c r="F22" t="s">
        <v>220</v>
      </c>
      <c r="G22">
        <v>3</v>
      </c>
      <c r="H22" s="4">
        <v>48</v>
      </c>
      <c r="I22" s="3">
        <v>0</v>
      </c>
      <c r="J22" t="s">
        <v>90</v>
      </c>
      <c r="K22" t="s">
        <v>46</v>
      </c>
      <c r="L22" t="s">
        <v>221</v>
      </c>
      <c r="M22" t="s">
        <v>65</v>
      </c>
      <c r="N22" t="s">
        <v>80</v>
      </c>
      <c r="O22" t="s">
        <v>158</v>
      </c>
      <c r="P22" t="s">
        <v>51</v>
      </c>
      <c r="Q22" t="s">
        <v>143</v>
      </c>
      <c r="R22" t="s">
        <v>222</v>
      </c>
      <c r="S22" t="s">
        <v>123</v>
      </c>
      <c r="T22" t="s">
        <v>223</v>
      </c>
      <c r="U22" s="5">
        <v>29</v>
      </c>
      <c r="V22" s="5" t="s">
        <v>56</v>
      </c>
      <c r="W22" s="5">
        <v>52</v>
      </c>
      <c r="X22" s="5">
        <v>2.9</v>
      </c>
      <c r="Y22" s="5">
        <v>9</v>
      </c>
      <c r="Z22" s="5" t="s">
        <v>94</v>
      </c>
      <c r="AA22" s="6">
        <v>37.44</v>
      </c>
      <c r="AB22" s="8">
        <f t="shared" si="0"/>
        <v>144</v>
      </c>
      <c r="AC22" s="8">
        <f t="shared" si="1"/>
        <v>0</v>
      </c>
      <c r="AD22" s="8">
        <f t="shared" si="2"/>
        <v>144</v>
      </c>
      <c r="AE22" s="8">
        <f t="shared" si="3"/>
        <v>112.32</v>
      </c>
      <c r="AF22" s="8">
        <f t="shared" si="4"/>
        <v>31.680000000000007</v>
      </c>
      <c r="AG22" s="9">
        <f t="shared" si="5"/>
        <v>0.22000000000000006</v>
      </c>
      <c r="AH22" s="10">
        <f t="shared" si="6"/>
        <v>2025</v>
      </c>
      <c r="AI22" s="10">
        <f t="shared" si="7"/>
        <v>11</v>
      </c>
      <c r="AJ22" s="10" t="str">
        <f t="shared" si="8"/>
        <v>2025-11</v>
      </c>
      <c r="AK22" s="10" t="str">
        <f t="shared" si="9"/>
        <v>T4</v>
      </c>
      <c r="AL22" s="10" t="str">
        <f t="shared" si="10"/>
        <v>22-29</v>
      </c>
      <c r="AM22" s="10" t="str">
        <f t="shared" si="11"/>
        <v>faible</v>
      </c>
      <c r="AN22" s="10" t="s">
        <v>2837</v>
      </c>
      <c r="AO22" s="10" t="str">
        <f t="shared" si="12"/>
        <v>Faible</v>
      </c>
    </row>
    <row r="23" spans="1:41">
      <c r="A23" t="s">
        <v>224</v>
      </c>
      <c r="B23" s="2">
        <v>45707</v>
      </c>
      <c r="C23" t="s">
        <v>225</v>
      </c>
      <c r="D23" t="s">
        <v>74</v>
      </c>
      <c r="E23" t="s">
        <v>226</v>
      </c>
      <c r="F23" t="s">
        <v>227</v>
      </c>
      <c r="G23">
        <v>3</v>
      </c>
      <c r="H23" s="4">
        <v>95</v>
      </c>
      <c r="I23" s="3">
        <v>0.02</v>
      </c>
      <c r="J23" t="s">
        <v>45</v>
      </c>
      <c r="K23" t="s">
        <v>46</v>
      </c>
      <c r="L23" t="s">
        <v>228</v>
      </c>
      <c r="M23" t="s">
        <v>123</v>
      </c>
      <c r="N23" t="s">
        <v>101</v>
      </c>
      <c r="O23" t="s">
        <v>81</v>
      </c>
      <c r="P23" t="s">
        <v>82</v>
      </c>
      <c r="Q23" t="s">
        <v>52</v>
      </c>
      <c r="R23" t="s">
        <v>229</v>
      </c>
      <c r="S23" t="s">
        <v>48</v>
      </c>
      <c r="T23" t="s">
        <v>230</v>
      </c>
      <c r="U23" s="5">
        <v>23</v>
      </c>
      <c r="V23" s="5" t="s">
        <v>56</v>
      </c>
      <c r="W23" s="5">
        <v>37</v>
      </c>
      <c r="X23" s="5">
        <v>6</v>
      </c>
      <c r="Y23" s="5">
        <v>4</v>
      </c>
      <c r="Z23" s="5" t="s">
        <v>94</v>
      </c>
      <c r="AA23" s="6">
        <v>70.3</v>
      </c>
      <c r="AB23" s="8">
        <f t="shared" si="0"/>
        <v>285</v>
      </c>
      <c r="AC23" s="8">
        <f t="shared" si="1"/>
        <v>5.7</v>
      </c>
      <c r="AD23" s="8">
        <f t="shared" si="2"/>
        <v>279.3</v>
      </c>
      <c r="AE23" s="8">
        <f t="shared" si="3"/>
        <v>210.89999999999998</v>
      </c>
      <c r="AF23" s="8">
        <f t="shared" si="4"/>
        <v>68.400000000000034</v>
      </c>
      <c r="AG23" s="9">
        <f t="shared" si="5"/>
        <v>0.24489795918367357</v>
      </c>
      <c r="AH23" s="10">
        <f t="shared" si="6"/>
        <v>2025</v>
      </c>
      <c r="AI23" s="10">
        <f t="shared" si="7"/>
        <v>2</v>
      </c>
      <c r="AJ23" s="10" t="str">
        <f t="shared" si="8"/>
        <v>2025-02</v>
      </c>
      <c r="AK23" s="10" t="str">
        <f t="shared" si="9"/>
        <v>T1</v>
      </c>
      <c r="AL23" s="10" t="str">
        <f t="shared" si="10"/>
        <v>22-29</v>
      </c>
      <c r="AM23" s="10" t="str">
        <f t="shared" si="11"/>
        <v>moyen</v>
      </c>
      <c r="AN23" s="10" t="s">
        <v>2839</v>
      </c>
      <c r="AO23" s="10" t="str">
        <f t="shared" si="12"/>
        <v>Faible</v>
      </c>
    </row>
    <row r="24" spans="1:41">
      <c r="A24" t="s">
        <v>231</v>
      </c>
      <c r="B24" s="2">
        <v>45877</v>
      </c>
      <c r="C24" t="s">
        <v>232</v>
      </c>
      <c r="D24" t="s">
        <v>155</v>
      </c>
      <c r="E24" t="s">
        <v>226</v>
      </c>
      <c r="F24" t="s">
        <v>233</v>
      </c>
      <c r="G24">
        <v>5</v>
      </c>
      <c r="H24" s="4">
        <v>48</v>
      </c>
      <c r="I24" s="3">
        <v>0.05</v>
      </c>
      <c r="J24" t="s">
        <v>90</v>
      </c>
      <c r="K24" t="s">
        <v>46</v>
      </c>
      <c r="L24" t="s">
        <v>234</v>
      </c>
      <c r="M24" t="s">
        <v>54</v>
      </c>
      <c r="N24" t="s">
        <v>101</v>
      </c>
      <c r="O24" t="s">
        <v>158</v>
      </c>
      <c r="P24" t="s">
        <v>51</v>
      </c>
      <c r="Q24" t="s">
        <v>143</v>
      </c>
      <c r="R24" t="s">
        <v>229</v>
      </c>
      <c r="S24" t="s">
        <v>48</v>
      </c>
      <c r="T24" t="s">
        <v>235</v>
      </c>
      <c r="U24" s="5">
        <v>33</v>
      </c>
      <c r="V24" s="5" t="s">
        <v>56</v>
      </c>
      <c r="W24" s="5">
        <v>33</v>
      </c>
      <c r="X24" s="5">
        <v>4.7</v>
      </c>
      <c r="Y24" s="5">
        <v>7</v>
      </c>
      <c r="Z24" s="5" t="s">
        <v>94</v>
      </c>
      <c r="AA24" s="6">
        <v>37.44</v>
      </c>
      <c r="AB24" s="8">
        <f t="shared" si="0"/>
        <v>240</v>
      </c>
      <c r="AC24" s="8">
        <f t="shared" si="1"/>
        <v>12</v>
      </c>
      <c r="AD24" s="8">
        <f t="shared" si="2"/>
        <v>228</v>
      </c>
      <c r="AE24" s="8">
        <f t="shared" si="3"/>
        <v>187.2</v>
      </c>
      <c r="AF24" s="8">
        <f t="shared" si="4"/>
        <v>40.800000000000011</v>
      </c>
      <c r="AG24" s="9">
        <f t="shared" si="5"/>
        <v>0.17894736842105269</v>
      </c>
      <c r="AH24" s="10">
        <f t="shared" si="6"/>
        <v>2025</v>
      </c>
      <c r="AI24" s="10">
        <f t="shared" si="7"/>
        <v>8</v>
      </c>
      <c r="AJ24" s="10" t="str">
        <f t="shared" si="8"/>
        <v>2025-08</v>
      </c>
      <c r="AK24" s="10" t="str">
        <f t="shared" si="9"/>
        <v>T3</v>
      </c>
      <c r="AL24" s="10" t="str">
        <f t="shared" si="10"/>
        <v>30-39</v>
      </c>
      <c r="AM24" s="10" t="str">
        <f t="shared" si="11"/>
        <v>faible</v>
      </c>
      <c r="AN24" s="10" t="s">
        <v>2837</v>
      </c>
      <c r="AO24" s="10" t="str">
        <f t="shared" si="12"/>
        <v>Faible</v>
      </c>
    </row>
    <row r="25" spans="1:41">
      <c r="A25" t="s">
        <v>236</v>
      </c>
      <c r="B25" s="2">
        <v>45958</v>
      </c>
      <c r="C25" t="s">
        <v>237</v>
      </c>
      <c r="D25" t="s">
        <v>155</v>
      </c>
      <c r="E25" t="s">
        <v>207</v>
      </c>
      <c r="F25" t="s">
        <v>238</v>
      </c>
      <c r="G25">
        <v>1</v>
      </c>
      <c r="H25" s="4">
        <v>48</v>
      </c>
      <c r="I25" s="3">
        <v>0</v>
      </c>
      <c r="J25" t="s">
        <v>90</v>
      </c>
      <c r="K25" t="s">
        <v>46</v>
      </c>
      <c r="L25" t="s">
        <v>239</v>
      </c>
      <c r="M25" t="s">
        <v>123</v>
      </c>
      <c r="N25" t="s">
        <v>49</v>
      </c>
      <c r="O25" t="s">
        <v>158</v>
      </c>
      <c r="P25" t="s">
        <v>51</v>
      </c>
      <c r="Q25" t="s">
        <v>143</v>
      </c>
      <c r="R25" t="s">
        <v>210</v>
      </c>
      <c r="S25" t="s">
        <v>79</v>
      </c>
      <c r="T25" t="s">
        <v>240</v>
      </c>
      <c r="U25" s="5">
        <v>35</v>
      </c>
      <c r="V25" s="5" t="s">
        <v>56</v>
      </c>
      <c r="W25" s="5">
        <v>44</v>
      </c>
      <c r="X25" s="5">
        <v>5.6</v>
      </c>
      <c r="Y25" s="5">
        <v>5</v>
      </c>
      <c r="Z25" s="5" t="s">
        <v>57</v>
      </c>
      <c r="AA25" s="6">
        <v>37.44</v>
      </c>
      <c r="AB25" s="8">
        <f t="shared" si="0"/>
        <v>48</v>
      </c>
      <c r="AC25" s="8">
        <f t="shared" si="1"/>
        <v>0</v>
      </c>
      <c r="AD25" s="8">
        <f t="shared" si="2"/>
        <v>48</v>
      </c>
      <c r="AE25" s="8">
        <f t="shared" si="3"/>
        <v>37.44</v>
      </c>
      <c r="AF25" s="8">
        <f t="shared" si="4"/>
        <v>10.560000000000002</v>
      </c>
      <c r="AG25" s="9">
        <f t="shared" si="5"/>
        <v>0.22000000000000006</v>
      </c>
      <c r="AH25" s="10">
        <f t="shared" si="6"/>
        <v>2025</v>
      </c>
      <c r="AI25" s="10">
        <f t="shared" si="7"/>
        <v>10</v>
      </c>
      <c r="AJ25" s="10" t="str">
        <f t="shared" si="8"/>
        <v>2025-10</v>
      </c>
      <c r="AK25" s="10" t="str">
        <f t="shared" si="9"/>
        <v>T4</v>
      </c>
      <c r="AL25" s="10" t="str">
        <f t="shared" si="10"/>
        <v>30-39</v>
      </c>
      <c r="AM25" s="10" t="str">
        <f t="shared" si="11"/>
        <v>moyen</v>
      </c>
      <c r="AN25" s="10" t="s">
        <v>2839</v>
      </c>
      <c r="AO25" s="10" t="str">
        <f t="shared" si="12"/>
        <v>Faible</v>
      </c>
    </row>
    <row r="26" spans="1:41">
      <c r="A26" t="s">
        <v>241</v>
      </c>
      <c r="B26" s="2">
        <v>45918</v>
      </c>
      <c r="C26" t="s">
        <v>242</v>
      </c>
      <c r="D26" t="s">
        <v>181</v>
      </c>
      <c r="E26" t="s">
        <v>98</v>
      </c>
      <c r="F26" t="s">
        <v>243</v>
      </c>
      <c r="G26">
        <v>1</v>
      </c>
      <c r="H26" s="4">
        <v>145</v>
      </c>
      <c r="I26" s="3">
        <v>0.02</v>
      </c>
      <c r="J26" t="s">
        <v>63</v>
      </c>
      <c r="K26" t="s">
        <v>46</v>
      </c>
      <c r="L26" t="s">
        <v>244</v>
      </c>
      <c r="M26" t="s">
        <v>65</v>
      </c>
      <c r="N26" t="s">
        <v>80</v>
      </c>
      <c r="O26" t="s">
        <v>184</v>
      </c>
      <c r="P26" t="s">
        <v>103</v>
      </c>
      <c r="Q26" t="s">
        <v>52</v>
      </c>
      <c r="R26" t="s">
        <v>104</v>
      </c>
      <c r="S26" t="s">
        <v>79</v>
      </c>
      <c r="T26" t="s">
        <v>245</v>
      </c>
      <c r="U26" s="5">
        <v>49</v>
      </c>
      <c r="V26" s="5" t="s">
        <v>85</v>
      </c>
      <c r="W26" s="5">
        <v>4</v>
      </c>
      <c r="X26" s="5">
        <v>5.7</v>
      </c>
      <c r="Y26" s="5">
        <v>5</v>
      </c>
      <c r="Z26" s="5" t="s">
        <v>117</v>
      </c>
      <c r="AA26" s="6">
        <v>97.15</v>
      </c>
      <c r="AB26" s="8">
        <f t="shared" si="0"/>
        <v>145</v>
      </c>
      <c r="AC26" s="8">
        <f t="shared" si="1"/>
        <v>2.9</v>
      </c>
      <c r="AD26" s="8">
        <f t="shared" si="2"/>
        <v>142.1</v>
      </c>
      <c r="AE26" s="8">
        <f t="shared" si="3"/>
        <v>97.15</v>
      </c>
      <c r="AF26" s="8">
        <f t="shared" si="4"/>
        <v>44.949999999999989</v>
      </c>
      <c r="AG26" s="9">
        <f t="shared" si="5"/>
        <v>0.31632653061224481</v>
      </c>
      <c r="AH26" s="10">
        <f t="shared" si="6"/>
        <v>2025</v>
      </c>
      <c r="AI26" s="10">
        <f t="shared" si="7"/>
        <v>9</v>
      </c>
      <c r="AJ26" s="10" t="str">
        <f t="shared" si="8"/>
        <v>2025-09</v>
      </c>
      <c r="AK26" s="10" t="str">
        <f t="shared" si="9"/>
        <v>T3</v>
      </c>
      <c r="AL26" s="10" t="str">
        <f t="shared" si="10"/>
        <v>40-49</v>
      </c>
      <c r="AM26" s="10" t="str">
        <f t="shared" si="11"/>
        <v>moyen</v>
      </c>
      <c r="AN26" s="10" t="s">
        <v>2839</v>
      </c>
      <c r="AO26" s="10" t="str">
        <f t="shared" si="12"/>
        <v>Faible</v>
      </c>
    </row>
    <row r="27" spans="1:41">
      <c r="A27" t="s">
        <v>246</v>
      </c>
      <c r="B27" s="2">
        <v>45680</v>
      </c>
      <c r="C27" t="s">
        <v>247</v>
      </c>
      <c r="D27" t="s">
        <v>128</v>
      </c>
      <c r="E27" t="s">
        <v>163</v>
      </c>
      <c r="F27" t="s">
        <v>248</v>
      </c>
      <c r="G27">
        <v>1</v>
      </c>
      <c r="H27" s="4">
        <v>190</v>
      </c>
      <c r="I27" s="3">
        <v>0</v>
      </c>
      <c r="J27" t="s">
        <v>63</v>
      </c>
      <c r="K27" t="s">
        <v>46</v>
      </c>
      <c r="L27" t="s">
        <v>249</v>
      </c>
      <c r="M27" t="s">
        <v>65</v>
      </c>
      <c r="N27" t="s">
        <v>112</v>
      </c>
      <c r="O27" t="s">
        <v>132</v>
      </c>
      <c r="P27" t="s">
        <v>133</v>
      </c>
      <c r="Q27" t="s">
        <v>52</v>
      </c>
      <c r="R27" t="s">
        <v>167</v>
      </c>
      <c r="S27" t="s">
        <v>123</v>
      </c>
      <c r="T27" t="s">
        <v>250</v>
      </c>
      <c r="U27" s="5">
        <v>31</v>
      </c>
      <c r="V27" s="5" t="s">
        <v>56</v>
      </c>
      <c r="W27" s="5">
        <v>50</v>
      </c>
      <c r="X27" s="5">
        <v>3.4</v>
      </c>
      <c r="Y27" s="5">
        <v>9</v>
      </c>
      <c r="Z27" s="5" t="s">
        <v>71</v>
      </c>
      <c r="AA27" s="6">
        <v>148.19999999999999</v>
      </c>
      <c r="AB27" s="8">
        <f t="shared" si="0"/>
        <v>190</v>
      </c>
      <c r="AC27" s="8">
        <f t="shared" si="1"/>
        <v>0</v>
      </c>
      <c r="AD27" s="8">
        <f t="shared" si="2"/>
        <v>190</v>
      </c>
      <c r="AE27" s="8">
        <f t="shared" si="3"/>
        <v>148.19999999999999</v>
      </c>
      <c r="AF27" s="8">
        <f t="shared" si="4"/>
        <v>41.800000000000011</v>
      </c>
      <c r="AG27" s="9">
        <f t="shared" si="5"/>
        <v>0.22000000000000006</v>
      </c>
      <c r="AH27" s="10">
        <f t="shared" si="6"/>
        <v>2025</v>
      </c>
      <c r="AI27" s="10">
        <f t="shared" si="7"/>
        <v>1</v>
      </c>
      <c r="AJ27" s="10" t="str">
        <f t="shared" si="8"/>
        <v>2025-01</v>
      </c>
      <c r="AK27" s="10" t="str">
        <f t="shared" si="9"/>
        <v>T1</v>
      </c>
      <c r="AL27" s="10" t="str">
        <f t="shared" si="10"/>
        <v>30-39</v>
      </c>
      <c r="AM27" s="10" t="str">
        <f t="shared" si="11"/>
        <v>faible</v>
      </c>
      <c r="AN27" s="10" t="s">
        <v>2837</v>
      </c>
      <c r="AO27" s="10" t="str">
        <f t="shared" si="12"/>
        <v>Faible</v>
      </c>
    </row>
    <row r="28" spans="1:41">
      <c r="A28" t="s">
        <v>251</v>
      </c>
      <c r="B28" s="2">
        <v>45732</v>
      </c>
      <c r="C28" t="s">
        <v>252</v>
      </c>
      <c r="D28" t="s">
        <v>74</v>
      </c>
      <c r="E28" t="s">
        <v>61</v>
      </c>
      <c r="F28" t="s">
        <v>253</v>
      </c>
      <c r="G28">
        <v>1</v>
      </c>
      <c r="H28" s="4">
        <v>95</v>
      </c>
      <c r="I28" s="3">
        <v>0</v>
      </c>
      <c r="J28" t="s">
        <v>77</v>
      </c>
      <c r="K28" t="s">
        <v>46</v>
      </c>
      <c r="L28" t="s">
        <v>254</v>
      </c>
      <c r="M28" t="s">
        <v>48</v>
      </c>
      <c r="N28" t="s">
        <v>255</v>
      </c>
      <c r="O28" t="s">
        <v>81</v>
      </c>
      <c r="P28" t="s">
        <v>82</v>
      </c>
      <c r="Q28" t="s">
        <v>52</v>
      </c>
      <c r="R28" t="s">
        <v>68</v>
      </c>
      <c r="S28" t="s">
        <v>69</v>
      </c>
      <c r="T28" t="s">
        <v>256</v>
      </c>
      <c r="U28" s="5">
        <v>37</v>
      </c>
      <c r="V28" s="5" t="s">
        <v>56</v>
      </c>
      <c r="W28" s="5">
        <v>41</v>
      </c>
      <c r="X28" s="5">
        <v>4.0999999999999996</v>
      </c>
      <c r="Y28" s="5">
        <v>8</v>
      </c>
      <c r="Z28" s="5" t="s">
        <v>57</v>
      </c>
      <c r="AA28" s="6">
        <v>70.3</v>
      </c>
      <c r="AB28" s="8">
        <f t="shared" si="0"/>
        <v>95</v>
      </c>
      <c r="AC28" s="8">
        <f t="shared" si="1"/>
        <v>0</v>
      </c>
      <c r="AD28" s="8">
        <f t="shared" si="2"/>
        <v>95</v>
      </c>
      <c r="AE28" s="8">
        <f t="shared" si="3"/>
        <v>70.3</v>
      </c>
      <c r="AF28" s="8">
        <f t="shared" si="4"/>
        <v>24.700000000000003</v>
      </c>
      <c r="AG28" s="9">
        <f t="shared" si="5"/>
        <v>0.26</v>
      </c>
      <c r="AH28" s="10">
        <f t="shared" si="6"/>
        <v>2025</v>
      </c>
      <c r="AI28" s="10">
        <f t="shared" si="7"/>
        <v>3</v>
      </c>
      <c r="AJ28" s="10" t="str">
        <f t="shared" si="8"/>
        <v>2025-03</v>
      </c>
      <c r="AK28" s="10" t="str">
        <f t="shared" si="9"/>
        <v>T1</v>
      </c>
      <c r="AL28" s="10" t="str">
        <f t="shared" si="10"/>
        <v>30-39</v>
      </c>
      <c r="AM28" s="10" t="str">
        <f t="shared" si="11"/>
        <v>faible</v>
      </c>
      <c r="AN28" s="10" t="s">
        <v>2837</v>
      </c>
      <c r="AO28" s="10" t="str">
        <f t="shared" si="12"/>
        <v>Faible</v>
      </c>
    </row>
    <row r="29" spans="1:41">
      <c r="A29" t="s">
        <v>257</v>
      </c>
      <c r="B29" s="2">
        <v>45917</v>
      </c>
      <c r="C29" t="s">
        <v>258</v>
      </c>
      <c r="D29" t="s">
        <v>42</v>
      </c>
      <c r="E29" t="s">
        <v>219</v>
      </c>
      <c r="F29" t="s">
        <v>259</v>
      </c>
      <c r="G29">
        <v>4</v>
      </c>
      <c r="H29" s="4">
        <v>260</v>
      </c>
      <c r="I29" s="3">
        <v>0.05</v>
      </c>
      <c r="J29" t="s">
        <v>90</v>
      </c>
      <c r="K29" t="s">
        <v>46</v>
      </c>
      <c r="L29" t="s">
        <v>260</v>
      </c>
      <c r="M29" t="s">
        <v>123</v>
      </c>
      <c r="N29" t="s">
        <v>255</v>
      </c>
      <c r="O29" t="s">
        <v>50</v>
      </c>
      <c r="P29" t="s">
        <v>51</v>
      </c>
      <c r="Q29" t="s">
        <v>52</v>
      </c>
      <c r="R29" t="s">
        <v>222</v>
      </c>
      <c r="S29" t="s">
        <v>123</v>
      </c>
      <c r="T29" t="s">
        <v>261</v>
      </c>
      <c r="U29" s="5">
        <v>60</v>
      </c>
      <c r="V29" s="5" t="s">
        <v>85</v>
      </c>
      <c r="W29" s="5">
        <v>7</v>
      </c>
      <c r="X29" s="5">
        <v>8</v>
      </c>
      <c r="Y29" s="5">
        <v>1</v>
      </c>
      <c r="Z29" s="5" t="s">
        <v>94</v>
      </c>
      <c r="AA29" s="6">
        <v>189.8</v>
      </c>
      <c r="AB29" s="8">
        <f t="shared" si="0"/>
        <v>1040</v>
      </c>
      <c r="AC29" s="8">
        <f t="shared" si="1"/>
        <v>52</v>
      </c>
      <c r="AD29" s="8">
        <f t="shared" si="2"/>
        <v>988</v>
      </c>
      <c r="AE29" s="8">
        <f t="shared" si="3"/>
        <v>759.2</v>
      </c>
      <c r="AF29" s="8">
        <f t="shared" si="4"/>
        <v>228.79999999999995</v>
      </c>
      <c r="AG29" s="9">
        <f t="shared" si="5"/>
        <v>0.231578947368421</v>
      </c>
      <c r="AH29" s="10">
        <f t="shared" si="6"/>
        <v>2025</v>
      </c>
      <c r="AI29" s="10">
        <f t="shared" si="7"/>
        <v>9</v>
      </c>
      <c r="AJ29" s="10" t="str">
        <f t="shared" si="8"/>
        <v>2025-09</v>
      </c>
      <c r="AK29" s="10" t="str">
        <f t="shared" si="9"/>
        <v>T3</v>
      </c>
      <c r="AL29" s="10" t="str">
        <f t="shared" si="10"/>
        <v>50+</v>
      </c>
      <c r="AM29" s="10" t="str">
        <f t="shared" si="11"/>
        <v>bon</v>
      </c>
      <c r="AN29" s="10" t="s">
        <v>2838</v>
      </c>
      <c r="AO29" s="10" t="str">
        <f t="shared" si="12"/>
        <v>Moyenne</v>
      </c>
    </row>
    <row r="30" spans="1:41">
      <c r="A30" t="s">
        <v>262</v>
      </c>
      <c r="B30" s="2">
        <v>45693</v>
      </c>
      <c r="C30" t="s">
        <v>263</v>
      </c>
      <c r="D30" t="s">
        <v>181</v>
      </c>
      <c r="E30" t="s">
        <v>88</v>
      </c>
      <c r="F30" t="s">
        <v>208</v>
      </c>
      <c r="G30">
        <v>2</v>
      </c>
      <c r="H30" s="4">
        <v>145</v>
      </c>
      <c r="I30" s="3">
        <v>0.08</v>
      </c>
      <c r="J30" t="s">
        <v>63</v>
      </c>
      <c r="K30" t="s">
        <v>46</v>
      </c>
      <c r="L30" t="s">
        <v>264</v>
      </c>
      <c r="M30" t="s">
        <v>65</v>
      </c>
      <c r="N30" t="s">
        <v>101</v>
      </c>
      <c r="O30" t="s">
        <v>184</v>
      </c>
      <c r="P30" t="s">
        <v>103</v>
      </c>
      <c r="Q30" t="s">
        <v>52</v>
      </c>
      <c r="R30" t="s">
        <v>92</v>
      </c>
      <c r="S30" t="s">
        <v>48</v>
      </c>
      <c r="T30" t="s">
        <v>211</v>
      </c>
      <c r="U30" s="5">
        <v>32</v>
      </c>
      <c r="V30" s="5" t="s">
        <v>56</v>
      </c>
      <c r="W30" s="5">
        <v>28</v>
      </c>
      <c r="X30" s="5">
        <v>6.3</v>
      </c>
      <c r="Y30" s="5">
        <v>5</v>
      </c>
      <c r="Z30" s="5" t="s">
        <v>57</v>
      </c>
      <c r="AA30" s="6">
        <v>97.15</v>
      </c>
      <c r="AB30" s="8">
        <f t="shared" si="0"/>
        <v>290</v>
      </c>
      <c r="AC30" s="8">
        <f t="shared" si="1"/>
        <v>23.2</v>
      </c>
      <c r="AD30" s="8">
        <f t="shared" si="2"/>
        <v>266.8</v>
      </c>
      <c r="AE30" s="8">
        <f t="shared" si="3"/>
        <v>194.3</v>
      </c>
      <c r="AF30" s="8">
        <f t="shared" si="4"/>
        <v>72.5</v>
      </c>
      <c r="AG30" s="9">
        <f t="shared" si="5"/>
        <v>0.27173913043478259</v>
      </c>
      <c r="AH30" s="10">
        <f t="shared" si="6"/>
        <v>2025</v>
      </c>
      <c r="AI30" s="10">
        <f t="shared" si="7"/>
        <v>2</v>
      </c>
      <c r="AJ30" s="10" t="str">
        <f t="shared" si="8"/>
        <v>2025-02</v>
      </c>
      <c r="AK30" s="10" t="str">
        <f t="shared" si="9"/>
        <v>T1</v>
      </c>
      <c r="AL30" s="10" t="str">
        <f t="shared" si="10"/>
        <v>30-39</v>
      </c>
      <c r="AM30" s="10" t="str">
        <f t="shared" si="11"/>
        <v>moyen</v>
      </c>
      <c r="AN30" s="10" t="s">
        <v>2839</v>
      </c>
      <c r="AO30" s="10" t="str">
        <f t="shared" si="12"/>
        <v>Faible</v>
      </c>
    </row>
    <row r="31" spans="1:41">
      <c r="A31" t="s">
        <v>265</v>
      </c>
      <c r="B31" s="2">
        <v>45811</v>
      </c>
      <c r="C31" t="s">
        <v>266</v>
      </c>
      <c r="D31" t="s">
        <v>108</v>
      </c>
      <c r="E31" t="s">
        <v>189</v>
      </c>
      <c r="F31" t="s">
        <v>267</v>
      </c>
      <c r="G31">
        <v>2</v>
      </c>
      <c r="H31" s="4">
        <v>240</v>
      </c>
      <c r="I31" s="3">
        <v>0</v>
      </c>
      <c r="J31" t="s">
        <v>90</v>
      </c>
      <c r="K31" t="s">
        <v>46</v>
      </c>
      <c r="L31" t="s">
        <v>268</v>
      </c>
      <c r="M31" t="s">
        <v>48</v>
      </c>
      <c r="N31" t="s">
        <v>101</v>
      </c>
      <c r="O31" t="s">
        <v>113</v>
      </c>
      <c r="P31" t="s">
        <v>82</v>
      </c>
      <c r="Q31" t="s">
        <v>114</v>
      </c>
      <c r="R31" t="s">
        <v>193</v>
      </c>
      <c r="S31" t="s">
        <v>79</v>
      </c>
      <c r="T31" t="s">
        <v>269</v>
      </c>
      <c r="U31" s="5">
        <v>52</v>
      </c>
      <c r="V31" s="5" t="s">
        <v>85</v>
      </c>
      <c r="W31" s="5">
        <v>42</v>
      </c>
      <c r="X31" s="5">
        <v>3.9</v>
      </c>
      <c r="Y31" s="5">
        <v>8</v>
      </c>
      <c r="Z31" s="5" t="s">
        <v>117</v>
      </c>
      <c r="AA31" s="6">
        <v>177.6</v>
      </c>
      <c r="AB31" s="8">
        <f t="shared" si="0"/>
        <v>480</v>
      </c>
      <c r="AC31" s="8">
        <f t="shared" si="1"/>
        <v>0</v>
      </c>
      <c r="AD31" s="8">
        <f t="shared" si="2"/>
        <v>480</v>
      </c>
      <c r="AE31" s="8">
        <f t="shared" si="3"/>
        <v>355.2</v>
      </c>
      <c r="AF31" s="8">
        <f t="shared" si="4"/>
        <v>124.80000000000001</v>
      </c>
      <c r="AG31" s="9">
        <f t="shared" si="5"/>
        <v>0.26</v>
      </c>
      <c r="AH31" s="10">
        <f t="shared" si="6"/>
        <v>2025</v>
      </c>
      <c r="AI31" s="10">
        <f t="shared" si="7"/>
        <v>6</v>
      </c>
      <c r="AJ31" s="10" t="str">
        <f t="shared" si="8"/>
        <v>2025-06</v>
      </c>
      <c r="AK31" s="10" t="str">
        <f t="shared" si="9"/>
        <v>T2</v>
      </c>
      <c r="AL31" s="10" t="str">
        <f t="shared" si="10"/>
        <v>50+</v>
      </c>
      <c r="AM31" s="10" t="str">
        <f t="shared" si="11"/>
        <v>faible</v>
      </c>
      <c r="AN31" s="10" t="s">
        <v>2837</v>
      </c>
      <c r="AO31" s="10" t="str">
        <f t="shared" si="12"/>
        <v>Faible</v>
      </c>
    </row>
    <row r="32" spans="1:41">
      <c r="A32" t="s">
        <v>270</v>
      </c>
      <c r="B32" s="2">
        <v>45659</v>
      </c>
      <c r="C32" t="s">
        <v>271</v>
      </c>
      <c r="D32" t="s">
        <v>272</v>
      </c>
      <c r="E32" t="s">
        <v>163</v>
      </c>
      <c r="F32" t="s">
        <v>121</v>
      </c>
      <c r="G32">
        <v>3</v>
      </c>
      <c r="H32" s="4">
        <v>420</v>
      </c>
      <c r="I32" s="3">
        <v>0.08</v>
      </c>
      <c r="J32" t="s">
        <v>45</v>
      </c>
      <c r="K32" t="s">
        <v>46</v>
      </c>
      <c r="L32" t="s">
        <v>273</v>
      </c>
      <c r="M32" t="s">
        <v>123</v>
      </c>
      <c r="N32" t="s">
        <v>49</v>
      </c>
      <c r="O32" t="s">
        <v>274</v>
      </c>
      <c r="P32" t="s">
        <v>133</v>
      </c>
      <c r="Q32" t="s">
        <v>114</v>
      </c>
      <c r="R32" t="s">
        <v>167</v>
      </c>
      <c r="S32" t="s">
        <v>123</v>
      </c>
      <c r="T32" t="s">
        <v>125</v>
      </c>
      <c r="U32" s="5">
        <v>44</v>
      </c>
      <c r="V32" s="5" t="s">
        <v>56</v>
      </c>
      <c r="W32" s="5">
        <v>42</v>
      </c>
      <c r="X32" s="5">
        <v>4.8</v>
      </c>
      <c r="Y32" s="5">
        <v>6</v>
      </c>
      <c r="Z32" s="5" t="s">
        <v>57</v>
      </c>
      <c r="AA32" s="6">
        <v>273</v>
      </c>
      <c r="AB32" s="8">
        <f t="shared" si="0"/>
        <v>1260</v>
      </c>
      <c r="AC32" s="8">
        <f t="shared" si="1"/>
        <v>100.8</v>
      </c>
      <c r="AD32" s="8">
        <f t="shared" si="2"/>
        <v>1159.2</v>
      </c>
      <c r="AE32" s="8">
        <f t="shared" si="3"/>
        <v>819</v>
      </c>
      <c r="AF32" s="8">
        <f t="shared" si="4"/>
        <v>340.20000000000005</v>
      </c>
      <c r="AG32" s="9">
        <f t="shared" si="5"/>
        <v>0.29347826086956524</v>
      </c>
      <c r="AH32" s="10">
        <f t="shared" si="6"/>
        <v>2025</v>
      </c>
      <c r="AI32" s="10">
        <f t="shared" si="7"/>
        <v>1</v>
      </c>
      <c r="AJ32" s="10" t="str">
        <f t="shared" si="8"/>
        <v>2025-01</v>
      </c>
      <c r="AK32" s="10" t="str">
        <f t="shared" si="9"/>
        <v>T1</v>
      </c>
      <c r="AL32" s="10" t="str">
        <f t="shared" si="10"/>
        <v>40-49</v>
      </c>
      <c r="AM32" s="10" t="str">
        <f t="shared" si="11"/>
        <v>faible</v>
      </c>
      <c r="AN32" s="10" t="s">
        <v>2839</v>
      </c>
      <c r="AO32" s="10" t="str">
        <f t="shared" si="12"/>
        <v>Elevée</v>
      </c>
    </row>
    <row r="33" spans="1:41">
      <c r="A33" t="s">
        <v>275</v>
      </c>
      <c r="B33" s="2">
        <v>45827</v>
      </c>
      <c r="C33" t="s">
        <v>276</v>
      </c>
      <c r="D33" t="s">
        <v>162</v>
      </c>
      <c r="E33" t="s">
        <v>277</v>
      </c>
      <c r="F33" t="s">
        <v>175</v>
      </c>
      <c r="G33">
        <v>4</v>
      </c>
      <c r="H33" s="4">
        <v>35</v>
      </c>
      <c r="I33" s="3">
        <v>0.02</v>
      </c>
      <c r="J33" t="s">
        <v>45</v>
      </c>
      <c r="K33" t="s">
        <v>46</v>
      </c>
      <c r="L33" t="s">
        <v>278</v>
      </c>
      <c r="M33" t="s">
        <v>69</v>
      </c>
      <c r="N33" t="s">
        <v>80</v>
      </c>
      <c r="O33" t="s">
        <v>166</v>
      </c>
      <c r="P33" t="s">
        <v>103</v>
      </c>
      <c r="Q33" t="s">
        <v>143</v>
      </c>
      <c r="R33" t="s">
        <v>279</v>
      </c>
      <c r="S33" t="s">
        <v>54</v>
      </c>
      <c r="T33" t="s">
        <v>178</v>
      </c>
      <c r="U33" s="5">
        <v>47</v>
      </c>
      <c r="V33" s="5" t="s">
        <v>56</v>
      </c>
      <c r="W33" s="5">
        <v>67</v>
      </c>
      <c r="X33" s="5">
        <v>7.9</v>
      </c>
      <c r="Y33" s="5">
        <v>1</v>
      </c>
      <c r="Z33" s="5" t="s">
        <v>94</v>
      </c>
      <c r="AA33" s="6">
        <v>24.15</v>
      </c>
      <c r="AB33" s="8">
        <f t="shared" si="0"/>
        <v>140</v>
      </c>
      <c r="AC33" s="8">
        <f t="shared" si="1"/>
        <v>2.8000000000000003</v>
      </c>
      <c r="AD33" s="8">
        <f t="shared" si="2"/>
        <v>137.19999999999999</v>
      </c>
      <c r="AE33" s="8">
        <f t="shared" si="3"/>
        <v>96.6</v>
      </c>
      <c r="AF33" s="8">
        <f t="shared" si="4"/>
        <v>40.599999999999994</v>
      </c>
      <c r="AG33" s="9">
        <f t="shared" si="5"/>
        <v>0.29591836734693877</v>
      </c>
      <c r="AH33" s="10">
        <f t="shared" si="6"/>
        <v>2025</v>
      </c>
      <c r="AI33" s="10">
        <f t="shared" si="7"/>
        <v>6</v>
      </c>
      <c r="AJ33" s="10" t="str">
        <f t="shared" si="8"/>
        <v>2025-06</v>
      </c>
      <c r="AK33" s="10" t="str">
        <f t="shared" si="9"/>
        <v>T2</v>
      </c>
      <c r="AL33" s="10" t="str">
        <f t="shared" si="10"/>
        <v>40-49</v>
      </c>
      <c r="AM33" s="10" t="str">
        <f t="shared" si="11"/>
        <v>bon</v>
      </c>
      <c r="AN33" s="10" t="s">
        <v>2838</v>
      </c>
      <c r="AO33" s="10" t="str">
        <f t="shared" si="12"/>
        <v>Faible</v>
      </c>
    </row>
    <row r="34" spans="1:41">
      <c r="A34" t="s">
        <v>280</v>
      </c>
      <c r="B34" s="2">
        <v>45841</v>
      </c>
      <c r="C34" t="s">
        <v>281</v>
      </c>
      <c r="D34" t="s">
        <v>60</v>
      </c>
      <c r="E34" t="s">
        <v>120</v>
      </c>
      <c r="F34" t="s">
        <v>282</v>
      </c>
      <c r="G34">
        <v>1</v>
      </c>
      <c r="H34" s="4">
        <v>180</v>
      </c>
      <c r="I34" s="3">
        <v>0</v>
      </c>
      <c r="J34" t="s">
        <v>45</v>
      </c>
      <c r="K34" t="s">
        <v>46</v>
      </c>
      <c r="L34" t="s">
        <v>283</v>
      </c>
      <c r="M34" t="s">
        <v>123</v>
      </c>
      <c r="N34" t="s">
        <v>49</v>
      </c>
      <c r="O34" t="s">
        <v>66</v>
      </c>
      <c r="P34" t="s">
        <v>67</v>
      </c>
      <c r="Q34" t="s">
        <v>52</v>
      </c>
      <c r="R34" t="s">
        <v>124</v>
      </c>
      <c r="S34" t="s">
        <v>48</v>
      </c>
      <c r="T34" t="s">
        <v>284</v>
      </c>
      <c r="U34" s="5">
        <v>30</v>
      </c>
      <c r="V34" s="5" t="s">
        <v>56</v>
      </c>
      <c r="W34" s="5">
        <v>6</v>
      </c>
      <c r="X34" s="5">
        <v>3.7</v>
      </c>
      <c r="Y34" s="5">
        <v>8</v>
      </c>
      <c r="Z34" s="5" t="s">
        <v>117</v>
      </c>
      <c r="AA34" s="6">
        <v>129.6</v>
      </c>
      <c r="AB34" s="8">
        <f t="shared" si="0"/>
        <v>180</v>
      </c>
      <c r="AC34" s="8">
        <f t="shared" si="1"/>
        <v>0</v>
      </c>
      <c r="AD34" s="8">
        <f t="shared" si="2"/>
        <v>180</v>
      </c>
      <c r="AE34" s="8">
        <f t="shared" si="3"/>
        <v>129.6</v>
      </c>
      <c r="AF34" s="8">
        <f t="shared" si="4"/>
        <v>50.400000000000006</v>
      </c>
      <c r="AG34" s="9">
        <f t="shared" si="5"/>
        <v>0.28000000000000003</v>
      </c>
      <c r="AH34" s="10">
        <f t="shared" si="6"/>
        <v>2025</v>
      </c>
      <c r="AI34" s="10">
        <f t="shared" si="7"/>
        <v>7</v>
      </c>
      <c r="AJ34" s="10" t="str">
        <f t="shared" si="8"/>
        <v>2025-07</v>
      </c>
      <c r="AK34" s="10" t="str">
        <f t="shared" si="9"/>
        <v>T3</v>
      </c>
      <c r="AL34" s="10" t="str">
        <f t="shared" si="10"/>
        <v>30-39</v>
      </c>
      <c r="AM34" s="10" t="str">
        <f t="shared" si="11"/>
        <v>faible</v>
      </c>
      <c r="AN34" s="10" t="s">
        <v>2837</v>
      </c>
      <c r="AO34" s="10" t="str">
        <f t="shared" si="12"/>
        <v>Faible</v>
      </c>
    </row>
    <row r="35" spans="1:41">
      <c r="A35" t="s">
        <v>285</v>
      </c>
      <c r="B35" s="2">
        <v>45759</v>
      </c>
      <c r="C35" t="s">
        <v>286</v>
      </c>
      <c r="D35" t="s">
        <v>60</v>
      </c>
      <c r="E35" t="s">
        <v>219</v>
      </c>
      <c r="F35" t="s">
        <v>287</v>
      </c>
      <c r="G35">
        <v>1</v>
      </c>
      <c r="H35" s="4">
        <v>180</v>
      </c>
      <c r="I35" s="3">
        <v>0</v>
      </c>
      <c r="J35" t="s">
        <v>45</v>
      </c>
      <c r="K35" t="s">
        <v>46</v>
      </c>
      <c r="L35" t="s">
        <v>288</v>
      </c>
      <c r="M35" t="s">
        <v>48</v>
      </c>
      <c r="N35" t="s">
        <v>112</v>
      </c>
      <c r="O35" t="s">
        <v>66</v>
      </c>
      <c r="P35" t="s">
        <v>67</v>
      </c>
      <c r="Q35" t="s">
        <v>52</v>
      </c>
      <c r="R35" t="s">
        <v>222</v>
      </c>
      <c r="S35" t="s">
        <v>123</v>
      </c>
      <c r="T35" t="s">
        <v>289</v>
      </c>
      <c r="U35" s="5">
        <v>54</v>
      </c>
      <c r="V35" s="5" t="s">
        <v>56</v>
      </c>
      <c r="W35" s="5">
        <v>15</v>
      </c>
      <c r="X35" s="5">
        <v>7.2</v>
      </c>
      <c r="Y35" s="5">
        <v>2</v>
      </c>
      <c r="Z35" s="5" t="s">
        <v>57</v>
      </c>
      <c r="AA35" s="6">
        <v>129.6</v>
      </c>
      <c r="AB35" s="8">
        <f t="shared" si="0"/>
        <v>180</v>
      </c>
      <c r="AC35" s="8">
        <f t="shared" si="1"/>
        <v>0</v>
      </c>
      <c r="AD35" s="8">
        <f t="shared" si="2"/>
        <v>180</v>
      </c>
      <c r="AE35" s="8">
        <f t="shared" si="3"/>
        <v>129.6</v>
      </c>
      <c r="AF35" s="8">
        <f t="shared" si="4"/>
        <v>50.400000000000006</v>
      </c>
      <c r="AG35" s="9">
        <f t="shared" si="5"/>
        <v>0.28000000000000003</v>
      </c>
      <c r="AH35" s="10">
        <f t="shared" si="6"/>
        <v>2025</v>
      </c>
      <c r="AI35" s="10">
        <f t="shared" si="7"/>
        <v>4</v>
      </c>
      <c r="AJ35" s="10" t="str">
        <f t="shared" si="8"/>
        <v>2025-04</v>
      </c>
      <c r="AK35" s="10" t="str">
        <f t="shared" si="9"/>
        <v>T2</v>
      </c>
      <c r="AL35" s="10" t="str">
        <f t="shared" si="10"/>
        <v>50+</v>
      </c>
      <c r="AM35" s="10" t="str">
        <f t="shared" si="11"/>
        <v>bon</v>
      </c>
      <c r="AN35" s="10" t="s">
        <v>2838</v>
      </c>
      <c r="AO35" s="10" t="str">
        <f t="shared" si="12"/>
        <v>Faible</v>
      </c>
    </row>
    <row r="36" spans="1:41">
      <c r="A36" t="s">
        <v>290</v>
      </c>
      <c r="B36" s="2">
        <v>45714</v>
      </c>
      <c r="C36" t="s">
        <v>291</v>
      </c>
      <c r="D36" t="s">
        <v>42</v>
      </c>
      <c r="E36" t="s">
        <v>226</v>
      </c>
      <c r="F36" t="s">
        <v>292</v>
      </c>
      <c r="G36">
        <v>2</v>
      </c>
      <c r="H36" s="4">
        <v>260</v>
      </c>
      <c r="I36" s="3">
        <v>0</v>
      </c>
      <c r="J36" t="s">
        <v>77</v>
      </c>
      <c r="K36" t="s">
        <v>46</v>
      </c>
      <c r="L36" t="s">
        <v>293</v>
      </c>
      <c r="M36" t="s">
        <v>79</v>
      </c>
      <c r="N36" t="s">
        <v>101</v>
      </c>
      <c r="O36" t="s">
        <v>50</v>
      </c>
      <c r="P36" t="s">
        <v>51</v>
      </c>
      <c r="Q36" t="s">
        <v>52</v>
      </c>
      <c r="R36" t="s">
        <v>229</v>
      </c>
      <c r="S36" t="s">
        <v>48</v>
      </c>
      <c r="T36" t="s">
        <v>294</v>
      </c>
      <c r="U36" s="5">
        <v>58</v>
      </c>
      <c r="V36" s="5" t="s">
        <v>85</v>
      </c>
      <c r="W36" s="5">
        <v>64</v>
      </c>
      <c r="X36" s="5">
        <v>3.4</v>
      </c>
      <c r="Y36" s="5">
        <v>9</v>
      </c>
      <c r="Z36" s="5" t="s">
        <v>57</v>
      </c>
      <c r="AA36" s="6">
        <v>189.8</v>
      </c>
      <c r="AB36" s="8">
        <f t="shared" si="0"/>
        <v>520</v>
      </c>
      <c r="AC36" s="8">
        <f t="shared" si="1"/>
        <v>0</v>
      </c>
      <c r="AD36" s="8">
        <f t="shared" si="2"/>
        <v>520</v>
      </c>
      <c r="AE36" s="8">
        <f t="shared" si="3"/>
        <v>379.6</v>
      </c>
      <c r="AF36" s="8">
        <f t="shared" si="4"/>
        <v>140.39999999999998</v>
      </c>
      <c r="AG36" s="9">
        <f t="shared" si="5"/>
        <v>0.26999999999999996</v>
      </c>
      <c r="AH36" s="10">
        <f t="shared" si="6"/>
        <v>2025</v>
      </c>
      <c r="AI36" s="10">
        <f t="shared" si="7"/>
        <v>2</v>
      </c>
      <c r="AJ36" s="10" t="str">
        <f t="shared" si="8"/>
        <v>2025-02</v>
      </c>
      <c r="AK36" s="10" t="str">
        <f t="shared" si="9"/>
        <v>T1</v>
      </c>
      <c r="AL36" s="10" t="str">
        <f t="shared" si="10"/>
        <v>50+</v>
      </c>
      <c r="AM36" s="10" t="str">
        <f t="shared" si="11"/>
        <v>faible</v>
      </c>
      <c r="AN36" s="10" t="s">
        <v>2837</v>
      </c>
      <c r="AO36" s="10" t="str">
        <f t="shared" si="12"/>
        <v>Moyenne</v>
      </c>
    </row>
    <row r="37" spans="1:41">
      <c r="A37" t="s">
        <v>295</v>
      </c>
      <c r="B37" s="2">
        <v>45977</v>
      </c>
      <c r="C37" t="s">
        <v>296</v>
      </c>
      <c r="D37" t="s">
        <v>60</v>
      </c>
      <c r="E37" t="s">
        <v>75</v>
      </c>
      <c r="F37" t="s">
        <v>297</v>
      </c>
      <c r="G37">
        <v>5</v>
      </c>
      <c r="H37" s="4">
        <v>180</v>
      </c>
      <c r="I37" s="3">
        <v>0.08</v>
      </c>
      <c r="J37" t="s">
        <v>90</v>
      </c>
      <c r="K37" t="s">
        <v>46</v>
      </c>
      <c r="L37" t="s">
        <v>298</v>
      </c>
      <c r="M37" t="s">
        <v>79</v>
      </c>
      <c r="N37" t="s">
        <v>80</v>
      </c>
      <c r="O37" t="s">
        <v>66</v>
      </c>
      <c r="P37" t="s">
        <v>67</v>
      </c>
      <c r="Q37" t="s">
        <v>52</v>
      </c>
      <c r="R37" t="s">
        <v>83</v>
      </c>
      <c r="S37" t="s">
        <v>69</v>
      </c>
      <c r="T37" t="s">
        <v>299</v>
      </c>
      <c r="U37" s="5">
        <v>35</v>
      </c>
      <c r="V37" s="5" t="s">
        <v>85</v>
      </c>
      <c r="W37" s="5">
        <v>72</v>
      </c>
      <c r="X37" s="5">
        <v>4.5999999999999996</v>
      </c>
      <c r="Y37" s="5">
        <v>8</v>
      </c>
      <c r="Z37" s="5" t="s">
        <v>57</v>
      </c>
      <c r="AA37" s="6">
        <v>129.6</v>
      </c>
      <c r="AB37" s="8">
        <f t="shared" si="0"/>
        <v>900</v>
      </c>
      <c r="AC37" s="8">
        <f t="shared" si="1"/>
        <v>72</v>
      </c>
      <c r="AD37" s="8">
        <f t="shared" si="2"/>
        <v>828</v>
      </c>
      <c r="AE37" s="8">
        <f t="shared" si="3"/>
        <v>648</v>
      </c>
      <c r="AF37" s="8">
        <f t="shared" si="4"/>
        <v>180</v>
      </c>
      <c r="AG37" s="9">
        <f t="shared" si="5"/>
        <v>0.21739130434782608</v>
      </c>
      <c r="AH37" s="10">
        <f t="shared" si="6"/>
        <v>2025</v>
      </c>
      <c r="AI37" s="10">
        <f t="shared" si="7"/>
        <v>11</v>
      </c>
      <c r="AJ37" s="10" t="str">
        <f t="shared" si="8"/>
        <v>2025-11</v>
      </c>
      <c r="AK37" s="10" t="str">
        <f t="shared" si="9"/>
        <v>T4</v>
      </c>
      <c r="AL37" s="10" t="str">
        <f t="shared" si="10"/>
        <v>30-39</v>
      </c>
      <c r="AM37" s="10" t="str">
        <f t="shared" si="11"/>
        <v>faible</v>
      </c>
      <c r="AN37" s="10" t="s">
        <v>2837</v>
      </c>
      <c r="AO37" s="10" t="str">
        <f t="shared" si="12"/>
        <v>Moyenne</v>
      </c>
    </row>
    <row r="38" spans="1:41">
      <c r="A38" t="s">
        <v>300</v>
      </c>
      <c r="B38" s="2">
        <v>45932</v>
      </c>
      <c r="C38" t="s">
        <v>301</v>
      </c>
      <c r="D38" t="s">
        <v>188</v>
      </c>
      <c r="E38" t="s">
        <v>88</v>
      </c>
      <c r="F38" t="s">
        <v>302</v>
      </c>
      <c r="G38">
        <v>2</v>
      </c>
      <c r="H38" s="4">
        <v>350</v>
      </c>
      <c r="I38" s="3">
        <v>0</v>
      </c>
      <c r="J38" t="s">
        <v>77</v>
      </c>
      <c r="K38" t="s">
        <v>46</v>
      </c>
      <c r="L38" t="s">
        <v>303</v>
      </c>
      <c r="M38" t="s">
        <v>69</v>
      </c>
      <c r="N38" t="s">
        <v>112</v>
      </c>
      <c r="O38" t="s">
        <v>192</v>
      </c>
      <c r="P38" t="s">
        <v>51</v>
      </c>
      <c r="Q38" t="s">
        <v>114</v>
      </c>
      <c r="R38" t="s">
        <v>92</v>
      </c>
      <c r="S38" t="s">
        <v>48</v>
      </c>
      <c r="T38" t="s">
        <v>304</v>
      </c>
      <c r="U38" s="5">
        <v>35</v>
      </c>
      <c r="V38" s="5" t="s">
        <v>56</v>
      </c>
      <c r="W38" s="5">
        <v>23</v>
      </c>
      <c r="X38" s="5">
        <v>4.9000000000000004</v>
      </c>
      <c r="Y38" s="5">
        <v>7</v>
      </c>
      <c r="Z38" s="5" t="s">
        <v>117</v>
      </c>
      <c r="AA38" s="6">
        <v>213.5</v>
      </c>
      <c r="AB38" s="8">
        <f t="shared" si="0"/>
        <v>700</v>
      </c>
      <c r="AC38" s="8">
        <f t="shared" si="1"/>
        <v>0</v>
      </c>
      <c r="AD38" s="8">
        <f t="shared" si="2"/>
        <v>700</v>
      </c>
      <c r="AE38" s="8">
        <f t="shared" si="3"/>
        <v>427</v>
      </c>
      <c r="AF38" s="8">
        <f t="shared" si="4"/>
        <v>273</v>
      </c>
      <c r="AG38" s="9">
        <f t="shared" si="5"/>
        <v>0.39</v>
      </c>
      <c r="AH38" s="10">
        <f t="shared" si="6"/>
        <v>2025</v>
      </c>
      <c r="AI38" s="10">
        <f t="shared" si="7"/>
        <v>10</v>
      </c>
      <c r="AJ38" s="10" t="str">
        <f t="shared" si="8"/>
        <v>2025-10</v>
      </c>
      <c r="AK38" s="10" t="str">
        <f t="shared" si="9"/>
        <v>T4</v>
      </c>
      <c r="AL38" s="10" t="str">
        <f t="shared" si="10"/>
        <v>30-39</v>
      </c>
      <c r="AM38" s="10" t="str">
        <f t="shared" si="11"/>
        <v>faible</v>
      </c>
      <c r="AN38" s="10" t="s">
        <v>2837</v>
      </c>
      <c r="AO38" s="10" t="str">
        <f t="shared" si="12"/>
        <v>Moyenne</v>
      </c>
    </row>
    <row r="39" spans="1:41">
      <c r="A39" t="s">
        <v>305</v>
      </c>
      <c r="B39" s="2">
        <v>45908</v>
      </c>
      <c r="C39" t="s">
        <v>306</v>
      </c>
      <c r="D39" t="s">
        <v>42</v>
      </c>
      <c r="E39" t="s">
        <v>207</v>
      </c>
      <c r="F39" t="s">
        <v>89</v>
      </c>
      <c r="G39">
        <v>1</v>
      </c>
      <c r="H39" s="4">
        <v>260</v>
      </c>
      <c r="I39" s="3">
        <v>0</v>
      </c>
      <c r="J39" t="s">
        <v>63</v>
      </c>
      <c r="K39" t="s">
        <v>46</v>
      </c>
      <c r="L39" t="s">
        <v>307</v>
      </c>
      <c r="M39" t="s">
        <v>65</v>
      </c>
      <c r="N39" t="s">
        <v>49</v>
      </c>
      <c r="O39" t="s">
        <v>50</v>
      </c>
      <c r="P39" t="s">
        <v>51</v>
      </c>
      <c r="Q39" t="s">
        <v>52</v>
      </c>
      <c r="R39" t="s">
        <v>210</v>
      </c>
      <c r="S39" t="s">
        <v>79</v>
      </c>
      <c r="T39" t="s">
        <v>93</v>
      </c>
      <c r="U39" s="5">
        <v>34</v>
      </c>
      <c r="V39" s="5" t="s">
        <v>56</v>
      </c>
      <c r="W39" s="5">
        <v>21</v>
      </c>
      <c r="X39" s="5">
        <v>5.9</v>
      </c>
      <c r="Y39" s="5">
        <v>5</v>
      </c>
      <c r="Z39" s="5" t="s">
        <v>71</v>
      </c>
      <c r="AA39" s="6">
        <v>189.8</v>
      </c>
      <c r="AB39" s="8">
        <f t="shared" si="0"/>
        <v>260</v>
      </c>
      <c r="AC39" s="8">
        <f t="shared" si="1"/>
        <v>0</v>
      </c>
      <c r="AD39" s="8">
        <f t="shared" si="2"/>
        <v>260</v>
      </c>
      <c r="AE39" s="8">
        <f t="shared" si="3"/>
        <v>189.8</v>
      </c>
      <c r="AF39" s="8">
        <f t="shared" si="4"/>
        <v>70.199999999999989</v>
      </c>
      <c r="AG39" s="9">
        <f t="shared" si="5"/>
        <v>0.26999999999999996</v>
      </c>
      <c r="AH39" s="10">
        <f t="shared" si="6"/>
        <v>2025</v>
      </c>
      <c r="AI39" s="10">
        <f t="shared" si="7"/>
        <v>9</v>
      </c>
      <c r="AJ39" s="10" t="str">
        <f t="shared" si="8"/>
        <v>2025-09</v>
      </c>
      <c r="AK39" s="10" t="str">
        <f t="shared" si="9"/>
        <v>T3</v>
      </c>
      <c r="AL39" s="10" t="str">
        <f t="shared" si="10"/>
        <v>30-39</v>
      </c>
      <c r="AM39" s="10" t="str">
        <f t="shared" si="11"/>
        <v>moyen</v>
      </c>
      <c r="AN39" s="10" t="s">
        <v>2839</v>
      </c>
      <c r="AO39" s="10" t="str">
        <f t="shared" si="12"/>
        <v>Faible</v>
      </c>
    </row>
    <row r="40" spans="1:41">
      <c r="A40" t="s">
        <v>308</v>
      </c>
      <c r="B40" s="2">
        <v>45988</v>
      </c>
      <c r="C40" t="s">
        <v>309</v>
      </c>
      <c r="D40" t="s">
        <v>128</v>
      </c>
      <c r="E40" t="s">
        <v>207</v>
      </c>
      <c r="F40" t="s">
        <v>310</v>
      </c>
      <c r="G40">
        <v>4</v>
      </c>
      <c r="H40" s="4">
        <v>190</v>
      </c>
      <c r="I40" s="3">
        <v>0</v>
      </c>
      <c r="J40" t="s">
        <v>63</v>
      </c>
      <c r="K40" t="s">
        <v>46</v>
      </c>
      <c r="L40" t="s">
        <v>311</v>
      </c>
      <c r="M40" t="s">
        <v>123</v>
      </c>
      <c r="N40" t="s">
        <v>49</v>
      </c>
      <c r="O40" t="s">
        <v>132</v>
      </c>
      <c r="P40" t="s">
        <v>133</v>
      </c>
      <c r="Q40" t="s">
        <v>52</v>
      </c>
      <c r="R40" t="s">
        <v>210</v>
      </c>
      <c r="S40" t="s">
        <v>79</v>
      </c>
      <c r="T40" t="s">
        <v>312</v>
      </c>
      <c r="U40" s="5">
        <v>45</v>
      </c>
      <c r="V40" s="5" t="s">
        <v>56</v>
      </c>
      <c r="W40" s="5">
        <v>58</v>
      </c>
      <c r="X40" s="5">
        <v>7.1</v>
      </c>
      <c r="Y40" s="5">
        <v>4</v>
      </c>
      <c r="Z40" s="5" t="s">
        <v>57</v>
      </c>
      <c r="AA40" s="6">
        <v>148.19999999999999</v>
      </c>
      <c r="AB40" s="8">
        <f t="shared" si="0"/>
        <v>760</v>
      </c>
      <c r="AC40" s="8">
        <f t="shared" si="1"/>
        <v>0</v>
      </c>
      <c r="AD40" s="8">
        <f t="shared" si="2"/>
        <v>760</v>
      </c>
      <c r="AE40" s="8">
        <f t="shared" si="3"/>
        <v>592.79999999999995</v>
      </c>
      <c r="AF40" s="8">
        <f t="shared" si="4"/>
        <v>167.20000000000005</v>
      </c>
      <c r="AG40" s="9">
        <f t="shared" si="5"/>
        <v>0.22000000000000006</v>
      </c>
      <c r="AH40" s="10">
        <f t="shared" si="6"/>
        <v>2025</v>
      </c>
      <c r="AI40" s="10">
        <f t="shared" si="7"/>
        <v>11</v>
      </c>
      <c r="AJ40" s="10" t="str">
        <f t="shared" si="8"/>
        <v>2025-11</v>
      </c>
      <c r="AK40" s="10" t="str">
        <f t="shared" si="9"/>
        <v>T4</v>
      </c>
      <c r="AL40" s="10" t="str">
        <f t="shared" si="10"/>
        <v>40-49</v>
      </c>
      <c r="AM40" s="10" t="str">
        <f t="shared" si="11"/>
        <v>bon</v>
      </c>
      <c r="AN40" s="10" t="s">
        <v>2839</v>
      </c>
      <c r="AO40" s="10" t="str">
        <f t="shared" si="12"/>
        <v>Moyenne</v>
      </c>
    </row>
    <row r="41" spans="1:41">
      <c r="A41" t="s">
        <v>313</v>
      </c>
      <c r="B41" s="2">
        <v>46013</v>
      </c>
      <c r="C41" t="s">
        <v>314</v>
      </c>
      <c r="D41" t="s">
        <v>108</v>
      </c>
      <c r="E41" t="s">
        <v>315</v>
      </c>
      <c r="F41" t="s">
        <v>297</v>
      </c>
      <c r="G41">
        <v>2</v>
      </c>
      <c r="H41" s="4">
        <v>240</v>
      </c>
      <c r="I41" s="3">
        <v>0.02</v>
      </c>
      <c r="J41" t="s">
        <v>63</v>
      </c>
      <c r="K41" t="s">
        <v>46</v>
      </c>
      <c r="L41" t="s">
        <v>316</v>
      </c>
      <c r="M41" t="s">
        <v>69</v>
      </c>
      <c r="N41" t="s">
        <v>255</v>
      </c>
      <c r="O41" t="s">
        <v>113</v>
      </c>
      <c r="P41" t="s">
        <v>82</v>
      </c>
      <c r="Q41" t="s">
        <v>114</v>
      </c>
      <c r="R41" t="s">
        <v>317</v>
      </c>
      <c r="S41" t="s">
        <v>69</v>
      </c>
      <c r="T41" t="s">
        <v>299</v>
      </c>
      <c r="U41" s="5">
        <v>42</v>
      </c>
      <c r="V41" s="5" t="s">
        <v>85</v>
      </c>
      <c r="W41" s="5">
        <v>34</v>
      </c>
      <c r="X41" s="5">
        <v>8.6</v>
      </c>
      <c r="Y41" s="5">
        <v>1</v>
      </c>
      <c r="Z41" s="5" t="s">
        <v>71</v>
      </c>
      <c r="AA41" s="6">
        <v>177.6</v>
      </c>
      <c r="AB41" s="8">
        <f t="shared" si="0"/>
        <v>480</v>
      </c>
      <c r="AC41" s="8">
        <f t="shared" si="1"/>
        <v>9.6</v>
      </c>
      <c r="AD41" s="8">
        <f t="shared" si="2"/>
        <v>470.4</v>
      </c>
      <c r="AE41" s="8">
        <f t="shared" si="3"/>
        <v>355.2</v>
      </c>
      <c r="AF41" s="8">
        <f t="shared" si="4"/>
        <v>115.19999999999999</v>
      </c>
      <c r="AG41" s="9">
        <f t="shared" si="5"/>
        <v>0.24489795918367346</v>
      </c>
      <c r="AH41" s="10">
        <f t="shared" si="6"/>
        <v>2025</v>
      </c>
      <c r="AI41" s="10">
        <f t="shared" si="7"/>
        <v>12</v>
      </c>
      <c r="AJ41" s="10" t="str">
        <f t="shared" si="8"/>
        <v>2025-12</v>
      </c>
      <c r="AK41" s="10" t="str">
        <f t="shared" si="9"/>
        <v>T4</v>
      </c>
      <c r="AL41" s="10" t="str">
        <f t="shared" si="10"/>
        <v>40-49</v>
      </c>
      <c r="AM41" s="10" t="str">
        <f t="shared" si="11"/>
        <v>bon</v>
      </c>
      <c r="AN41" s="10" t="s">
        <v>2838</v>
      </c>
      <c r="AO41" s="10" t="str">
        <f t="shared" si="12"/>
        <v>Faible</v>
      </c>
    </row>
    <row r="42" spans="1:41">
      <c r="A42" t="s">
        <v>318</v>
      </c>
      <c r="B42" s="2">
        <v>45761</v>
      </c>
      <c r="C42" t="s">
        <v>319</v>
      </c>
      <c r="D42" t="s">
        <v>188</v>
      </c>
      <c r="E42" t="s">
        <v>88</v>
      </c>
      <c r="F42" t="s">
        <v>156</v>
      </c>
      <c r="G42">
        <v>2</v>
      </c>
      <c r="H42" s="4">
        <v>350</v>
      </c>
      <c r="I42" s="3">
        <v>0</v>
      </c>
      <c r="J42" t="s">
        <v>63</v>
      </c>
      <c r="K42" t="s">
        <v>46</v>
      </c>
      <c r="L42" t="s">
        <v>320</v>
      </c>
      <c r="M42" t="s">
        <v>69</v>
      </c>
      <c r="N42" t="s">
        <v>49</v>
      </c>
      <c r="O42" t="s">
        <v>192</v>
      </c>
      <c r="P42" t="s">
        <v>51</v>
      </c>
      <c r="Q42" t="s">
        <v>114</v>
      </c>
      <c r="R42" t="s">
        <v>92</v>
      </c>
      <c r="S42" t="s">
        <v>48</v>
      </c>
      <c r="T42" t="s">
        <v>159</v>
      </c>
      <c r="U42" s="5">
        <v>22</v>
      </c>
      <c r="V42" s="5" t="s">
        <v>56</v>
      </c>
      <c r="W42" s="5">
        <v>33</v>
      </c>
      <c r="X42" s="5">
        <v>6</v>
      </c>
      <c r="Y42" s="5">
        <v>4</v>
      </c>
      <c r="Z42" s="5" t="s">
        <v>94</v>
      </c>
      <c r="AA42" s="6">
        <v>213.5</v>
      </c>
      <c r="AB42" s="8">
        <f t="shared" si="0"/>
        <v>700</v>
      </c>
      <c r="AC42" s="8">
        <f t="shared" si="1"/>
        <v>0</v>
      </c>
      <c r="AD42" s="8">
        <f t="shared" si="2"/>
        <v>700</v>
      </c>
      <c r="AE42" s="8">
        <f t="shared" si="3"/>
        <v>427</v>
      </c>
      <c r="AF42" s="8">
        <f t="shared" si="4"/>
        <v>273</v>
      </c>
      <c r="AG42" s="9">
        <f t="shared" si="5"/>
        <v>0.39</v>
      </c>
      <c r="AH42" s="10">
        <f t="shared" si="6"/>
        <v>2025</v>
      </c>
      <c r="AI42" s="10">
        <f t="shared" si="7"/>
        <v>4</v>
      </c>
      <c r="AJ42" s="10" t="str">
        <f t="shared" si="8"/>
        <v>2025-04</v>
      </c>
      <c r="AK42" s="10" t="str">
        <f t="shared" si="9"/>
        <v>T2</v>
      </c>
      <c r="AL42" s="10" t="str">
        <f t="shared" si="10"/>
        <v>22-29</v>
      </c>
      <c r="AM42" s="10" t="str">
        <f t="shared" si="11"/>
        <v>moyen</v>
      </c>
      <c r="AN42" s="10" t="s">
        <v>2839</v>
      </c>
      <c r="AO42" s="10" t="str">
        <f t="shared" si="12"/>
        <v>Moyenne</v>
      </c>
    </row>
    <row r="43" spans="1:41">
      <c r="A43" t="s">
        <v>321</v>
      </c>
      <c r="B43" s="2">
        <v>45849</v>
      </c>
      <c r="C43" t="s">
        <v>322</v>
      </c>
      <c r="D43" t="s">
        <v>148</v>
      </c>
      <c r="E43" t="s">
        <v>75</v>
      </c>
      <c r="F43" t="s">
        <v>323</v>
      </c>
      <c r="G43">
        <v>1</v>
      </c>
      <c r="H43" s="4">
        <v>110</v>
      </c>
      <c r="I43" s="3">
        <v>0</v>
      </c>
      <c r="J43" t="s">
        <v>45</v>
      </c>
      <c r="K43" t="s">
        <v>46</v>
      </c>
      <c r="L43" t="s">
        <v>324</v>
      </c>
      <c r="M43" t="s">
        <v>123</v>
      </c>
      <c r="N43" t="s">
        <v>255</v>
      </c>
      <c r="O43" t="s">
        <v>151</v>
      </c>
      <c r="P43" t="s">
        <v>103</v>
      </c>
      <c r="Q43" t="s">
        <v>114</v>
      </c>
      <c r="R43" t="s">
        <v>83</v>
      </c>
      <c r="S43" t="s">
        <v>69</v>
      </c>
      <c r="T43" t="s">
        <v>325</v>
      </c>
      <c r="U43" s="5">
        <v>48</v>
      </c>
      <c r="V43" s="5" t="s">
        <v>85</v>
      </c>
      <c r="W43" s="5">
        <v>59</v>
      </c>
      <c r="X43" s="5">
        <v>6.2</v>
      </c>
      <c r="Y43" s="5">
        <v>6</v>
      </c>
      <c r="Z43" s="5" t="s">
        <v>117</v>
      </c>
      <c r="AA43" s="6">
        <v>72.599999999999994</v>
      </c>
      <c r="AB43" s="8">
        <f t="shared" si="0"/>
        <v>110</v>
      </c>
      <c r="AC43" s="8">
        <f t="shared" si="1"/>
        <v>0</v>
      </c>
      <c r="AD43" s="8">
        <f t="shared" si="2"/>
        <v>110</v>
      </c>
      <c r="AE43" s="8">
        <f t="shared" si="3"/>
        <v>72.599999999999994</v>
      </c>
      <c r="AF43" s="8">
        <f t="shared" si="4"/>
        <v>37.400000000000006</v>
      </c>
      <c r="AG43" s="9">
        <f t="shared" si="5"/>
        <v>0.34</v>
      </c>
      <c r="AH43" s="10">
        <f t="shared" si="6"/>
        <v>2025</v>
      </c>
      <c r="AI43" s="10">
        <f t="shared" si="7"/>
        <v>7</v>
      </c>
      <c r="AJ43" s="10" t="str">
        <f t="shared" si="8"/>
        <v>2025-07</v>
      </c>
      <c r="AK43" s="10" t="str">
        <f t="shared" si="9"/>
        <v>T3</v>
      </c>
      <c r="AL43" s="10" t="str">
        <f t="shared" si="10"/>
        <v>40-49</v>
      </c>
      <c r="AM43" s="10" t="str">
        <f t="shared" si="11"/>
        <v>moyen</v>
      </c>
      <c r="AN43" s="10" t="s">
        <v>2839</v>
      </c>
      <c r="AO43" s="10" t="str">
        <f t="shared" si="12"/>
        <v>Faible</v>
      </c>
    </row>
    <row r="44" spans="1:41">
      <c r="A44" t="s">
        <v>326</v>
      </c>
      <c r="B44" s="2">
        <v>45775</v>
      </c>
      <c r="C44" t="s">
        <v>327</v>
      </c>
      <c r="D44" t="s">
        <v>155</v>
      </c>
      <c r="E44" t="s">
        <v>207</v>
      </c>
      <c r="F44" t="s">
        <v>328</v>
      </c>
      <c r="G44">
        <v>3</v>
      </c>
      <c r="H44" s="4">
        <v>48</v>
      </c>
      <c r="I44" s="3">
        <v>0.02</v>
      </c>
      <c r="J44" t="s">
        <v>77</v>
      </c>
      <c r="K44" t="s">
        <v>46</v>
      </c>
      <c r="L44" t="s">
        <v>329</v>
      </c>
      <c r="M44" t="s">
        <v>48</v>
      </c>
      <c r="N44" t="s">
        <v>101</v>
      </c>
      <c r="O44" t="s">
        <v>158</v>
      </c>
      <c r="P44" t="s">
        <v>51</v>
      </c>
      <c r="Q44" t="s">
        <v>143</v>
      </c>
      <c r="R44" t="s">
        <v>210</v>
      </c>
      <c r="S44" t="s">
        <v>79</v>
      </c>
      <c r="T44" t="s">
        <v>330</v>
      </c>
      <c r="U44" s="5">
        <v>26</v>
      </c>
      <c r="V44" s="5" t="s">
        <v>85</v>
      </c>
      <c r="W44" s="5">
        <v>5</v>
      </c>
      <c r="X44" s="5">
        <v>7.6</v>
      </c>
      <c r="Y44" s="5">
        <v>2</v>
      </c>
      <c r="Z44" s="5" t="s">
        <v>71</v>
      </c>
      <c r="AA44" s="6">
        <v>37.44</v>
      </c>
      <c r="AB44" s="8">
        <f t="shared" si="0"/>
        <v>144</v>
      </c>
      <c r="AC44" s="8">
        <f t="shared" si="1"/>
        <v>2.88</v>
      </c>
      <c r="AD44" s="8">
        <f t="shared" si="2"/>
        <v>141.12</v>
      </c>
      <c r="AE44" s="8">
        <f t="shared" si="3"/>
        <v>112.32</v>
      </c>
      <c r="AF44" s="8">
        <f t="shared" si="4"/>
        <v>28.800000000000011</v>
      </c>
      <c r="AG44" s="9">
        <f t="shared" si="5"/>
        <v>0.20408163265306131</v>
      </c>
      <c r="AH44" s="10">
        <f t="shared" si="6"/>
        <v>2025</v>
      </c>
      <c r="AI44" s="10">
        <f t="shared" si="7"/>
        <v>4</v>
      </c>
      <c r="AJ44" s="10" t="str">
        <f t="shared" si="8"/>
        <v>2025-04</v>
      </c>
      <c r="AK44" s="10" t="str">
        <f t="shared" si="9"/>
        <v>T2</v>
      </c>
      <c r="AL44" s="10" t="str">
        <f t="shared" si="10"/>
        <v>22-29</v>
      </c>
      <c r="AM44" s="10" t="str">
        <f t="shared" si="11"/>
        <v>bon</v>
      </c>
      <c r="AN44" s="10" t="s">
        <v>2838</v>
      </c>
      <c r="AO44" s="10" t="str">
        <f t="shared" si="12"/>
        <v>Faible</v>
      </c>
    </row>
    <row r="45" spans="1:41">
      <c r="A45" t="s">
        <v>331</v>
      </c>
      <c r="B45" s="2">
        <v>45912</v>
      </c>
      <c r="C45" t="s">
        <v>332</v>
      </c>
      <c r="D45" t="s">
        <v>333</v>
      </c>
      <c r="E45" t="s">
        <v>129</v>
      </c>
      <c r="F45" t="s">
        <v>334</v>
      </c>
      <c r="G45">
        <v>2</v>
      </c>
      <c r="H45" s="4">
        <v>65</v>
      </c>
      <c r="I45" s="3">
        <v>0.02</v>
      </c>
      <c r="J45" t="s">
        <v>90</v>
      </c>
      <c r="K45" t="s">
        <v>46</v>
      </c>
      <c r="L45" t="s">
        <v>335</v>
      </c>
      <c r="M45" t="s">
        <v>69</v>
      </c>
      <c r="N45" t="s">
        <v>49</v>
      </c>
      <c r="O45" t="s">
        <v>336</v>
      </c>
      <c r="P45" t="s">
        <v>51</v>
      </c>
      <c r="Q45" t="s">
        <v>52</v>
      </c>
      <c r="R45" t="s">
        <v>134</v>
      </c>
      <c r="S45" t="s">
        <v>123</v>
      </c>
      <c r="T45" t="s">
        <v>337</v>
      </c>
      <c r="U45" s="5">
        <v>23</v>
      </c>
      <c r="V45" s="5" t="s">
        <v>56</v>
      </c>
      <c r="W45" s="5">
        <v>35</v>
      </c>
      <c r="X45" s="5">
        <v>8.4</v>
      </c>
      <c r="Y45" s="5">
        <v>1</v>
      </c>
      <c r="Z45" s="5" t="s">
        <v>57</v>
      </c>
      <c r="AA45" s="6">
        <v>47.45</v>
      </c>
      <c r="AB45" s="8">
        <f t="shared" si="0"/>
        <v>130</v>
      </c>
      <c r="AC45" s="8">
        <f t="shared" si="1"/>
        <v>2.6</v>
      </c>
      <c r="AD45" s="8">
        <f t="shared" si="2"/>
        <v>127.4</v>
      </c>
      <c r="AE45" s="8">
        <f t="shared" si="3"/>
        <v>94.9</v>
      </c>
      <c r="AF45" s="8">
        <f t="shared" si="4"/>
        <v>32.5</v>
      </c>
      <c r="AG45" s="9">
        <f t="shared" si="5"/>
        <v>0.25510204081632654</v>
      </c>
      <c r="AH45" s="10">
        <f t="shared" si="6"/>
        <v>2025</v>
      </c>
      <c r="AI45" s="10">
        <f t="shared" si="7"/>
        <v>9</v>
      </c>
      <c r="AJ45" s="10" t="str">
        <f t="shared" si="8"/>
        <v>2025-09</v>
      </c>
      <c r="AK45" s="10" t="str">
        <f t="shared" si="9"/>
        <v>T3</v>
      </c>
      <c r="AL45" s="10" t="str">
        <f t="shared" si="10"/>
        <v>22-29</v>
      </c>
      <c r="AM45" s="10" t="str">
        <f t="shared" si="11"/>
        <v>bon</v>
      </c>
      <c r="AN45" s="10" t="s">
        <v>2838</v>
      </c>
      <c r="AO45" s="10" t="str">
        <f t="shared" si="12"/>
        <v>Faible</v>
      </c>
    </row>
    <row r="46" spans="1:41">
      <c r="A46" t="s">
        <v>338</v>
      </c>
      <c r="B46" s="2">
        <v>45700</v>
      </c>
      <c r="C46" t="s">
        <v>339</v>
      </c>
      <c r="D46" t="s">
        <v>340</v>
      </c>
      <c r="E46" t="s">
        <v>214</v>
      </c>
      <c r="F46" t="s">
        <v>328</v>
      </c>
      <c r="G46">
        <v>2</v>
      </c>
      <c r="H46" s="4">
        <v>22</v>
      </c>
      <c r="I46" s="3">
        <v>0.05</v>
      </c>
      <c r="J46" t="s">
        <v>90</v>
      </c>
      <c r="K46" t="s">
        <v>46</v>
      </c>
      <c r="L46" t="s">
        <v>341</v>
      </c>
      <c r="M46" t="s">
        <v>48</v>
      </c>
      <c r="N46" t="s">
        <v>255</v>
      </c>
      <c r="O46" t="s">
        <v>342</v>
      </c>
      <c r="P46" t="s">
        <v>103</v>
      </c>
      <c r="Q46" t="s">
        <v>143</v>
      </c>
      <c r="R46" t="s">
        <v>216</v>
      </c>
      <c r="S46" t="s">
        <v>65</v>
      </c>
      <c r="T46" t="s">
        <v>330</v>
      </c>
      <c r="U46" s="5">
        <v>36</v>
      </c>
      <c r="V46" s="5" t="s">
        <v>85</v>
      </c>
      <c r="W46" s="5">
        <v>37</v>
      </c>
      <c r="X46" s="5">
        <v>8.9</v>
      </c>
      <c r="Y46" s="5">
        <v>1</v>
      </c>
      <c r="Z46" s="5" t="s">
        <v>57</v>
      </c>
      <c r="AA46" s="6">
        <v>14.96</v>
      </c>
      <c r="AB46" s="8">
        <f t="shared" si="0"/>
        <v>44</v>
      </c>
      <c r="AC46" s="8">
        <f t="shared" si="1"/>
        <v>2.2000000000000002</v>
      </c>
      <c r="AD46" s="8">
        <f t="shared" si="2"/>
        <v>41.8</v>
      </c>
      <c r="AE46" s="8">
        <f t="shared" si="3"/>
        <v>29.92</v>
      </c>
      <c r="AF46" s="8">
        <f t="shared" si="4"/>
        <v>11.879999999999995</v>
      </c>
      <c r="AG46" s="9">
        <f t="shared" si="5"/>
        <v>0.28421052631578936</v>
      </c>
      <c r="AH46" s="10">
        <f t="shared" si="6"/>
        <v>2025</v>
      </c>
      <c r="AI46" s="10">
        <f t="shared" si="7"/>
        <v>2</v>
      </c>
      <c r="AJ46" s="10" t="str">
        <f t="shared" si="8"/>
        <v>2025-02</v>
      </c>
      <c r="AK46" s="10" t="str">
        <f t="shared" si="9"/>
        <v>T1</v>
      </c>
      <c r="AL46" s="10" t="str">
        <f t="shared" si="10"/>
        <v>30-39</v>
      </c>
      <c r="AM46" s="10" t="str">
        <f t="shared" si="11"/>
        <v>bon</v>
      </c>
      <c r="AN46" s="10" t="s">
        <v>2838</v>
      </c>
      <c r="AO46" s="10" t="str">
        <f t="shared" si="12"/>
        <v>Faible</v>
      </c>
    </row>
    <row r="47" spans="1:41">
      <c r="A47" t="s">
        <v>343</v>
      </c>
      <c r="B47" s="2">
        <v>45842</v>
      </c>
      <c r="C47" t="s">
        <v>344</v>
      </c>
      <c r="D47" t="s">
        <v>97</v>
      </c>
      <c r="E47" t="s">
        <v>345</v>
      </c>
      <c r="F47" t="s">
        <v>282</v>
      </c>
      <c r="G47">
        <v>1</v>
      </c>
      <c r="H47" s="4">
        <v>520</v>
      </c>
      <c r="I47" s="3">
        <v>0</v>
      </c>
      <c r="J47" t="s">
        <v>77</v>
      </c>
      <c r="K47" t="s">
        <v>46</v>
      </c>
      <c r="L47" t="s">
        <v>346</v>
      </c>
      <c r="M47" t="s">
        <v>65</v>
      </c>
      <c r="N47" t="s">
        <v>112</v>
      </c>
      <c r="O47" t="s">
        <v>102</v>
      </c>
      <c r="P47" t="s">
        <v>103</v>
      </c>
      <c r="Q47" t="s">
        <v>52</v>
      </c>
      <c r="R47" t="s">
        <v>347</v>
      </c>
      <c r="S47" t="s">
        <v>54</v>
      </c>
      <c r="T47" t="s">
        <v>284</v>
      </c>
      <c r="U47" s="5">
        <v>28</v>
      </c>
      <c r="V47" s="5" t="s">
        <v>85</v>
      </c>
      <c r="W47" s="5">
        <v>3</v>
      </c>
      <c r="X47" s="5">
        <v>4.0999999999999996</v>
      </c>
      <c r="Y47" s="5">
        <v>7</v>
      </c>
      <c r="Z47" s="5" t="s">
        <v>117</v>
      </c>
      <c r="AA47" s="6">
        <v>348.4</v>
      </c>
      <c r="AB47" s="8">
        <f t="shared" si="0"/>
        <v>520</v>
      </c>
      <c r="AC47" s="8">
        <f t="shared" si="1"/>
        <v>0</v>
      </c>
      <c r="AD47" s="8">
        <f t="shared" si="2"/>
        <v>520</v>
      </c>
      <c r="AE47" s="8">
        <f t="shared" si="3"/>
        <v>348.4</v>
      </c>
      <c r="AF47" s="8">
        <f t="shared" si="4"/>
        <v>171.60000000000002</v>
      </c>
      <c r="AG47" s="9">
        <f t="shared" si="5"/>
        <v>0.33000000000000007</v>
      </c>
      <c r="AH47" s="10">
        <f t="shared" si="6"/>
        <v>2025</v>
      </c>
      <c r="AI47" s="10">
        <f t="shared" si="7"/>
        <v>7</v>
      </c>
      <c r="AJ47" s="10" t="str">
        <f t="shared" si="8"/>
        <v>2025-07</v>
      </c>
      <c r="AK47" s="10" t="str">
        <f t="shared" si="9"/>
        <v>T3</v>
      </c>
      <c r="AL47" s="10" t="str">
        <f t="shared" si="10"/>
        <v>22-29</v>
      </c>
      <c r="AM47" s="10" t="str">
        <f t="shared" si="11"/>
        <v>faible</v>
      </c>
      <c r="AN47" s="10" t="s">
        <v>2837</v>
      </c>
      <c r="AO47" s="10" t="str">
        <f t="shared" si="12"/>
        <v>Moyenne</v>
      </c>
    </row>
    <row r="48" spans="1:41">
      <c r="A48" t="s">
        <v>348</v>
      </c>
      <c r="B48" s="2">
        <v>45835</v>
      </c>
      <c r="C48" t="s">
        <v>349</v>
      </c>
      <c r="D48" t="s">
        <v>138</v>
      </c>
      <c r="E48" t="s">
        <v>43</v>
      </c>
      <c r="F48" t="s">
        <v>350</v>
      </c>
      <c r="G48">
        <v>4</v>
      </c>
      <c r="H48" s="4">
        <v>120</v>
      </c>
      <c r="I48" s="3">
        <v>0.02</v>
      </c>
      <c r="J48" t="s">
        <v>63</v>
      </c>
      <c r="K48" t="s">
        <v>46</v>
      </c>
      <c r="L48" t="s">
        <v>351</v>
      </c>
      <c r="M48" t="s">
        <v>79</v>
      </c>
      <c r="N48" t="s">
        <v>255</v>
      </c>
      <c r="O48" t="s">
        <v>142</v>
      </c>
      <c r="P48" t="s">
        <v>51</v>
      </c>
      <c r="Q48" t="s">
        <v>143</v>
      </c>
      <c r="R48" t="s">
        <v>53</v>
      </c>
      <c r="S48" t="s">
        <v>54</v>
      </c>
      <c r="T48" t="s">
        <v>352</v>
      </c>
      <c r="U48" s="5">
        <v>41</v>
      </c>
      <c r="V48" s="5" t="s">
        <v>56</v>
      </c>
      <c r="W48" s="5">
        <v>58</v>
      </c>
      <c r="X48" s="5">
        <v>5.3</v>
      </c>
      <c r="Y48" s="5">
        <v>6</v>
      </c>
      <c r="Z48" s="5" t="s">
        <v>57</v>
      </c>
      <c r="AA48" s="6">
        <v>73.2</v>
      </c>
      <c r="AB48" s="8">
        <f t="shared" si="0"/>
        <v>480</v>
      </c>
      <c r="AC48" s="8">
        <f t="shared" si="1"/>
        <v>9.6</v>
      </c>
      <c r="AD48" s="8">
        <f t="shared" si="2"/>
        <v>470.4</v>
      </c>
      <c r="AE48" s="8">
        <f t="shared" si="3"/>
        <v>292.8</v>
      </c>
      <c r="AF48" s="8">
        <f t="shared" si="4"/>
        <v>177.59999999999997</v>
      </c>
      <c r="AG48" s="9">
        <f t="shared" si="5"/>
        <v>0.37755102040816318</v>
      </c>
      <c r="AH48" s="10">
        <f t="shared" si="6"/>
        <v>2025</v>
      </c>
      <c r="AI48" s="10">
        <f t="shared" si="7"/>
        <v>6</v>
      </c>
      <c r="AJ48" s="10" t="str">
        <f t="shared" si="8"/>
        <v>2025-06</v>
      </c>
      <c r="AK48" s="10" t="str">
        <f t="shared" si="9"/>
        <v>T2</v>
      </c>
      <c r="AL48" s="10" t="str">
        <f t="shared" si="10"/>
        <v>40-49</v>
      </c>
      <c r="AM48" s="10" t="str">
        <f t="shared" si="11"/>
        <v>moyen</v>
      </c>
      <c r="AN48" s="10" t="s">
        <v>2839</v>
      </c>
      <c r="AO48" s="10" t="str">
        <f t="shared" si="12"/>
        <v>Faible</v>
      </c>
    </row>
    <row r="49" spans="1:41">
      <c r="A49" t="s">
        <v>353</v>
      </c>
      <c r="B49" s="2">
        <v>45734</v>
      </c>
      <c r="C49" t="s">
        <v>354</v>
      </c>
      <c r="D49" t="s">
        <v>272</v>
      </c>
      <c r="E49" t="s">
        <v>207</v>
      </c>
      <c r="F49" t="s">
        <v>110</v>
      </c>
      <c r="G49">
        <v>5</v>
      </c>
      <c r="H49" s="4">
        <v>420</v>
      </c>
      <c r="I49" s="3">
        <v>0</v>
      </c>
      <c r="J49" t="s">
        <v>45</v>
      </c>
      <c r="K49" t="s">
        <v>46</v>
      </c>
      <c r="L49" t="s">
        <v>355</v>
      </c>
      <c r="M49" t="s">
        <v>48</v>
      </c>
      <c r="N49" t="s">
        <v>80</v>
      </c>
      <c r="O49" t="s">
        <v>274</v>
      </c>
      <c r="P49" t="s">
        <v>133</v>
      </c>
      <c r="Q49" t="s">
        <v>114</v>
      </c>
      <c r="R49" t="s">
        <v>210</v>
      </c>
      <c r="S49" t="s">
        <v>79</v>
      </c>
      <c r="T49" t="s">
        <v>116</v>
      </c>
      <c r="U49" s="5">
        <v>52</v>
      </c>
      <c r="V49" s="5" t="s">
        <v>56</v>
      </c>
      <c r="W49" s="5">
        <v>69</v>
      </c>
      <c r="X49" s="5">
        <v>6.5</v>
      </c>
      <c r="Y49" s="5">
        <v>4</v>
      </c>
      <c r="Z49" s="5" t="s">
        <v>94</v>
      </c>
      <c r="AA49" s="6">
        <v>273</v>
      </c>
      <c r="AB49" s="8">
        <f t="shared" si="0"/>
        <v>2100</v>
      </c>
      <c r="AC49" s="8">
        <f t="shared" si="1"/>
        <v>0</v>
      </c>
      <c r="AD49" s="8">
        <f t="shared" si="2"/>
        <v>2100</v>
      </c>
      <c r="AE49" s="8">
        <f t="shared" si="3"/>
        <v>1365</v>
      </c>
      <c r="AF49" s="8">
        <f t="shared" si="4"/>
        <v>735</v>
      </c>
      <c r="AG49" s="9">
        <f t="shared" si="5"/>
        <v>0.35</v>
      </c>
      <c r="AH49" s="10">
        <f t="shared" si="6"/>
        <v>2025</v>
      </c>
      <c r="AI49" s="10">
        <f t="shared" si="7"/>
        <v>3</v>
      </c>
      <c r="AJ49" s="10" t="str">
        <f t="shared" si="8"/>
        <v>2025-03</v>
      </c>
      <c r="AK49" s="10" t="str">
        <f t="shared" si="9"/>
        <v>T1</v>
      </c>
      <c r="AL49" s="10" t="str">
        <f t="shared" si="10"/>
        <v>50+</v>
      </c>
      <c r="AM49" s="10" t="str">
        <f t="shared" si="11"/>
        <v>moyen</v>
      </c>
      <c r="AN49" s="10" t="s">
        <v>2839</v>
      </c>
      <c r="AO49" s="10" t="str">
        <f t="shared" si="12"/>
        <v>Elevée</v>
      </c>
    </row>
    <row r="50" spans="1:41">
      <c r="A50" t="s">
        <v>356</v>
      </c>
      <c r="B50" s="2">
        <v>45958</v>
      </c>
      <c r="C50" t="s">
        <v>357</v>
      </c>
      <c r="D50" t="s">
        <v>272</v>
      </c>
      <c r="E50" t="s">
        <v>163</v>
      </c>
      <c r="F50" t="s">
        <v>297</v>
      </c>
      <c r="G50">
        <v>4</v>
      </c>
      <c r="H50" s="4">
        <v>420</v>
      </c>
      <c r="I50" s="3">
        <v>0.1</v>
      </c>
      <c r="J50" t="s">
        <v>63</v>
      </c>
      <c r="K50" t="s">
        <v>46</v>
      </c>
      <c r="L50" t="s">
        <v>358</v>
      </c>
      <c r="M50" t="s">
        <v>123</v>
      </c>
      <c r="N50" t="s">
        <v>80</v>
      </c>
      <c r="O50" t="s">
        <v>274</v>
      </c>
      <c r="P50" t="s">
        <v>133</v>
      </c>
      <c r="Q50" t="s">
        <v>114</v>
      </c>
      <c r="R50" t="s">
        <v>167</v>
      </c>
      <c r="S50" t="s">
        <v>123</v>
      </c>
      <c r="T50" t="s">
        <v>299</v>
      </c>
      <c r="U50" s="5">
        <v>48</v>
      </c>
      <c r="V50" s="5" t="s">
        <v>56</v>
      </c>
      <c r="W50" s="5">
        <v>63</v>
      </c>
      <c r="X50" s="5">
        <v>4.3</v>
      </c>
      <c r="Y50" s="5">
        <v>7</v>
      </c>
      <c r="Z50" s="5" t="s">
        <v>117</v>
      </c>
      <c r="AA50" s="6">
        <v>273</v>
      </c>
      <c r="AB50" s="8">
        <f t="shared" si="0"/>
        <v>1680</v>
      </c>
      <c r="AC50" s="8">
        <f t="shared" si="1"/>
        <v>168</v>
      </c>
      <c r="AD50" s="8">
        <f t="shared" si="2"/>
        <v>1512</v>
      </c>
      <c r="AE50" s="8">
        <f t="shared" si="3"/>
        <v>1092</v>
      </c>
      <c r="AF50" s="8">
        <f t="shared" si="4"/>
        <v>420</v>
      </c>
      <c r="AG50" s="9">
        <f t="shared" si="5"/>
        <v>0.27777777777777779</v>
      </c>
      <c r="AH50" s="10">
        <f t="shared" si="6"/>
        <v>2025</v>
      </c>
      <c r="AI50" s="10">
        <f t="shared" si="7"/>
        <v>10</v>
      </c>
      <c r="AJ50" s="10" t="str">
        <f t="shared" si="8"/>
        <v>2025-10</v>
      </c>
      <c r="AK50" s="10" t="str">
        <f t="shared" si="9"/>
        <v>T4</v>
      </c>
      <c r="AL50" s="10" t="str">
        <f t="shared" si="10"/>
        <v>40-49</v>
      </c>
      <c r="AM50" s="10" t="str">
        <f t="shared" si="11"/>
        <v>faible</v>
      </c>
      <c r="AN50" s="10" t="s">
        <v>2837</v>
      </c>
      <c r="AO50" s="10" t="str">
        <f t="shared" si="12"/>
        <v>Elevée</v>
      </c>
    </row>
    <row r="51" spans="1:41">
      <c r="A51" t="s">
        <v>359</v>
      </c>
      <c r="B51" s="2">
        <v>45754</v>
      </c>
      <c r="C51" t="s">
        <v>360</v>
      </c>
      <c r="D51" t="s">
        <v>108</v>
      </c>
      <c r="E51" t="s">
        <v>214</v>
      </c>
      <c r="F51" t="s">
        <v>361</v>
      </c>
      <c r="G51">
        <v>2</v>
      </c>
      <c r="H51" s="4">
        <v>240</v>
      </c>
      <c r="I51" s="3">
        <v>0.08</v>
      </c>
      <c r="J51" t="s">
        <v>63</v>
      </c>
      <c r="K51" t="s">
        <v>46</v>
      </c>
      <c r="L51" t="s">
        <v>362</v>
      </c>
      <c r="M51" t="s">
        <v>48</v>
      </c>
      <c r="N51" t="s">
        <v>112</v>
      </c>
      <c r="O51" t="s">
        <v>113</v>
      </c>
      <c r="P51" t="s">
        <v>82</v>
      </c>
      <c r="Q51" t="s">
        <v>114</v>
      </c>
      <c r="R51" t="s">
        <v>216</v>
      </c>
      <c r="S51" t="s">
        <v>65</v>
      </c>
      <c r="T51" t="s">
        <v>363</v>
      </c>
      <c r="U51" s="5">
        <v>47</v>
      </c>
      <c r="V51" s="5" t="s">
        <v>85</v>
      </c>
      <c r="W51" s="5">
        <v>35</v>
      </c>
      <c r="X51" s="5">
        <v>6.6</v>
      </c>
      <c r="Y51" s="5">
        <v>5</v>
      </c>
      <c r="Z51" s="5" t="s">
        <v>71</v>
      </c>
      <c r="AA51" s="6">
        <v>177.6</v>
      </c>
      <c r="AB51" s="8">
        <f t="shared" si="0"/>
        <v>480</v>
      </c>
      <c r="AC51" s="8">
        <f t="shared" si="1"/>
        <v>38.4</v>
      </c>
      <c r="AD51" s="8">
        <f t="shared" si="2"/>
        <v>441.6</v>
      </c>
      <c r="AE51" s="8">
        <f t="shared" si="3"/>
        <v>355.2</v>
      </c>
      <c r="AF51" s="8">
        <f t="shared" si="4"/>
        <v>86.400000000000034</v>
      </c>
      <c r="AG51" s="9">
        <f t="shared" si="5"/>
        <v>0.19565217391304354</v>
      </c>
      <c r="AH51" s="10">
        <f t="shared" si="6"/>
        <v>2025</v>
      </c>
      <c r="AI51" s="10">
        <f t="shared" si="7"/>
        <v>4</v>
      </c>
      <c r="AJ51" s="10" t="str">
        <f t="shared" si="8"/>
        <v>2025-04</v>
      </c>
      <c r="AK51" s="10" t="str">
        <f t="shared" si="9"/>
        <v>T2</v>
      </c>
      <c r="AL51" s="10" t="str">
        <f t="shared" si="10"/>
        <v>40-49</v>
      </c>
      <c r="AM51" s="10" t="str">
        <f t="shared" si="11"/>
        <v>moyen</v>
      </c>
      <c r="AN51" s="10" t="s">
        <v>2839</v>
      </c>
      <c r="AO51" s="10" t="str">
        <f t="shared" si="12"/>
        <v>Faible</v>
      </c>
    </row>
    <row r="52" spans="1:41">
      <c r="A52" t="s">
        <v>364</v>
      </c>
      <c r="B52" s="2">
        <v>45953</v>
      </c>
      <c r="C52" t="s">
        <v>365</v>
      </c>
      <c r="D52" t="s">
        <v>138</v>
      </c>
      <c r="E52" t="s">
        <v>315</v>
      </c>
      <c r="F52" t="s">
        <v>248</v>
      </c>
      <c r="G52">
        <v>5</v>
      </c>
      <c r="H52" s="4">
        <v>120</v>
      </c>
      <c r="I52" s="3">
        <v>0</v>
      </c>
      <c r="J52" t="s">
        <v>90</v>
      </c>
      <c r="K52" t="s">
        <v>46</v>
      </c>
      <c r="L52" t="s">
        <v>366</v>
      </c>
      <c r="M52" t="s">
        <v>65</v>
      </c>
      <c r="N52" t="s">
        <v>101</v>
      </c>
      <c r="O52" t="s">
        <v>142</v>
      </c>
      <c r="P52" t="s">
        <v>51</v>
      </c>
      <c r="Q52" t="s">
        <v>143</v>
      </c>
      <c r="R52" t="s">
        <v>317</v>
      </c>
      <c r="S52" t="s">
        <v>69</v>
      </c>
      <c r="T52" t="s">
        <v>250</v>
      </c>
      <c r="U52" s="5">
        <v>58</v>
      </c>
      <c r="V52" s="5" t="s">
        <v>56</v>
      </c>
      <c r="W52" s="5">
        <v>41</v>
      </c>
      <c r="X52" s="5">
        <v>8.1</v>
      </c>
      <c r="Y52" s="5">
        <v>2</v>
      </c>
      <c r="Z52" s="5" t="s">
        <v>57</v>
      </c>
      <c r="AA52" s="6">
        <v>73.2</v>
      </c>
      <c r="AB52" s="8">
        <f t="shared" si="0"/>
        <v>600</v>
      </c>
      <c r="AC52" s="8">
        <f t="shared" si="1"/>
        <v>0</v>
      </c>
      <c r="AD52" s="8">
        <f t="shared" si="2"/>
        <v>600</v>
      </c>
      <c r="AE52" s="8">
        <f t="shared" si="3"/>
        <v>366</v>
      </c>
      <c r="AF52" s="8">
        <f t="shared" si="4"/>
        <v>234</v>
      </c>
      <c r="AG52" s="9">
        <f t="shared" si="5"/>
        <v>0.39</v>
      </c>
      <c r="AH52" s="10">
        <f t="shared" si="6"/>
        <v>2025</v>
      </c>
      <c r="AI52" s="10">
        <f t="shared" si="7"/>
        <v>10</v>
      </c>
      <c r="AJ52" s="10" t="str">
        <f t="shared" si="8"/>
        <v>2025-10</v>
      </c>
      <c r="AK52" s="10" t="str">
        <f t="shared" si="9"/>
        <v>T4</v>
      </c>
      <c r="AL52" s="10" t="str">
        <f t="shared" si="10"/>
        <v>50+</v>
      </c>
      <c r="AM52" s="10" t="str">
        <f t="shared" si="11"/>
        <v>bon</v>
      </c>
      <c r="AN52" s="10" t="s">
        <v>2838</v>
      </c>
      <c r="AO52" s="10" t="str">
        <f t="shared" si="12"/>
        <v>Moyenne</v>
      </c>
    </row>
    <row r="53" spans="1:41">
      <c r="A53" t="s">
        <v>367</v>
      </c>
      <c r="B53" s="2">
        <v>45875</v>
      </c>
      <c r="C53" t="s">
        <v>368</v>
      </c>
      <c r="D53" t="s">
        <v>108</v>
      </c>
      <c r="E53" t="s">
        <v>163</v>
      </c>
      <c r="F53" t="s">
        <v>369</v>
      </c>
      <c r="G53">
        <v>3</v>
      </c>
      <c r="H53" s="4">
        <v>240</v>
      </c>
      <c r="I53" s="3">
        <v>0.02</v>
      </c>
      <c r="J53" t="s">
        <v>77</v>
      </c>
      <c r="K53" t="s">
        <v>46</v>
      </c>
      <c r="L53" t="s">
        <v>370</v>
      </c>
      <c r="M53" t="s">
        <v>69</v>
      </c>
      <c r="N53" t="s">
        <v>80</v>
      </c>
      <c r="O53" t="s">
        <v>113</v>
      </c>
      <c r="P53" t="s">
        <v>82</v>
      </c>
      <c r="Q53" t="s">
        <v>114</v>
      </c>
      <c r="R53" t="s">
        <v>167</v>
      </c>
      <c r="S53" t="s">
        <v>123</v>
      </c>
      <c r="T53" t="s">
        <v>371</v>
      </c>
      <c r="U53" s="5">
        <v>44</v>
      </c>
      <c r="V53" s="5" t="s">
        <v>85</v>
      </c>
      <c r="W53" s="5">
        <v>57</v>
      </c>
      <c r="X53" s="5">
        <v>4.7</v>
      </c>
      <c r="Y53" s="5">
        <v>7</v>
      </c>
      <c r="Z53" s="5" t="s">
        <v>57</v>
      </c>
      <c r="AA53" s="6">
        <v>177.6</v>
      </c>
      <c r="AB53" s="8">
        <f t="shared" si="0"/>
        <v>720</v>
      </c>
      <c r="AC53" s="8">
        <f t="shared" si="1"/>
        <v>14.4</v>
      </c>
      <c r="AD53" s="8">
        <f t="shared" si="2"/>
        <v>705.6</v>
      </c>
      <c r="AE53" s="8">
        <f t="shared" si="3"/>
        <v>532.79999999999995</v>
      </c>
      <c r="AF53" s="8">
        <f t="shared" si="4"/>
        <v>172.80000000000007</v>
      </c>
      <c r="AG53" s="9">
        <f t="shared" si="5"/>
        <v>0.24489795918367355</v>
      </c>
      <c r="AH53" s="10">
        <f t="shared" si="6"/>
        <v>2025</v>
      </c>
      <c r="AI53" s="10">
        <f t="shared" si="7"/>
        <v>8</v>
      </c>
      <c r="AJ53" s="10" t="str">
        <f t="shared" si="8"/>
        <v>2025-08</v>
      </c>
      <c r="AK53" s="10" t="str">
        <f t="shared" si="9"/>
        <v>T3</v>
      </c>
      <c r="AL53" s="10" t="str">
        <f t="shared" si="10"/>
        <v>40-49</v>
      </c>
      <c r="AM53" s="10" t="str">
        <f t="shared" si="11"/>
        <v>faible</v>
      </c>
      <c r="AN53" s="10" t="s">
        <v>2837</v>
      </c>
      <c r="AO53" s="10" t="str">
        <f t="shared" si="12"/>
        <v>Moyenne</v>
      </c>
    </row>
    <row r="54" spans="1:41">
      <c r="A54" t="s">
        <v>372</v>
      </c>
      <c r="B54" s="2">
        <v>45855</v>
      </c>
      <c r="C54" t="s">
        <v>373</v>
      </c>
      <c r="D54" t="s">
        <v>148</v>
      </c>
      <c r="E54" t="s">
        <v>214</v>
      </c>
      <c r="F54" t="s">
        <v>374</v>
      </c>
      <c r="G54">
        <v>1</v>
      </c>
      <c r="H54" s="4">
        <v>110</v>
      </c>
      <c r="I54" s="3">
        <v>0</v>
      </c>
      <c r="J54" t="s">
        <v>77</v>
      </c>
      <c r="K54" t="s">
        <v>46</v>
      </c>
      <c r="L54" t="s">
        <v>375</v>
      </c>
      <c r="M54" t="s">
        <v>123</v>
      </c>
      <c r="N54" t="s">
        <v>101</v>
      </c>
      <c r="O54" t="s">
        <v>151</v>
      </c>
      <c r="P54" t="s">
        <v>103</v>
      </c>
      <c r="Q54" t="s">
        <v>114</v>
      </c>
      <c r="R54" t="s">
        <v>216</v>
      </c>
      <c r="S54" t="s">
        <v>65</v>
      </c>
      <c r="T54" t="s">
        <v>376</v>
      </c>
      <c r="U54" s="5">
        <v>45</v>
      </c>
      <c r="V54" s="5" t="s">
        <v>56</v>
      </c>
      <c r="W54" s="5">
        <v>30</v>
      </c>
      <c r="X54" s="5">
        <v>8.6999999999999993</v>
      </c>
      <c r="Y54" s="5">
        <v>2</v>
      </c>
      <c r="Z54" s="5" t="s">
        <v>117</v>
      </c>
      <c r="AA54" s="6">
        <v>72.599999999999994</v>
      </c>
      <c r="AB54" s="8">
        <f t="shared" si="0"/>
        <v>110</v>
      </c>
      <c r="AC54" s="8">
        <f t="shared" si="1"/>
        <v>0</v>
      </c>
      <c r="AD54" s="8">
        <f t="shared" si="2"/>
        <v>110</v>
      </c>
      <c r="AE54" s="8">
        <f t="shared" si="3"/>
        <v>72.599999999999994</v>
      </c>
      <c r="AF54" s="8">
        <f t="shared" si="4"/>
        <v>37.400000000000006</v>
      </c>
      <c r="AG54" s="9">
        <f t="shared" si="5"/>
        <v>0.34</v>
      </c>
      <c r="AH54" s="10">
        <f t="shared" si="6"/>
        <v>2025</v>
      </c>
      <c r="AI54" s="10">
        <f t="shared" si="7"/>
        <v>7</v>
      </c>
      <c r="AJ54" s="10" t="str">
        <f t="shared" si="8"/>
        <v>2025-07</v>
      </c>
      <c r="AK54" s="10" t="str">
        <f t="shared" si="9"/>
        <v>T3</v>
      </c>
      <c r="AL54" s="10" t="str">
        <f t="shared" si="10"/>
        <v>40-49</v>
      </c>
      <c r="AM54" s="10" t="str">
        <f t="shared" si="11"/>
        <v>bon</v>
      </c>
      <c r="AN54" s="10" t="s">
        <v>2838</v>
      </c>
      <c r="AO54" s="10" t="str">
        <f t="shared" si="12"/>
        <v>Faible</v>
      </c>
    </row>
    <row r="55" spans="1:41">
      <c r="A55" t="s">
        <v>377</v>
      </c>
      <c r="B55" s="2">
        <v>45711</v>
      </c>
      <c r="C55" t="s">
        <v>378</v>
      </c>
      <c r="D55" t="s">
        <v>74</v>
      </c>
      <c r="E55" t="s">
        <v>214</v>
      </c>
      <c r="F55" t="s">
        <v>62</v>
      </c>
      <c r="G55">
        <v>3</v>
      </c>
      <c r="H55" s="4">
        <v>95</v>
      </c>
      <c r="I55" s="3">
        <v>0</v>
      </c>
      <c r="J55" t="s">
        <v>90</v>
      </c>
      <c r="K55" t="s">
        <v>46</v>
      </c>
      <c r="L55" t="s">
        <v>379</v>
      </c>
      <c r="M55" t="s">
        <v>65</v>
      </c>
      <c r="N55" t="s">
        <v>101</v>
      </c>
      <c r="O55" t="s">
        <v>81</v>
      </c>
      <c r="P55" t="s">
        <v>82</v>
      </c>
      <c r="Q55" t="s">
        <v>52</v>
      </c>
      <c r="R55" t="s">
        <v>216</v>
      </c>
      <c r="S55" t="s">
        <v>65</v>
      </c>
      <c r="T55" t="s">
        <v>70</v>
      </c>
      <c r="U55" s="5">
        <v>60</v>
      </c>
      <c r="V55" s="5" t="s">
        <v>56</v>
      </c>
      <c r="W55" s="5">
        <v>28</v>
      </c>
      <c r="X55" s="5">
        <v>3.3</v>
      </c>
      <c r="Y55" s="5">
        <v>9</v>
      </c>
      <c r="Z55" s="5" t="s">
        <v>57</v>
      </c>
      <c r="AA55" s="6">
        <v>70.3</v>
      </c>
      <c r="AB55" s="8">
        <f t="shared" si="0"/>
        <v>285</v>
      </c>
      <c r="AC55" s="8">
        <f t="shared" si="1"/>
        <v>0</v>
      </c>
      <c r="AD55" s="8">
        <f t="shared" si="2"/>
        <v>285</v>
      </c>
      <c r="AE55" s="8">
        <f t="shared" si="3"/>
        <v>210.89999999999998</v>
      </c>
      <c r="AF55" s="8">
        <f t="shared" si="4"/>
        <v>74.100000000000023</v>
      </c>
      <c r="AG55" s="9">
        <f t="shared" si="5"/>
        <v>0.26000000000000006</v>
      </c>
      <c r="AH55" s="10">
        <f t="shared" si="6"/>
        <v>2025</v>
      </c>
      <c r="AI55" s="10">
        <f t="shared" si="7"/>
        <v>2</v>
      </c>
      <c r="AJ55" s="10" t="str">
        <f t="shared" si="8"/>
        <v>2025-02</v>
      </c>
      <c r="AK55" s="10" t="str">
        <f t="shared" si="9"/>
        <v>T1</v>
      </c>
      <c r="AL55" s="10" t="str">
        <f t="shared" si="10"/>
        <v>50+</v>
      </c>
      <c r="AM55" s="10" t="str">
        <f t="shared" si="11"/>
        <v>faible</v>
      </c>
      <c r="AN55" s="10" t="s">
        <v>2837</v>
      </c>
      <c r="AO55" s="10" t="str">
        <f t="shared" si="12"/>
        <v>Faible</v>
      </c>
    </row>
    <row r="56" spans="1:41">
      <c r="A56" t="s">
        <v>380</v>
      </c>
      <c r="B56" s="2">
        <v>45693</v>
      </c>
      <c r="C56" t="s">
        <v>381</v>
      </c>
      <c r="D56" t="s">
        <v>138</v>
      </c>
      <c r="E56" t="s">
        <v>75</v>
      </c>
      <c r="F56" t="s">
        <v>202</v>
      </c>
      <c r="G56">
        <v>6</v>
      </c>
      <c r="H56" s="4">
        <v>120</v>
      </c>
      <c r="I56" s="3">
        <v>0.02</v>
      </c>
      <c r="J56" t="s">
        <v>77</v>
      </c>
      <c r="K56" t="s">
        <v>46</v>
      </c>
      <c r="L56" t="s">
        <v>382</v>
      </c>
      <c r="M56" t="s">
        <v>54</v>
      </c>
      <c r="N56" t="s">
        <v>101</v>
      </c>
      <c r="O56" t="s">
        <v>142</v>
      </c>
      <c r="P56" t="s">
        <v>51</v>
      </c>
      <c r="Q56" t="s">
        <v>143</v>
      </c>
      <c r="R56" t="s">
        <v>83</v>
      </c>
      <c r="S56" t="s">
        <v>69</v>
      </c>
      <c r="T56" t="s">
        <v>204</v>
      </c>
      <c r="U56" s="5">
        <v>37</v>
      </c>
      <c r="V56" s="5" t="s">
        <v>56</v>
      </c>
      <c r="W56" s="5">
        <v>8</v>
      </c>
      <c r="X56" s="5">
        <v>6.4</v>
      </c>
      <c r="Y56" s="5">
        <v>4</v>
      </c>
      <c r="Z56" s="5" t="s">
        <v>57</v>
      </c>
      <c r="AA56" s="6">
        <v>73.2</v>
      </c>
      <c r="AB56" s="8">
        <f t="shared" si="0"/>
        <v>720</v>
      </c>
      <c r="AC56" s="8">
        <f t="shared" si="1"/>
        <v>14.4</v>
      </c>
      <c r="AD56" s="8">
        <f t="shared" si="2"/>
        <v>705.6</v>
      </c>
      <c r="AE56" s="8">
        <f t="shared" si="3"/>
        <v>439.20000000000005</v>
      </c>
      <c r="AF56" s="8">
        <f t="shared" si="4"/>
        <v>266.39999999999998</v>
      </c>
      <c r="AG56" s="9">
        <f t="shared" si="5"/>
        <v>0.37755102040816324</v>
      </c>
      <c r="AH56" s="10">
        <f t="shared" si="6"/>
        <v>2025</v>
      </c>
      <c r="AI56" s="10">
        <f t="shared" si="7"/>
        <v>2</v>
      </c>
      <c r="AJ56" s="10" t="str">
        <f t="shared" si="8"/>
        <v>2025-02</v>
      </c>
      <c r="AK56" s="10" t="str">
        <f t="shared" si="9"/>
        <v>T1</v>
      </c>
      <c r="AL56" s="10" t="str">
        <f t="shared" si="10"/>
        <v>30-39</v>
      </c>
      <c r="AM56" s="10" t="str">
        <f t="shared" si="11"/>
        <v>moyen</v>
      </c>
      <c r="AN56" s="10" t="s">
        <v>2839</v>
      </c>
      <c r="AO56" s="10" t="str">
        <f t="shared" si="12"/>
        <v>Moyenne</v>
      </c>
    </row>
    <row r="57" spans="1:41">
      <c r="A57" t="s">
        <v>383</v>
      </c>
      <c r="B57" s="2">
        <v>45846</v>
      </c>
      <c r="C57" t="s">
        <v>384</v>
      </c>
      <c r="D57" t="s">
        <v>174</v>
      </c>
      <c r="E57" t="s">
        <v>139</v>
      </c>
      <c r="F57" t="s">
        <v>197</v>
      </c>
      <c r="G57">
        <v>2</v>
      </c>
      <c r="H57" s="4">
        <v>780</v>
      </c>
      <c r="I57" s="3">
        <v>0</v>
      </c>
      <c r="J57" t="s">
        <v>77</v>
      </c>
      <c r="K57" t="s">
        <v>46</v>
      </c>
      <c r="L57" t="s">
        <v>385</v>
      </c>
      <c r="M57" t="s">
        <v>123</v>
      </c>
      <c r="N57" t="s">
        <v>80</v>
      </c>
      <c r="O57" t="s">
        <v>177</v>
      </c>
      <c r="P57" t="s">
        <v>103</v>
      </c>
      <c r="Q57" t="s">
        <v>114</v>
      </c>
      <c r="R57" t="s">
        <v>144</v>
      </c>
      <c r="S57" t="s">
        <v>65</v>
      </c>
      <c r="T57" t="s">
        <v>199</v>
      </c>
      <c r="U57" s="5">
        <v>34</v>
      </c>
      <c r="V57" s="5" t="s">
        <v>56</v>
      </c>
      <c r="W57" s="5">
        <v>56</v>
      </c>
      <c r="X57" s="5">
        <v>5.4</v>
      </c>
      <c r="Y57" s="5">
        <v>5</v>
      </c>
      <c r="Z57" s="5" t="s">
        <v>117</v>
      </c>
      <c r="AA57" s="6">
        <v>468</v>
      </c>
      <c r="AB57" s="8">
        <f t="shared" si="0"/>
        <v>1560</v>
      </c>
      <c r="AC57" s="8">
        <f t="shared" si="1"/>
        <v>0</v>
      </c>
      <c r="AD57" s="8">
        <f t="shared" si="2"/>
        <v>1560</v>
      </c>
      <c r="AE57" s="8">
        <f t="shared" si="3"/>
        <v>936</v>
      </c>
      <c r="AF57" s="8">
        <f t="shared" si="4"/>
        <v>624</v>
      </c>
      <c r="AG57" s="9">
        <f t="shared" si="5"/>
        <v>0.4</v>
      </c>
      <c r="AH57" s="10">
        <f t="shared" si="6"/>
        <v>2025</v>
      </c>
      <c r="AI57" s="10">
        <f t="shared" si="7"/>
        <v>7</v>
      </c>
      <c r="AJ57" s="10" t="str">
        <f t="shared" si="8"/>
        <v>2025-07</v>
      </c>
      <c r="AK57" s="10" t="str">
        <f t="shared" si="9"/>
        <v>T3</v>
      </c>
      <c r="AL57" s="10" t="str">
        <f t="shared" si="10"/>
        <v>30-39</v>
      </c>
      <c r="AM57" s="10" t="str">
        <f t="shared" si="11"/>
        <v>moyen</v>
      </c>
      <c r="AN57" s="10" t="s">
        <v>2839</v>
      </c>
      <c r="AO57" s="10" t="str">
        <f t="shared" si="12"/>
        <v>Elevée</v>
      </c>
    </row>
    <row r="58" spans="1:41">
      <c r="A58" t="s">
        <v>386</v>
      </c>
      <c r="B58" s="2">
        <v>45724</v>
      </c>
      <c r="C58" t="s">
        <v>387</v>
      </c>
      <c r="D58" t="s">
        <v>148</v>
      </c>
      <c r="E58" t="s">
        <v>75</v>
      </c>
      <c r="F58" t="s">
        <v>388</v>
      </c>
      <c r="G58">
        <v>3</v>
      </c>
      <c r="H58" s="4">
        <v>110</v>
      </c>
      <c r="I58" s="3">
        <v>0.02</v>
      </c>
      <c r="J58" t="s">
        <v>90</v>
      </c>
      <c r="K58" t="s">
        <v>46</v>
      </c>
      <c r="L58" t="s">
        <v>389</v>
      </c>
      <c r="M58" t="s">
        <v>69</v>
      </c>
      <c r="N58" t="s">
        <v>112</v>
      </c>
      <c r="O58" t="s">
        <v>151</v>
      </c>
      <c r="P58" t="s">
        <v>103</v>
      </c>
      <c r="Q58" t="s">
        <v>114</v>
      </c>
      <c r="R58" t="s">
        <v>83</v>
      </c>
      <c r="S58" t="s">
        <v>69</v>
      </c>
      <c r="T58" t="s">
        <v>390</v>
      </c>
      <c r="U58" s="5">
        <v>56</v>
      </c>
      <c r="V58" s="5" t="s">
        <v>85</v>
      </c>
      <c r="W58" s="5">
        <v>31</v>
      </c>
      <c r="X58" s="5">
        <v>5</v>
      </c>
      <c r="Y58" s="5">
        <v>8</v>
      </c>
      <c r="Z58" s="5" t="s">
        <v>57</v>
      </c>
      <c r="AA58" s="6">
        <v>72.599999999999994</v>
      </c>
      <c r="AB58" s="8">
        <f t="shared" si="0"/>
        <v>330</v>
      </c>
      <c r="AC58" s="8">
        <f t="shared" si="1"/>
        <v>6.6000000000000005</v>
      </c>
      <c r="AD58" s="8">
        <f t="shared" si="2"/>
        <v>323.39999999999998</v>
      </c>
      <c r="AE58" s="8">
        <f t="shared" si="3"/>
        <v>217.79999999999998</v>
      </c>
      <c r="AF58" s="8">
        <f t="shared" si="4"/>
        <v>105.6</v>
      </c>
      <c r="AG58" s="9">
        <f t="shared" si="5"/>
        <v>0.32653061224489799</v>
      </c>
      <c r="AH58" s="10">
        <f t="shared" si="6"/>
        <v>2025</v>
      </c>
      <c r="AI58" s="10">
        <f t="shared" si="7"/>
        <v>3</v>
      </c>
      <c r="AJ58" s="10" t="str">
        <f t="shared" si="8"/>
        <v>2025-03</v>
      </c>
      <c r="AK58" s="10" t="str">
        <f t="shared" si="9"/>
        <v>T1</v>
      </c>
      <c r="AL58" s="10" t="str">
        <f t="shared" si="10"/>
        <v>50+</v>
      </c>
      <c r="AM58" s="10" t="str">
        <f t="shared" si="11"/>
        <v>moyen</v>
      </c>
      <c r="AN58" s="10" t="s">
        <v>2837</v>
      </c>
      <c r="AO58" s="10" t="str">
        <f t="shared" si="12"/>
        <v>Faible</v>
      </c>
    </row>
    <row r="59" spans="1:41">
      <c r="A59" t="s">
        <v>391</v>
      </c>
      <c r="B59" s="2">
        <v>45879</v>
      </c>
      <c r="C59" t="s">
        <v>392</v>
      </c>
      <c r="D59" t="s">
        <v>42</v>
      </c>
      <c r="E59" t="s">
        <v>88</v>
      </c>
      <c r="F59" t="s">
        <v>220</v>
      </c>
      <c r="G59">
        <v>4</v>
      </c>
      <c r="H59" s="4">
        <v>260</v>
      </c>
      <c r="I59" s="3">
        <v>0.08</v>
      </c>
      <c r="J59" t="s">
        <v>63</v>
      </c>
      <c r="K59" t="s">
        <v>46</v>
      </c>
      <c r="L59" t="s">
        <v>393</v>
      </c>
      <c r="M59" t="s">
        <v>79</v>
      </c>
      <c r="N59" t="s">
        <v>255</v>
      </c>
      <c r="O59" t="s">
        <v>50</v>
      </c>
      <c r="P59" t="s">
        <v>51</v>
      </c>
      <c r="Q59" t="s">
        <v>52</v>
      </c>
      <c r="R59" t="s">
        <v>92</v>
      </c>
      <c r="S59" t="s">
        <v>48</v>
      </c>
      <c r="T59" t="s">
        <v>223</v>
      </c>
      <c r="U59" s="5">
        <v>35</v>
      </c>
      <c r="V59" s="5" t="s">
        <v>56</v>
      </c>
      <c r="W59" s="5">
        <v>26</v>
      </c>
      <c r="X59" s="5">
        <v>4.9000000000000004</v>
      </c>
      <c r="Y59" s="5">
        <v>7</v>
      </c>
      <c r="Z59" s="5" t="s">
        <v>117</v>
      </c>
      <c r="AA59" s="6">
        <v>189.8</v>
      </c>
      <c r="AB59" s="8">
        <f t="shared" si="0"/>
        <v>1040</v>
      </c>
      <c r="AC59" s="8">
        <f t="shared" si="1"/>
        <v>83.2</v>
      </c>
      <c r="AD59" s="8">
        <f t="shared" si="2"/>
        <v>956.8</v>
      </c>
      <c r="AE59" s="8">
        <f t="shared" si="3"/>
        <v>759.2</v>
      </c>
      <c r="AF59" s="8">
        <f t="shared" si="4"/>
        <v>197.59999999999991</v>
      </c>
      <c r="AG59" s="9">
        <f t="shared" si="5"/>
        <v>0.2065217391304347</v>
      </c>
      <c r="AH59" s="10">
        <f t="shared" si="6"/>
        <v>2025</v>
      </c>
      <c r="AI59" s="10">
        <f t="shared" si="7"/>
        <v>8</v>
      </c>
      <c r="AJ59" s="10" t="str">
        <f t="shared" si="8"/>
        <v>2025-08</v>
      </c>
      <c r="AK59" s="10" t="str">
        <f t="shared" si="9"/>
        <v>T3</v>
      </c>
      <c r="AL59" s="10" t="str">
        <f t="shared" si="10"/>
        <v>30-39</v>
      </c>
      <c r="AM59" s="10" t="str">
        <f t="shared" si="11"/>
        <v>faible</v>
      </c>
      <c r="AN59" s="10" t="s">
        <v>2837</v>
      </c>
      <c r="AO59" s="10" t="str">
        <f t="shared" si="12"/>
        <v>Moyenne</v>
      </c>
    </row>
    <row r="60" spans="1:41">
      <c r="A60" t="s">
        <v>394</v>
      </c>
      <c r="B60" s="2">
        <v>45784</v>
      </c>
      <c r="C60" t="s">
        <v>395</v>
      </c>
      <c r="D60" t="s">
        <v>174</v>
      </c>
      <c r="E60" t="s">
        <v>226</v>
      </c>
      <c r="F60" t="s">
        <v>396</v>
      </c>
      <c r="G60">
        <v>3</v>
      </c>
      <c r="H60" s="4">
        <v>780</v>
      </c>
      <c r="I60" s="3">
        <v>0.05</v>
      </c>
      <c r="J60" t="s">
        <v>63</v>
      </c>
      <c r="K60" t="s">
        <v>46</v>
      </c>
      <c r="L60" t="s">
        <v>397</v>
      </c>
      <c r="M60" t="s">
        <v>123</v>
      </c>
      <c r="N60" t="s">
        <v>49</v>
      </c>
      <c r="O60" t="s">
        <v>177</v>
      </c>
      <c r="P60" t="s">
        <v>103</v>
      </c>
      <c r="Q60" t="s">
        <v>114</v>
      </c>
      <c r="R60" t="s">
        <v>229</v>
      </c>
      <c r="S60" t="s">
        <v>48</v>
      </c>
      <c r="T60" t="s">
        <v>398</v>
      </c>
      <c r="U60" s="5">
        <v>46</v>
      </c>
      <c r="V60" s="5" t="s">
        <v>85</v>
      </c>
      <c r="W60" s="5">
        <v>62</v>
      </c>
      <c r="X60" s="5">
        <v>4.8</v>
      </c>
      <c r="Y60" s="5">
        <v>8</v>
      </c>
      <c r="Z60" s="5" t="s">
        <v>117</v>
      </c>
      <c r="AA60" s="6">
        <v>468</v>
      </c>
      <c r="AB60" s="8">
        <f t="shared" si="0"/>
        <v>2340</v>
      </c>
      <c r="AC60" s="8">
        <f t="shared" si="1"/>
        <v>117</v>
      </c>
      <c r="AD60" s="8">
        <f t="shared" si="2"/>
        <v>2223</v>
      </c>
      <c r="AE60" s="8">
        <f t="shared" si="3"/>
        <v>1404</v>
      </c>
      <c r="AF60" s="8">
        <f t="shared" si="4"/>
        <v>819</v>
      </c>
      <c r="AG60" s="9">
        <f t="shared" si="5"/>
        <v>0.36842105263157893</v>
      </c>
      <c r="AH60" s="10">
        <f t="shared" si="6"/>
        <v>2025</v>
      </c>
      <c r="AI60" s="10">
        <f t="shared" si="7"/>
        <v>5</v>
      </c>
      <c r="AJ60" s="10" t="str">
        <f t="shared" si="8"/>
        <v>2025-05</v>
      </c>
      <c r="AK60" s="10" t="str">
        <f t="shared" si="9"/>
        <v>T2</v>
      </c>
      <c r="AL60" s="10" t="str">
        <f t="shared" si="10"/>
        <v>40-49</v>
      </c>
      <c r="AM60" s="10" t="str">
        <f t="shared" si="11"/>
        <v>faible</v>
      </c>
      <c r="AN60" s="10" t="s">
        <v>2837</v>
      </c>
      <c r="AO60" s="10" t="str">
        <f t="shared" si="12"/>
        <v>Elevée</v>
      </c>
    </row>
    <row r="61" spans="1:41">
      <c r="A61" t="s">
        <v>399</v>
      </c>
      <c r="B61" s="2">
        <v>45891</v>
      </c>
      <c r="C61" t="s">
        <v>400</v>
      </c>
      <c r="D61" t="s">
        <v>174</v>
      </c>
      <c r="E61" t="s">
        <v>43</v>
      </c>
      <c r="F61" t="s">
        <v>292</v>
      </c>
      <c r="G61">
        <v>2</v>
      </c>
      <c r="H61" s="4">
        <v>780</v>
      </c>
      <c r="I61" s="3">
        <v>0.1</v>
      </c>
      <c r="J61" t="s">
        <v>77</v>
      </c>
      <c r="K61" t="s">
        <v>46</v>
      </c>
      <c r="L61" t="s">
        <v>401</v>
      </c>
      <c r="M61" t="s">
        <v>69</v>
      </c>
      <c r="N61" t="s">
        <v>80</v>
      </c>
      <c r="O61" t="s">
        <v>177</v>
      </c>
      <c r="P61" t="s">
        <v>103</v>
      </c>
      <c r="Q61" t="s">
        <v>114</v>
      </c>
      <c r="R61" t="s">
        <v>53</v>
      </c>
      <c r="S61" t="s">
        <v>54</v>
      </c>
      <c r="T61" t="s">
        <v>294</v>
      </c>
      <c r="U61" s="5">
        <v>47</v>
      </c>
      <c r="V61" s="5" t="s">
        <v>85</v>
      </c>
      <c r="W61" s="5">
        <v>56</v>
      </c>
      <c r="X61" s="5">
        <v>6.1</v>
      </c>
      <c r="Y61" s="5">
        <v>5</v>
      </c>
      <c r="Z61" s="5" t="s">
        <v>57</v>
      </c>
      <c r="AA61" s="6">
        <v>468</v>
      </c>
      <c r="AB61" s="8">
        <f t="shared" si="0"/>
        <v>1560</v>
      </c>
      <c r="AC61" s="8">
        <f t="shared" si="1"/>
        <v>156</v>
      </c>
      <c r="AD61" s="8">
        <f t="shared" si="2"/>
        <v>1404</v>
      </c>
      <c r="AE61" s="8">
        <f t="shared" si="3"/>
        <v>936</v>
      </c>
      <c r="AF61" s="8">
        <f t="shared" si="4"/>
        <v>468</v>
      </c>
      <c r="AG61" s="9">
        <f t="shared" si="5"/>
        <v>0.33333333333333331</v>
      </c>
      <c r="AH61" s="10">
        <f t="shared" si="6"/>
        <v>2025</v>
      </c>
      <c r="AI61" s="10">
        <f t="shared" si="7"/>
        <v>8</v>
      </c>
      <c r="AJ61" s="10" t="str">
        <f t="shared" si="8"/>
        <v>2025-08</v>
      </c>
      <c r="AK61" s="10" t="str">
        <f t="shared" si="9"/>
        <v>T3</v>
      </c>
      <c r="AL61" s="10" t="str">
        <f t="shared" si="10"/>
        <v>40-49</v>
      </c>
      <c r="AM61" s="10" t="str">
        <f t="shared" si="11"/>
        <v>moyen</v>
      </c>
      <c r="AN61" s="10" t="s">
        <v>2839</v>
      </c>
      <c r="AO61" s="10" t="str">
        <f t="shared" si="12"/>
        <v>Elevée</v>
      </c>
    </row>
    <row r="62" spans="1:41">
      <c r="A62" t="s">
        <v>402</v>
      </c>
      <c r="B62" s="2">
        <v>45680</v>
      </c>
      <c r="C62" t="s">
        <v>403</v>
      </c>
      <c r="D62" t="s">
        <v>97</v>
      </c>
      <c r="E62" t="s">
        <v>226</v>
      </c>
      <c r="F62" t="s">
        <v>182</v>
      </c>
      <c r="G62">
        <v>1</v>
      </c>
      <c r="H62" s="4">
        <v>520</v>
      </c>
      <c r="I62" s="3">
        <v>0.1</v>
      </c>
      <c r="J62" t="s">
        <v>45</v>
      </c>
      <c r="K62" t="s">
        <v>46</v>
      </c>
      <c r="L62" t="s">
        <v>404</v>
      </c>
      <c r="M62" t="s">
        <v>79</v>
      </c>
      <c r="N62" t="s">
        <v>49</v>
      </c>
      <c r="O62" t="s">
        <v>102</v>
      </c>
      <c r="P62" t="s">
        <v>103</v>
      </c>
      <c r="Q62" t="s">
        <v>52</v>
      </c>
      <c r="R62" t="s">
        <v>229</v>
      </c>
      <c r="S62" t="s">
        <v>48</v>
      </c>
      <c r="T62" t="s">
        <v>185</v>
      </c>
      <c r="U62" s="5">
        <v>23</v>
      </c>
      <c r="V62" s="5" t="s">
        <v>56</v>
      </c>
      <c r="W62" s="5">
        <v>59</v>
      </c>
      <c r="X62" s="5">
        <v>7.7</v>
      </c>
      <c r="Y62" s="5">
        <v>3</v>
      </c>
      <c r="Z62" s="5" t="s">
        <v>71</v>
      </c>
      <c r="AA62" s="6">
        <v>348.4</v>
      </c>
      <c r="AB62" s="8">
        <f t="shared" si="0"/>
        <v>520</v>
      </c>
      <c r="AC62" s="8">
        <f t="shared" si="1"/>
        <v>52</v>
      </c>
      <c r="AD62" s="8">
        <f t="shared" si="2"/>
        <v>468</v>
      </c>
      <c r="AE62" s="8">
        <f t="shared" si="3"/>
        <v>348.4</v>
      </c>
      <c r="AF62" s="8">
        <f t="shared" si="4"/>
        <v>119.60000000000002</v>
      </c>
      <c r="AG62" s="9">
        <f t="shared" si="5"/>
        <v>0.25555555555555559</v>
      </c>
      <c r="AH62" s="10">
        <f t="shared" si="6"/>
        <v>2025</v>
      </c>
      <c r="AI62" s="10">
        <f t="shared" si="7"/>
        <v>1</v>
      </c>
      <c r="AJ62" s="10" t="str">
        <f t="shared" si="8"/>
        <v>2025-01</v>
      </c>
      <c r="AK62" s="10" t="str">
        <f t="shared" si="9"/>
        <v>T1</v>
      </c>
      <c r="AL62" s="10" t="str">
        <f t="shared" si="10"/>
        <v>22-29</v>
      </c>
      <c r="AM62" s="10" t="str">
        <f t="shared" si="11"/>
        <v>bon</v>
      </c>
      <c r="AN62" s="10" t="s">
        <v>2838</v>
      </c>
      <c r="AO62" s="10" t="str">
        <f t="shared" si="12"/>
        <v>Faible</v>
      </c>
    </row>
    <row r="63" spans="1:41">
      <c r="A63" t="s">
        <v>405</v>
      </c>
      <c r="B63" s="2">
        <v>45824</v>
      </c>
      <c r="C63" t="s">
        <v>406</v>
      </c>
      <c r="D63" t="s">
        <v>97</v>
      </c>
      <c r="E63" t="s">
        <v>207</v>
      </c>
      <c r="F63" t="s">
        <v>253</v>
      </c>
      <c r="G63">
        <v>2</v>
      </c>
      <c r="H63" s="4">
        <v>520</v>
      </c>
      <c r="I63" s="3">
        <v>0</v>
      </c>
      <c r="J63" t="s">
        <v>77</v>
      </c>
      <c r="K63" t="s">
        <v>46</v>
      </c>
      <c r="L63" t="s">
        <v>407</v>
      </c>
      <c r="M63" t="s">
        <v>48</v>
      </c>
      <c r="N63" t="s">
        <v>80</v>
      </c>
      <c r="O63" t="s">
        <v>102</v>
      </c>
      <c r="P63" t="s">
        <v>103</v>
      </c>
      <c r="Q63" t="s">
        <v>52</v>
      </c>
      <c r="R63" t="s">
        <v>210</v>
      </c>
      <c r="S63" t="s">
        <v>79</v>
      </c>
      <c r="T63" t="s">
        <v>256</v>
      </c>
      <c r="U63" s="5">
        <v>57</v>
      </c>
      <c r="V63" s="5" t="s">
        <v>85</v>
      </c>
      <c r="W63" s="5">
        <v>26</v>
      </c>
      <c r="X63" s="5">
        <v>6.6</v>
      </c>
      <c r="Y63" s="5">
        <v>5</v>
      </c>
      <c r="Z63" s="5" t="s">
        <v>57</v>
      </c>
      <c r="AA63" s="6">
        <v>348.4</v>
      </c>
      <c r="AB63" s="8">
        <f t="shared" si="0"/>
        <v>1040</v>
      </c>
      <c r="AC63" s="8">
        <f t="shared" si="1"/>
        <v>0</v>
      </c>
      <c r="AD63" s="8">
        <f t="shared" si="2"/>
        <v>1040</v>
      </c>
      <c r="AE63" s="8">
        <f t="shared" si="3"/>
        <v>696.8</v>
      </c>
      <c r="AF63" s="8">
        <f t="shared" si="4"/>
        <v>343.20000000000005</v>
      </c>
      <c r="AG63" s="9">
        <f t="shared" si="5"/>
        <v>0.33000000000000007</v>
      </c>
      <c r="AH63" s="10">
        <f t="shared" si="6"/>
        <v>2025</v>
      </c>
      <c r="AI63" s="10">
        <f t="shared" si="7"/>
        <v>6</v>
      </c>
      <c r="AJ63" s="10" t="str">
        <f t="shared" si="8"/>
        <v>2025-06</v>
      </c>
      <c r="AK63" s="10" t="str">
        <f t="shared" si="9"/>
        <v>T2</v>
      </c>
      <c r="AL63" s="10" t="str">
        <f t="shared" si="10"/>
        <v>50+</v>
      </c>
      <c r="AM63" s="10" t="str">
        <f t="shared" si="11"/>
        <v>moyen</v>
      </c>
      <c r="AN63" s="10" t="s">
        <v>2839</v>
      </c>
      <c r="AO63" s="10" t="str">
        <f t="shared" si="12"/>
        <v>Elevée</v>
      </c>
    </row>
    <row r="64" spans="1:41">
      <c r="A64" t="s">
        <v>408</v>
      </c>
      <c r="B64" s="2">
        <v>45985</v>
      </c>
      <c r="C64" t="s">
        <v>409</v>
      </c>
      <c r="D64" t="s">
        <v>155</v>
      </c>
      <c r="E64" t="s">
        <v>120</v>
      </c>
      <c r="F64" t="s">
        <v>282</v>
      </c>
      <c r="G64">
        <v>3</v>
      </c>
      <c r="H64" s="4">
        <v>48</v>
      </c>
      <c r="I64" s="3">
        <v>0.08</v>
      </c>
      <c r="J64" t="s">
        <v>63</v>
      </c>
      <c r="K64" t="s">
        <v>46</v>
      </c>
      <c r="L64" t="s">
        <v>410</v>
      </c>
      <c r="M64" t="s">
        <v>79</v>
      </c>
      <c r="N64" t="s">
        <v>101</v>
      </c>
      <c r="O64" t="s">
        <v>158</v>
      </c>
      <c r="P64" t="s">
        <v>51</v>
      </c>
      <c r="Q64" t="s">
        <v>143</v>
      </c>
      <c r="R64" t="s">
        <v>124</v>
      </c>
      <c r="S64" t="s">
        <v>48</v>
      </c>
      <c r="T64" t="s">
        <v>284</v>
      </c>
      <c r="U64" s="5">
        <v>40</v>
      </c>
      <c r="V64" s="5" t="s">
        <v>85</v>
      </c>
      <c r="W64" s="5">
        <v>53</v>
      </c>
      <c r="X64" s="5">
        <v>4.0999999999999996</v>
      </c>
      <c r="Y64" s="5">
        <v>8</v>
      </c>
      <c r="Z64" s="5" t="s">
        <v>71</v>
      </c>
      <c r="AA64" s="6">
        <v>37.44</v>
      </c>
      <c r="AB64" s="8">
        <f t="shared" si="0"/>
        <v>144</v>
      </c>
      <c r="AC64" s="8">
        <f t="shared" si="1"/>
        <v>11.52</v>
      </c>
      <c r="AD64" s="8">
        <f t="shared" si="2"/>
        <v>132.47999999999999</v>
      </c>
      <c r="AE64" s="8">
        <f t="shared" si="3"/>
        <v>112.32</v>
      </c>
      <c r="AF64" s="8">
        <f t="shared" si="4"/>
        <v>20.159999999999997</v>
      </c>
      <c r="AG64" s="9">
        <f t="shared" si="5"/>
        <v>0.15217391304347824</v>
      </c>
      <c r="AH64" s="10">
        <f t="shared" si="6"/>
        <v>2025</v>
      </c>
      <c r="AI64" s="10">
        <f t="shared" si="7"/>
        <v>11</v>
      </c>
      <c r="AJ64" s="10" t="str">
        <f t="shared" si="8"/>
        <v>2025-11</v>
      </c>
      <c r="AK64" s="10" t="str">
        <f t="shared" si="9"/>
        <v>T4</v>
      </c>
      <c r="AL64" s="10" t="str">
        <f t="shared" si="10"/>
        <v>40-49</v>
      </c>
      <c r="AM64" s="10" t="str">
        <f t="shared" si="11"/>
        <v>faible</v>
      </c>
      <c r="AN64" s="10" t="s">
        <v>2837</v>
      </c>
      <c r="AO64" s="10" t="str">
        <f t="shared" si="12"/>
        <v>Faible</v>
      </c>
    </row>
    <row r="65" spans="1:41">
      <c r="A65" t="s">
        <v>411</v>
      </c>
      <c r="B65" s="2">
        <v>45663</v>
      </c>
      <c r="C65" t="s">
        <v>412</v>
      </c>
      <c r="D65" t="s">
        <v>181</v>
      </c>
      <c r="E65" t="s">
        <v>226</v>
      </c>
      <c r="F65" t="s">
        <v>413</v>
      </c>
      <c r="G65">
        <v>1</v>
      </c>
      <c r="H65" s="4">
        <v>145</v>
      </c>
      <c r="I65" s="3">
        <v>0.08</v>
      </c>
      <c r="J65" t="s">
        <v>45</v>
      </c>
      <c r="K65" t="s">
        <v>46</v>
      </c>
      <c r="L65" t="s">
        <v>414</v>
      </c>
      <c r="M65" t="s">
        <v>79</v>
      </c>
      <c r="N65" t="s">
        <v>80</v>
      </c>
      <c r="O65" t="s">
        <v>184</v>
      </c>
      <c r="P65" t="s">
        <v>103</v>
      </c>
      <c r="Q65" t="s">
        <v>52</v>
      </c>
      <c r="R65" t="s">
        <v>229</v>
      </c>
      <c r="S65" t="s">
        <v>48</v>
      </c>
      <c r="T65" t="s">
        <v>415</v>
      </c>
      <c r="U65" s="5">
        <v>27</v>
      </c>
      <c r="V65" s="5" t="s">
        <v>56</v>
      </c>
      <c r="W65" s="5">
        <v>47</v>
      </c>
      <c r="X65" s="5">
        <v>6.2</v>
      </c>
      <c r="Y65" s="5">
        <v>6</v>
      </c>
      <c r="Z65" s="5" t="s">
        <v>94</v>
      </c>
      <c r="AA65" s="6">
        <v>97.15</v>
      </c>
      <c r="AB65" s="8">
        <f t="shared" si="0"/>
        <v>145</v>
      </c>
      <c r="AC65" s="8">
        <f t="shared" si="1"/>
        <v>11.6</v>
      </c>
      <c r="AD65" s="8">
        <f t="shared" si="2"/>
        <v>133.4</v>
      </c>
      <c r="AE65" s="8">
        <f t="shared" si="3"/>
        <v>97.15</v>
      </c>
      <c r="AF65" s="8">
        <f t="shared" si="4"/>
        <v>36.25</v>
      </c>
      <c r="AG65" s="9">
        <f t="shared" si="5"/>
        <v>0.27173913043478259</v>
      </c>
      <c r="AH65" s="10">
        <f t="shared" si="6"/>
        <v>2025</v>
      </c>
      <c r="AI65" s="10">
        <f t="shared" si="7"/>
        <v>1</v>
      </c>
      <c r="AJ65" s="10" t="str">
        <f t="shared" si="8"/>
        <v>2025-01</v>
      </c>
      <c r="AK65" s="10" t="str">
        <f t="shared" si="9"/>
        <v>T1</v>
      </c>
      <c r="AL65" s="10" t="str">
        <f t="shared" si="10"/>
        <v>22-29</v>
      </c>
      <c r="AM65" s="10" t="str">
        <f t="shared" si="11"/>
        <v>moyen</v>
      </c>
      <c r="AN65" s="10" t="s">
        <v>2839</v>
      </c>
      <c r="AO65" s="10" t="str">
        <f t="shared" si="12"/>
        <v>Faible</v>
      </c>
    </row>
    <row r="66" spans="1:41">
      <c r="A66" t="s">
        <v>416</v>
      </c>
      <c r="B66" s="2">
        <v>45700</v>
      </c>
      <c r="C66" t="s">
        <v>417</v>
      </c>
      <c r="D66" t="s">
        <v>272</v>
      </c>
      <c r="E66" t="s">
        <v>139</v>
      </c>
      <c r="F66" t="s">
        <v>282</v>
      </c>
      <c r="G66">
        <v>3</v>
      </c>
      <c r="H66" s="4">
        <v>420</v>
      </c>
      <c r="I66" s="3">
        <v>0</v>
      </c>
      <c r="J66" t="s">
        <v>63</v>
      </c>
      <c r="K66" t="s">
        <v>46</v>
      </c>
      <c r="L66" t="s">
        <v>418</v>
      </c>
      <c r="M66" t="s">
        <v>123</v>
      </c>
      <c r="N66" t="s">
        <v>112</v>
      </c>
      <c r="O66" t="s">
        <v>274</v>
      </c>
      <c r="P66" t="s">
        <v>133</v>
      </c>
      <c r="Q66" t="s">
        <v>114</v>
      </c>
      <c r="R66" t="s">
        <v>144</v>
      </c>
      <c r="S66" t="s">
        <v>65</v>
      </c>
      <c r="T66" t="s">
        <v>284</v>
      </c>
      <c r="U66" s="5">
        <v>46</v>
      </c>
      <c r="V66" s="5" t="s">
        <v>56</v>
      </c>
      <c r="W66" s="5">
        <v>22</v>
      </c>
      <c r="X66" s="5">
        <v>9.1</v>
      </c>
      <c r="Y66" s="5">
        <v>1</v>
      </c>
      <c r="Z66" s="5" t="s">
        <v>71</v>
      </c>
      <c r="AA66" s="6">
        <v>273</v>
      </c>
      <c r="AB66" s="8">
        <f t="shared" si="0"/>
        <v>1260</v>
      </c>
      <c r="AC66" s="8">
        <f t="shared" si="1"/>
        <v>0</v>
      </c>
      <c r="AD66" s="8">
        <f t="shared" si="2"/>
        <v>1260</v>
      </c>
      <c r="AE66" s="8">
        <f t="shared" si="3"/>
        <v>819</v>
      </c>
      <c r="AF66" s="8">
        <f t="shared" si="4"/>
        <v>441</v>
      </c>
      <c r="AG66" s="9">
        <f t="shared" si="5"/>
        <v>0.35</v>
      </c>
      <c r="AH66" s="10">
        <f t="shared" si="6"/>
        <v>2025</v>
      </c>
      <c r="AI66" s="10">
        <f t="shared" si="7"/>
        <v>2</v>
      </c>
      <c r="AJ66" s="10" t="str">
        <f t="shared" si="8"/>
        <v>2025-02</v>
      </c>
      <c r="AK66" s="10" t="str">
        <f t="shared" si="9"/>
        <v>T1</v>
      </c>
      <c r="AL66" s="10" t="str">
        <f t="shared" si="10"/>
        <v>40-49</v>
      </c>
      <c r="AM66" s="10" t="str">
        <f t="shared" si="11"/>
        <v>excellent</v>
      </c>
      <c r="AN66" s="10" t="s">
        <v>2838</v>
      </c>
      <c r="AO66" s="10" t="str">
        <f t="shared" si="12"/>
        <v>Elevée</v>
      </c>
    </row>
    <row r="67" spans="1:41">
      <c r="A67" t="s">
        <v>419</v>
      </c>
      <c r="B67" s="2">
        <v>45667</v>
      </c>
      <c r="C67" t="s">
        <v>420</v>
      </c>
      <c r="D67" t="s">
        <v>128</v>
      </c>
      <c r="E67" t="s">
        <v>75</v>
      </c>
      <c r="F67" t="s">
        <v>149</v>
      </c>
      <c r="G67">
        <v>3</v>
      </c>
      <c r="H67" s="4">
        <v>190</v>
      </c>
      <c r="I67" s="3">
        <v>0</v>
      </c>
      <c r="J67" t="s">
        <v>77</v>
      </c>
      <c r="K67" t="s">
        <v>46</v>
      </c>
      <c r="L67" t="s">
        <v>421</v>
      </c>
      <c r="M67" t="s">
        <v>69</v>
      </c>
      <c r="N67" t="s">
        <v>255</v>
      </c>
      <c r="O67" t="s">
        <v>132</v>
      </c>
      <c r="P67" t="s">
        <v>133</v>
      </c>
      <c r="Q67" t="s">
        <v>52</v>
      </c>
      <c r="R67" t="s">
        <v>83</v>
      </c>
      <c r="S67" t="s">
        <v>69</v>
      </c>
      <c r="T67" t="s">
        <v>152</v>
      </c>
      <c r="U67" s="5">
        <v>44</v>
      </c>
      <c r="V67" s="5" t="s">
        <v>56</v>
      </c>
      <c r="W67" s="5">
        <v>61</v>
      </c>
      <c r="X67" s="5">
        <v>5.6</v>
      </c>
      <c r="Y67" s="5">
        <v>5</v>
      </c>
      <c r="Z67" s="5" t="s">
        <v>57</v>
      </c>
      <c r="AA67" s="6">
        <v>148.19999999999999</v>
      </c>
      <c r="AB67" s="8">
        <f t="shared" ref="AB67:AB130" si="13">G67*H67</f>
        <v>570</v>
      </c>
      <c r="AC67" s="8">
        <f t="shared" ref="AC67:AC130" si="14">I67*AB67</f>
        <v>0</v>
      </c>
      <c r="AD67" s="8">
        <f t="shared" ref="AD67:AD130" si="15">AB67-AC67</f>
        <v>570</v>
      </c>
      <c r="AE67" s="8">
        <f t="shared" ref="AE67:AE130" si="16">G67*AA67</f>
        <v>444.59999999999997</v>
      </c>
      <c r="AF67" s="8">
        <f t="shared" ref="AF67:AF130" si="17">AD67-AE67</f>
        <v>125.40000000000003</v>
      </c>
      <c r="AG67" s="9">
        <f t="shared" ref="AG67:AG130" si="18">IFERROR(AF67/AD67,)</f>
        <v>0.22000000000000006</v>
      </c>
      <c r="AH67" s="10">
        <f t="shared" ref="AH67:AH130" si="19">YEAR(B67)</f>
        <v>2025</v>
      </c>
      <c r="AI67" s="10">
        <f t="shared" ref="AI67:AI130" si="20">MONTH(B67)</f>
        <v>1</v>
      </c>
      <c r="AJ67" s="10" t="str">
        <f t="shared" ref="AJ67:AJ130" si="21">TEXT(B67,"yyyy-mm")</f>
        <v>2025-01</v>
      </c>
      <c r="AK67" s="10" t="str">
        <f t="shared" ref="AK67:AK130" si="22">"T"&amp;ROUNDUP(MONTH(B67)/3,0)</f>
        <v>T1</v>
      </c>
      <c r="AL67" s="10" t="str">
        <f t="shared" ref="AL67:AL130" si="23">IF(U67&lt;30,"22-29",IF(U67&lt;40,"30-39",IF(U67&lt;50,"40-49","50+")))</f>
        <v>40-49</v>
      </c>
      <c r="AM67" s="10" t="str">
        <f t="shared" ref="AM67:AM130" si="24">IF(X67&lt;5,"faible",IF(X67&lt;7,"moyen",IF(X67&lt;9,"bon","excellent")))</f>
        <v>moyen</v>
      </c>
      <c r="AN67" s="10" t="s">
        <v>2839</v>
      </c>
      <c r="AO67" s="10" t="str">
        <f t="shared" ref="AO67:AO130" si="25">IF(AD67&gt;=1000,"Elevée",IF(AD67&gt;=500,"Moyenne","Faible"))</f>
        <v>Moyenne</v>
      </c>
    </row>
    <row r="68" spans="1:41">
      <c r="A68" t="s">
        <v>422</v>
      </c>
      <c r="B68" s="2">
        <v>45663</v>
      </c>
      <c r="C68" t="s">
        <v>423</v>
      </c>
      <c r="D68" t="s">
        <v>128</v>
      </c>
      <c r="E68" t="s">
        <v>214</v>
      </c>
      <c r="F68" t="s">
        <v>424</v>
      </c>
      <c r="G68">
        <v>3</v>
      </c>
      <c r="H68" s="4">
        <v>190</v>
      </c>
      <c r="I68" s="3">
        <v>0</v>
      </c>
      <c r="J68" t="s">
        <v>63</v>
      </c>
      <c r="K68" t="s">
        <v>46</v>
      </c>
      <c r="L68" t="s">
        <v>425</v>
      </c>
      <c r="M68" t="s">
        <v>54</v>
      </c>
      <c r="N68" t="s">
        <v>80</v>
      </c>
      <c r="O68" t="s">
        <v>132</v>
      </c>
      <c r="P68" t="s">
        <v>133</v>
      </c>
      <c r="Q68" t="s">
        <v>52</v>
      </c>
      <c r="R68" t="s">
        <v>216</v>
      </c>
      <c r="S68" t="s">
        <v>65</v>
      </c>
      <c r="T68" t="s">
        <v>426</v>
      </c>
      <c r="U68" s="5">
        <v>52</v>
      </c>
      <c r="V68" s="5" t="s">
        <v>85</v>
      </c>
      <c r="W68" s="5">
        <v>25</v>
      </c>
      <c r="X68" s="5">
        <v>7.1</v>
      </c>
      <c r="Y68" s="5">
        <v>4</v>
      </c>
      <c r="Z68" s="5" t="s">
        <v>71</v>
      </c>
      <c r="AA68" s="6">
        <v>148.19999999999999</v>
      </c>
      <c r="AB68" s="8">
        <f t="shared" si="13"/>
        <v>570</v>
      </c>
      <c r="AC68" s="8">
        <f t="shared" si="14"/>
        <v>0</v>
      </c>
      <c r="AD68" s="8">
        <f t="shared" si="15"/>
        <v>570</v>
      </c>
      <c r="AE68" s="8">
        <f t="shared" si="16"/>
        <v>444.59999999999997</v>
      </c>
      <c r="AF68" s="8">
        <f t="shared" si="17"/>
        <v>125.40000000000003</v>
      </c>
      <c r="AG68" s="9">
        <f t="shared" si="18"/>
        <v>0.22000000000000006</v>
      </c>
      <c r="AH68" s="10">
        <f t="shared" si="19"/>
        <v>2025</v>
      </c>
      <c r="AI68" s="10">
        <f t="shared" si="20"/>
        <v>1</v>
      </c>
      <c r="AJ68" s="10" t="str">
        <f t="shared" si="21"/>
        <v>2025-01</v>
      </c>
      <c r="AK68" s="10" t="str">
        <f t="shared" si="22"/>
        <v>T1</v>
      </c>
      <c r="AL68" s="10" t="str">
        <f t="shared" si="23"/>
        <v>50+</v>
      </c>
      <c r="AM68" s="10" t="str">
        <f t="shared" si="24"/>
        <v>bon</v>
      </c>
      <c r="AN68" s="10" t="s">
        <v>2839</v>
      </c>
      <c r="AO68" s="10" t="str">
        <f t="shared" si="25"/>
        <v>Moyenne</v>
      </c>
    </row>
    <row r="69" spans="1:41">
      <c r="A69" t="s">
        <v>427</v>
      </c>
      <c r="B69" s="2">
        <v>45884</v>
      </c>
      <c r="C69" t="s">
        <v>428</v>
      </c>
      <c r="D69" t="s">
        <v>188</v>
      </c>
      <c r="E69" t="s">
        <v>61</v>
      </c>
      <c r="F69" t="s">
        <v>429</v>
      </c>
      <c r="G69">
        <v>3</v>
      </c>
      <c r="H69" s="4">
        <v>350</v>
      </c>
      <c r="I69" s="3">
        <v>0.1</v>
      </c>
      <c r="J69" t="s">
        <v>90</v>
      </c>
      <c r="K69" t="s">
        <v>46</v>
      </c>
      <c r="L69" t="s">
        <v>430</v>
      </c>
      <c r="M69" t="s">
        <v>65</v>
      </c>
      <c r="N69" t="s">
        <v>49</v>
      </c>
      <c r="O69" t="s">
        <v>192</v>
      </c>
      <c r="P69" t="s">
        <v>51</v>
      </c>
      <c r="Q69" t="s">
        <v>114</v>
      </c>
      <c r="R69" t="s">
        <v>68</v>
      </c>
      <c r="S69" t="s">
        <v>69</v>
      </c>
      <c r="T69" t="s">
        <v>431</v>
      </c>
      <c r="U69" s="5">
        <v>42</v>
      </c>
      <c r="V69" s="5" t="s">
        <v>56</v>
      </c>
      <c r="W69" s="5">
        <v>58</v>
      </c>
      <c r="X69" s="5">
        <v>3.5</v>
      </c>
      <c r="Y69" s="5">
        <v>8</v>
      </c>
      <c r="Z69" s="5" t="s">
        <v>117</v>
      </c>
      <c r="AA69" s="6">
        <v>213.5</v>
      </c>
      <c r="AB69" s="8">
        <f t="shared" si="13"/>
        <v>1050</v>
      </c>
      <c r="AC69" s="8">
        <f t="shared" si="14"/>
        <v>105</v>
      </c>
      <c r="AD69" s="8">
        <f t="shared" si="15"/>
        <v>945</v>
      </c>
      <c r="AE69" s="8">
        <f t="shared" si="16"/>
        <v>640.5</v>
      </c>
      <c r="AF69" s="8">
        <f t="shared" si="17"/>
        <v>304.5</v>
      </c>
      <c r="AG69" s="9">
        <f t="shared" si="18"/>
        <v>0.32222222222222224</v>
      </c>
      <c r="AH69" s="10">
        <f t="shared" si="19"/>
        <v>2025</v>
      </c>
      <c r="AI69" s="10">
        <f t="shared" si="20"/>
        <v>8</v>
      </c>
      <c r="AJ69" s="10" t="str">
        <f t="shared" si="21"/>
        <v>2025-08</v>
      </c>
      <c r="AK69" s="10" t="str">
        <f t="shared" si="22"/>
        <v>T3</v>
      </c>
      <c r="AL69" s="10" t="str">
        <f t="shared" si="23"/>
        <v>40-49</v>
      </c>
      <c r="AM69" s="10" t="str">
        <f t="shared" si="24"/>
        <v>faible</v>
      </c>
      <c r="AN69" s="10" t="s">
        <v>2837</v>
      </c>
      <c r="AO69" s="10" t="str">
        <f t="shared" si="25"/>
        <v>Moyenne</v>
      </c>
    </row>
    <row r="70" spans="1:41">
      <c r="A70" t="s">
        <v>432</v>
      </c>
      <c r="B70" s="2">
        <v>45666</v>
      </c>
      <c r="C70" t="s">
        <v>433</v>
      </c>
      <c r="D70" t="s">
        <v>162</v>
      </c>
      <c r="E70" t="s">
        <v>88</v>
      </c>
      <c r="F70" t="s">
        <v>434</v>
      </c>
      <c r="G70">
        <v>2</v>
      </c>
      <c r="H70" s="4">
        <v>35</v>
      </c>
      <c r="I70" s="3">
        <v>0</v>
      </c>
      <c r="J70" t="s">
        <v>77</v>
      </c>
      <c r="K70" t="s">
        <v>46</v>
      </c>
      <c r="L70" t="s">
        <v>435</v>
      </c>
      <c r="M70" t="s">
        <v>79</v>
      </c>
      <c r="N70" t="s">
        <v>49</v>
      </c>
      <c r="O70" t="s">
        <v>166</v>
      </c>
      <c r="P70" t="s">
        <v>103</v>
      </c>
      <c r="Q70" t="s">
        <v>143</v>
      </c>
      <c r="R70" t="s">
        <v>92</v>
      </c>
      <c r="S70" t="s">
        <v>48</v>
      </c>
      <c r="T70" t="s">
        <v>436</v>
      </c>
      <c r="U70" s="5">
        <v>31</v>
      </c>
      <c r="V70" s="5" t="s">
        <v>85</v>
      </c>
      <c r="W70" s="5">
        <v>29</v>
      </c>
      <c r="X70" s="5">
        <v>6.8</v>
      </c>
      <c r="Y70" s="5">
        <v>3</v>
      </c>
      <c r="Z70" s="5" t="s">
        <v>71</v>
      </c>
      <c r="AA70" s="6">
        <v>24.15</v>
      </c>
      <c r="AB70" s="8">
        <f t="shared" si="13"/>
        <v>70</v>
      </c>
      <c r="AC70" s="8">
        <f t="shared" si="14"/>
        <v>0</v>
      </c>
      <c r="AD70" s="8">
        <f t="shared" si="15"/>
        <v>70</v>
      </c>
      <c r="AE70" s="8">
        <f t="shared" si="16"/>
        <v>48.3</v>
      </c>
      <c r="AF70" s="8">
        <f t="shared" si="17"/>
        <v>21.700000000000003</v>
      </c>
      <c r="AG70" s="9">
        <f t="shared" si="18"/>
        <v>0.31000000000000005</v>
      </c>
      <c r="AH70" s="10">
        <f t="shared" si="19"/>
        <v>2025</v>
      </c>
      <c r="AI70" s="10">
        <f t="shared" si="20"/>
        <v>1</v>
      </c>
      <c r="AJ70" s="10" t="str">
        <f t="shared" si="21"/>
        <v>2025-01</v>
      </c>
      <c r="AK70" s="10" t="str">
        <f t="shared" si="22"/>
        <v>T1</v>
      </c>
      <c r="AL70" s="10" t="str">
        <f t="shared" si="23"/>
        <v>30-39</v>
      </c>
      <c r="AM70" s="10" t="str">
        <f t="shared" si="24"/>
        <v>moyen</v>
      </c>
      <c r="AN70" s="10" t="s">
        <v>2838</v>
      </c>
      <c r="AO70" s="10" t="str">
        <f t="shared" si="25"/>
        <v>Faible</v>
      </c>
    </row>
    <row r="71" spans="1:41">
      <c r="A71" t="s">
        <v>437</v>
      </c>
      <c r="B71" s="2">
        <v>45998</v>
      </c>
      <c r="C71" t="s">
        <v>438</v>
      </c>
      <c r="D71" t="s">
        <v>162</v>
      </c>
      <c r="E71" t="s">
        <v>345</v>
      </c>
      <c r="F71" t="s">
        <v>439</v>
      </c>
      <c r="G71">
        <v>1</v>
      </c>
      <c r="H71" s="4">
        <v>35</v>
      </c>
      <c r="I71" s="3">
        <v>0</v>
      </c>
      <c r="J71" t="s">
        <v>90</v>
      </c>
      <c r="K71" t="s">
        <v>46</v>
      </c>
      <c r="L71" t="s">
        <v>440</v>
      </c>
      <c r="M71" t="s">
        <v>65</v>
      </c>
      <c r="N71" t="s">
        <v>49</v>
      </c>
      <c r="O71" t="s">
        <v>166</v>
      </c>
      <c r="P71" t="s">
        <v>103</v>
      </c>
      <c r="Q71" t="s">
        <v>143</v>
      </c>
      <c r="R71" t="s">
        <v>347</v>
      </c>
      <c r="S71" t="s">
        <v>54</v>
      </c>
      <c r="T71" t="s">
        <v>441</v>
      </c>
      <c r="U71" s="5">
        <v>38</v>
      </c>
      <c r="V71" s="5" t="s">
        <v>56</v>
      </c>
      <c r="W71" s="5">
        <v>10</v>
      </c>
      <c r="X71" s="5">
        <v>7.9</v>
      </c>
      <c r="Y71" s="5">
        <v>1</v>
      </c>
      <c r="Z71" s="5" t="s">
        <v>94</v>
      </c>
      <c r="AA71" s="6">
        <v>24.15</v>
      </c>
      <c r="AB71" s="8">
        <f t="shared" si="13"/>
        <v>35</v>
      </c>
      <c r="AC71" s="8">
        <f t="shared" si="14"/>
        <v>0</v>
      </c>
      <c r="AD71" s="8">
        <f t="shared" si="15"/>
        <v>35</v>
      </c>
      <c r="AE71" s="8">
        <f t="shared" si="16"/>
        <v>24.15</v>
      </c>
      <c r="AF71" s="8">
        <f t="shared" si="17"/>
        <v>10.850000000000001</v>
      </c>
      <c r="AG71" s="9">
        <f t="shared" si="18"/>
        <v>0.31000000000000005</v>
      </c>
      <c r="AH71" s="10">
        <f t="shared" si="19"/>
        <v>2025</v>
      </c>
      <c r="AI71" s="10">
        <f t="shared" si="20"/>
        <v>12</v>
      </c>
      <c r="AJ71" s="10" t="str">
        <f t="shared" si="21"/>
        <v>2025-12</v>
      </c>
      <c r="AK71" s="10" t="str">
        <f t="shared" si="22"/>
        <v>T4</v>
      </c>
      <c r="AL71" s="10" t="str">
        <f t="shared" si="23"/>
        <v>30-39</v>
      </c>
      <c r="AM71" s="10" t="str">
        <f t="shared" si="24"/>
        <v>bon</v>
      </c>
      <c r="AN71" s="10" t="s">
        <v>2838</v>
      </c>
      <c r="AO71" s="10" t="str">
        <f t="shared" si="25"/>
        <v>Faible</v>
      </c>
    </row>
    <row r="72" spans="1:41">
      <c r="A72" t="s">
        <v>442</v>
      </c>
      <c r="B72" s="2">
        <v>45840</v>
      </c>
      <c r="C72" t="s">
        <v>443</v>
      </c>
      <c r="D72" t="s">
        <v>162</v>
      </c>
      <c r="E72" t="s">
        <v>88</v>
      </c>
      <c r="F72" t="s">
        <v>444</v>
      </c>
      <c r="G72">
        <v>2</v>
      </c>
      <c r="H72" s="4">
        <v>35</v>
      </c>
      <c r="I72" s="3">
        <v>0</v>
      </c>
      <c r="J72" t="s">
        <v>63</v>
      </c>
      <c r="K72" t="s">
        <v>46</v>
      </c>
      <c r="L72" t="s">
        <v>445</v>
      </c>
      <c r="M72" t="s">
        <v>69</v>
      </c>
      <c r="N72" t="s">
        <v>49</v>
      </c>
      <c r="O72" t="s">
        <v>166</v>
      </c>
      <c r="P72" t="s">
        <v>103</v>
      </c>
      <c r="Q72" t="s">
        <v>143</v>
      </c>
      <c r="R72" t="s">
        <v>92</v>
      </c>
      <c r="S72" t="s">
        <v>48</v>
      </c>
      <c r="T72" t="s">
        <v>446</v>
      </c>
      <c r="U72" s="5">
        <v>48</v>
      </c>
      <c r="V72" s="5" t="s">
        <v>85</v>
      </c>
      <c r="W72" s="5">
        <v>37</v>
      </c>
      <c r="X72" s="5">
        <v>4.7</v>
      </c>
      <c r="Y72" s="5">
        <v>7</v>
      </c>
      <c r="Z72" s="5" t="s">
        <v>57</v>
      </c>
      <c r="AA72" s="6">
        <v>24.15</v>
      </c>
      <c r="AB72" s="8">
        <f t="shared" si="13"/>
        <v>70</v>
      </c>
      <c r="AC72" s="8">
        <f t="shared" si="14"/>
        <v>0</v>
      </c>
      <c r="AD72" s="8">
        <f t="shared" si="15"/>
        <v>70</v>
      </c>
      <c r="AE72" s="8">
        <f t="shared" si="16"/>
        <v>48.3</v>
      </c>
      <c r="AF72" s="8">
        <f t="shared" si="17"/>
        <v>21.700000000000003</v>
      </c>
      <c r="AG72" s="9">
        <f t="shared" si="18"/>
        <v>0.31000000000000005</v>
      </c>
      <c r="AH72" s="10">
        <f t="shared" si="19"/>
        <v>2025</v>
      </c>
      <c r="AI72" s="10">
        <f t="shared" si="20"/>
        <v>7</v>
      </c>
      <c r="AJ72" s="10" t="str">
        <f t="shared" si="21"/>
        <v>2025-07</v>
      </c>
      <c r="AK72" s="10" t="str">
        <f t="shared" si="22"/>
        <v>T3</v>
      </c>
      <c r="AL72" s="10" t="str">
        <f t="shared" si="23"/>
        <v>40-49</v>
      </c>
      <c r="AM72" s="10" t="str">
        <f t="shared" si="24"/>
        <v>faible</v>
      </c>
      <c r="AN72" s="10" t="s">
        <v>2837</v>
      </c>
      <c r="AO72" s="10" t="str">
        <f t="shared" si="25"/>
        <v>Faible</v>
      </c>
    </row>
    <row r="73" spans="1:41">
      <c r="A73" t="s">
        <v>447</v>
      </c>
      <c r="B73" s="2">
        <v>45770</v>
      </c>
      <c r="C73" t="s">
        <v>448</v>
      </c>
      <c r="D73" t="s">
        <v>148</v>
      </c>
      <c r="E73" t="s">
        <v>88</v>
      </c>
      <c r="F73" t="s">
        <v>233</v>
      </c>
      <c r="G73">
        <v>1</v>
      </c>
      <c r="H73" s="4">
        <v>110</v>
      </c>
      <c r="I73" s="3">
        <v>0.1</v>
      </c>
      <c r="J73" t="s">
        <v>77</v>
      </c>
      <c r="K73" t="s">
        <v>46</v>
      </c>
      <c r="L73" t="s">
        <v>449</v>
      </c>
      <c r="M73" t="s">
        <v>65</v>
      </c>
      <c r="N73" t="s">
        <v>80</v>
      </c>
      <c r="O73" t="s">
        <v>151</v>
      </c>
      <c r="P73" t="s">
        <v>103</v>
      </c>
      <c r="Q73" t="s">
        <v>114</v>
      </c>
      <c r="R73" t="s">
        <v>92</v>
      </c>
      <c r="S73" t="s">
        <v>48</v>
      </c>
      <c r="T73" t="s">
        <v>235</v>
      </c>
      <c r="U73" s="5">
        <v>27</v>
      </c>
      <c r="V73" s="5" t="s">
        <v>85</v>
      </c>
      <c r="W73" s="5">
        <v>12</v>
      </c>
      <c r="X73" s="5">
        <v>4.9000000000000004</v>
      </c>
      <c r="Y73" s="5">
        <v>7</v>
      </c>
      <c r="Z73" s="5" t="s">
        <v>57</v>
      </c>
      <c r="AA73" s="6">
        <v>72.599999999999994</v>
      </c>
      <c r="AB73" s="8">
        <f t="shared" si="13"/>
        <v>110</v>
      </c>
      <c r="AC73" s="8">
        <f t="shared" si="14"/>
        <v>11</v>
      </c>
      <c r="AD73" s="8">
        <f t="shared" si="15"/>
        <v>99</v>
      </c>
      <c r="AE73" s="8">
        <f t="shared" si="16"/>
        <v>72.599999999999994</v>
      </c>
      <c r="AF73" s="8">
        <f t="shared" si="17"/>
        <v>26.400000000000006</v>
      </c>
      <c r="AG73" s="9">
        <f t="shared" si="18"/>
        <v>0.26666666666666672</v>
      </c>
      <c r="AH73" s="10">
        <f t="shared" si="19"/>
        <v>2025</v>
      </c>
      <c r="AI73" s="10">
        <f t="shared" si="20"/>
        <v>4</v>
      </c>
      <c r="AJ73" s="10" t="str">
        <f t="shared" si="21"/>
        <v>2025-04</v>
      </c>
      <c r="AK73" s="10" t="str">
        <f t="shared" si="22"/>
        <v>T2</v>
      </c>
      <c r="AL73" s="10" t="str">
        <f t="shared" si="23"/>
        <v>22-29</v>
      </c>
      <c r="AM73" s="10" t="str">
        <f t="shared" si="24"/>
        <v>faible</v>
      </c>
      <c r="AN73" s="10" t="s">
        <v>2837</v>
      </c>
      <c r="AO73" s="10" t="str">
        <f t="shared" si="25"/>
        <v>Faible</v>
      </c>
    </row>
    <row r="74" spans="1:41">
      <c r="A74" t="s">
        <v>450</v>
      </c>
      <c r="B74" s="2">
        <v>45965</v>
      </c>
      <c r="C74" t="s">
        <v>451</v>
      </c>
      <c r="D74" t="s">
        <v>128</v>
      </c>
      <c r="E74" t="s">
        <v>109</v>
      </c>
      <c r="F74" t="s">
        <v>444</v>
      </c>
      <c r="G74">
        <v>2</v>
      </c>
      <c r="H74" s="4">
        <v>190</v>
      </c>
      <c r="I74" s="3">
        <v>0.08</v>
      </c>
      <c r="J74" t="s">
        <v>63</v>
      </c>
      <c r="K74" t="s">
        <v>46</v>
      </c>
      <c r="L74" t="s">
        <v>452</v>
      </c>
      <c r="M74" t="s">
        <v>65</v>
      </c>
      <c r="N74" t="s">
        <v>255</v>
      </c>
      <c r="O74" t="s">
        <v>132</v>
      </c>
      <c r="P74" t="s">
        <v>133</v>
      </c>
      <c r="Q74" t="s">
        <v>52</v>
      </c>
      <c r="R74" t="s">
        <v>115</v>
      </c>
      <c r="S74" t="s">
        <v>65</v>
      </c>
      <c r="T74" t="s">
        <v>446</v>
      </c>
      <c r="U74" s="5">
        <v>41</v>
      </c>
      <c r="V74" s="5" t="s">
        <v>56</v>
      </c>
      <c r="W74" s="5">
        <v>70</v>
      </c>
      <c r="X74" s="5">
        <v>4.5</v>
      </c>
      <c r="Y74" s="5">
        <v>7</v>
      </c>
      <c r="Z74" s="5" t="s">
        <v>117</v>
      </c>
      <c r="AA74" s="6">
        <v>148.19999999999999</v>
      </c>
      <c r="AB74" s="8">
        <f t="shared" si="13"/>
        <v>380</v>
      </c>
      <c r="AC74" s="8">
        <f t="shared" si="14"/>
        <v>30.400000000000002</v>
      </c>
      <c r="AD74" s="8">
        <f t="shared" si="15"/>
        <v>349.6</v>
      </c>
      <c r="AE74" s="8">
        <f t="shared" si="16"/>
        <v>296.39999999999998</v>
      </c>
      <c r="AF74" s="8">
        <f t="shared" si="17"/>
        <v>53.200000000000045</v>
      </c>
      <c r="AG74" s="9">
        <f t="shared" si="18"/>
        <v>0.15217391304347838</v>
      </c>
      <c r="AH74" s="10">
        <f t="shared" si="19"/>
        <v>2025</v>
      </c>
      <c r="AI74" s="10">
        <f t="shared" si="20"/>
        <v>11</v>
      </c>
      <c r="AJ74" s="10" t="str">
        <f t="shared" si="21"/>
        <v>2025-11</v>
      </c>
      <c r="AK74" s="10" t="str">
        <f t="shared" si="22"/>
        <v>T4</v>
      </c>
      <c r="AL74" s="10" t="str">
        <f t="shared" si="23"/>
        <v>40-49</v>
      </c>
      <c r="AM74" s="10" t="str">
        <f t="shared" si="24"/>
        <v>faible</v>
      </c>
      <c r="AN74" s="10" t="s">
        <v>2837</v>
      </c>
      <c r="AO74" s="10" t="str">
        <f t="shared" si="25"/>
        <v>Faible</v>
      </c>
    </row>
    <row r="75" spans="1:41">
      <c r="A75" t="s">
        <v>453</v>
      </c>
      <c r="B75" s="2">
        <v>46010</v>
      </c>
      <c r="C75" t="s">
        <v>454</v>
      </c>
      <c r="D75" t="s">
        <v>108</v>
      </c>
      <c r="E75" t="s">
        <v>75</v>
      </c>
      <c r="F75" t="s">
        <v>243</v>
      </c>
      <c r="G75">
        <v>2</v>
      </c>
      <c r="H75" s="4">
        <v>240</v>
      </c>
      <c r="I75" s="3">
        <v>0.1</v>
      </c>
      <c r="J75" t="s">
        <v>63</v>
      </c>
      <c r="K75" t="s">
        <v>46</v>
      </c>
      <c r="L75" t="s">
        <v>455</v>
      </c>
      <c r="M75" t="s">
        <v>79</v>
      </c>
      <c r="N75" t="s">
        <v>112</v>
      </c>
      <c r="O75" t="s">
        <v>113</v>
      </c>
      <c r="P75" t="s">
        <v>82</v>
      </c>
      <c r="Q75" t="s">
        <v>114</v>
      </c>
      <c r="R75" t="s">
        <v>83</v>
      </c>
      <c r="S75" t="s">
        <v>69</v>
      </c>
      <c r="T75" t="s">
        <v>245</v>
      </c>
      <c r="U75" s="5">
        <v>34</v>
      </c>
      <c r="V75" s="5" t="s">
        <v>85</v>
      </c>
      <c r="W75" s="5">
        <v>54</v>
      </c>
      <c r="X75" s="5">
        <v>7.4</v>
      </c>
      <c r="Y75" s="5">
        <v>2</v>
      </c>
      <c r="Z75" s="5" t="s">
        <v>94</v>
      </c>
      <c r="AA75" s="6">
        <v>177.6</v>
      </c>
      <c r="AB75" s="8">
        <f t="shared" si="13"/>
        <v>480</v>
      </c>
      <c r="AC75" s="8">
        <f t="shared" si="14"/>
        <v>48</v>
      </c>
      <c r="AD75" s="8">
        <f t="shared" si="15"/>
        <v>432</v>
      </c>
      <c r="AE75" s="8">
        <f t="shared" si="16"/>
        <v>355.2</v>
      </c>
      <c r="AF75" s="8">
        <f t="shared" si="17"/>
        <v>76.800000000000011</v>
      </c>
      <c r="AG75" s="9">
        <f t="shared" si="18"/>
        <v>0.17777777777777781</v>
      </c>
      <c r="AH75" s="10">
        <f t="shared" si="19"/>
        <v>2025</v>
      </c>
      <c r="AI75" s="10">
        <f t="shared" si="20"/>
        <v>12</v>
      </c>
      <c r="AJ75" s="10" t="str">
        <f t="shared" si="21"/>
        <v>2025-12</v>
      </c>
      <c r="AK75" s="10" t="str">
        <f t="shared" si="22"/>
        <v>T4</v>
      </c>
      <c r="AL75" s="10" t="str">
        <f t="shared" si="23"/>
        <v>30-39</v>
      </c>
      <c r="AM75" s="10" t="str">
        <f t="shared" si="24"/>
        <v>bon</v>
      </c>
      <c r="AN75" s="10" t="s">
        <v>2838</v>
      </c>
      <c r="AO75" s="10" t="str">
        <f t="shared" si="25"/>
        <v>Faible</v>
      </c>
    </row>
    <row r="76" spans="1:41">
      <c r="A76" t="s">
        <v>456</v>
      </c>
      <c r="B76" s="2">
        <v>45985</v>
      </c>
      <c r="C76" t="s">
        <v>457</v>
      </c>
      <c r="D76" t="s">
        <v>155</v>
      </c>
      <c r="E76" t="s">
        <v>226</v>
      </c>
      <c r="F76" t="s">
        <v>458</v>
      </c>
      <c r="G76">
        <v>4</v>
      </c>
      <c r="H76" s="4">
        <v>48</v>
      </c>
      <c r="I76" s="3">
        <v>0.05</v>
      </c>
      <c r="J76" t="s">
        <v>90</v>
      </c>
      <c r="K76" t="s">
        <v>46</v>
      </c>
      <c r="L76" t="s">
        <v>459</v>
      </c>
      <c r="M76" t="s">
        <v>123</v>
      </c>
      <c r="N76" t="s">
        <v>49</v>
      </c>
      <c r="O76" t="s">
        <v>158</v>
      </c>
      <c r="P76" t="s">
        <v>51</v>
      </c>
      <c r="Q76" t="s">
        <v>143</v>
      </c>
      <c r="R76" t="s">
        <v>229</v>
      </c>
      <c r="S76" t="s">
        <v>48</v>
      </c>
      <c r="T76" t="s">
        <v>460</v>
      </c>
      <c r="U76" s="5">
        <v>48</v>
      </c>
      <c r="V76" s="5" t="s">
        <v>85</v>
      </c>
      <c r="W76" s="5">
        <v>22</v>
      </c>
      <c r="X76" s="5">
        <v>4.0999999999999996</v>
      </c>
      <c r="Y76" s="5">
        <v>7</v>
      </c>
      <c r="Z76" s="5" t="s">
        <v>117</v>
      </c>
      <c r="AA76" s="6">
        <v>37.44</v>
      </c>
      <c r="AB76" s="8">
        <f t="shared" si="13"/>
        <v>192</v>
      </c>
      <c r="AC76" s="8">
        <f t="shared" si="14"/>
        <v>9.6000000000000014</v>
      </c>
      <c r="AD76" s="8">
        <f t="shared" si="15"/>
        <v>182.4</v>
      </c>
      <c r="AE76" s="8">
        <f t="shared" si="16"/>
        <v>149.76</v>
      </c>
      <c r="AF76" s="8">
        <f t="shared" si="17"/>
        <v>32.640000000000015</v>
      </c>
      <c r="AG76" s="9">
        <f t="shared" si="18"/>
        <v>0.17894736842105272</v>
      </c>
      <c r="AH76" s="10">
        <f t="shared" si="19"/>
        <v>2025</v>
      </c>
      <c r="AI76" s="10">
        <f t="shared" si="20"/>
        <v>11</v>
      </c>
      <c r="AJ76" s="10" t="str">
        <f t="shared" si="21"/>
        <v>2025-11</v>
      </c>
      <c r="AK76" s="10" t="str">
        <f t="shared" si="22"/>
        <v>T4</v>
      </c>
      <c r="AL76" s="10" t="str">
        <f t="shared" si="23"/>
        <v>40-49</v>
      </c>
      <c r="AM76" s="10" t="str">
        <f t="shared" si="24"/>
        <v>faible</v>
      </c>
      <c r="AN76" s="10" t="s">
        <v>2837</v>
      </c>
      <c r="AO76" s="10" t="str">
        <f t="shared" si="25"/>
        <v>Faible</v>
      </c>
    </row>
    <row r="77" spans="1:41">
      <c r="A77" t="s">
        <v>461</v>
      </c>
      <c r="B77" s="2">
        <v>45877</v>
      </c>
      <c r="C77" t="s">
        <v>462</v>
      </c>
      <c r="D77" t="s">
        <v>74</v>
      </c>
      <c r="E77" t="s">
        <v>163</v>
      </c>
      <c r="F77" t="s">
        <v>175</v>
      </c>
      <c r="G77">
        <v>4</v>
      </c>
      <c r="H77" s="4">
        <v>95</v>
      </c>
      <c r="I77" s="3">
        <v>0.05</v>
      </c>
      <c r="J77" t="s">
        <v>90</v>
      </c>
      <c r="K77" t="s">
        <v>46</v>
      </c>
      <c r="L77" t="s">
        <v>463</v>
      </c>
      <c r="M77" t="s">
        <v>79</v>
      </c>
      <c r="N77" t="s">
        <v>255</v>
      </c>
      <c r="O77" t="s">
        <v>81</v>
      </c>
      <c r="P77" t="s">
        <v>82</v>
      </c>
      <c r="Q77" t="s">
        <v>52</v>
      </c>
      <c r="R77" t="s">
        <v>167</v>
      </c>
      <c r="S77" t="s">
        <v>123</v>
      </c>
      <c r="T77" t="s">
        <v>178</v>
      </c>
      <c r="U77" s="5">
        <v>27</v>
      </c>
      <c r="V77" s="5" t="s">
        <v>56</v>
      </c>
      <c r="W77" s="5">
        <v>61</v>
      </c>
      <c r="X77" s="5">
        <v>5.3</v>
      </c>
      <c r="Y77" s="5">
        <v>6</v>
      </c>
      <c r="Z77" s="5" t="s">
        <v>117</v>
      </c>
      <c r="AA77" s="6">
        <v>70.3</v>
      </c>
      <c r="AB77" s="8">
        <f t="shared" si="13"/>
        <v>380</v>
      </c>
      <c r="AC77" s="8">
        <f t="shared" si="14"/>
        <v>19</v>
      </c>
      <c r="AD77" s="8">
        <f t="shared" si="15"/>
        <v>361</v>
      </c>
      <c r="AE77" s="8">
        <f t="shared" si="16"/>
        <v>281.2</v>
      </c>
      <c r="AF77" s="8">
        <f t="shared" si="17"/>
        <v>79.800000000000011</v>
      </c>
      <c r="AG77" s="9">
        <f t="shared" si="18"/>
        <v>0.22105263157894739</v>
      </c>
      <c r="AH77" s="10">
        <f t="shared" si="19"/>
        <v>2025</v>
      </c>
      <c r="AI77" s="10">
        <f t="shared" si="20"/>
        <v>8</v>
      </c>
      <c r="AJ77" s="10" t="str">
        <f t="shared" si="21"/>
        <v>2025-08</v>
      </c>
      <c r="AK77" s="10" t="str">
        <f t="shared" si="22"/>
        <v>T3</v>
      </c>
      <c r="AL77" s="10" t="str">
        <f t="shared" si="23"/>
        <v>22-29</v>
      </c>
      <c r="AM77" s="10" t="str">
        <f t="shared" si="24"/>
        <v>moyen</v>
      </c>
      <c r="AN77" s="10" t="s">
        <v>2839</v>
      </c>
      <c r="AO77" s="10" t="str">
        <f t="shared" si="25"/>
        <v>Faible</v>
      </c>
    </row>
    <row r="78" spans="1:41">
      <c r="A78" t="s">
        <v>464</v>
      </c>
      <c r="B78" s="2">
        <v>45735</v>
      </c>
      <c r="C78" t="s">
        <v>433</v>
      </c>
      <c r="D78" t="s">
        <v>272</v>
      </c>
      <c r="E78" t="s">
        <v>43</v>
      </c>
      <c r="F78" t="s">
        <v>202</v>
      </c>
      <c r="G78">
        <v>2</v>
      </c>
      <c r="H78" s="4">
        <v>420</v>
      </c>
      <c r="I78" s="3">
        <v>0.08</v>
      </c>
      <c r="J78" t="s">
        <v>90</v>
      </c>
      <c r="K78" t="s">
        <v>46</v>
      </c>
      <c r="L78" t="s">
        <v>435</v>
      </c>
      <c r="M78" t="s">
        <v>79</v>
      </c>
      <c r="N78" t="s">
        <v>49</v>
      </c>
      <c r="O78" t="s">
        <v>274</v>
      </c>
      <c r="P78" t="s">
        <v>133</v>
      </c>
      <c r="Q78" t="s">
        <v>114</v>
      </c>
      <c r="R78" t="s">
        <v>53</v>
      </c>
      <c r="S78" t="s">
        <v>54</v>
      </c>
      <c r="T78" t="s">
        <v>204</v>
      </c>
      <c r="U78" s="5">
        <v>31</v>
      </c>
      <c r="V78" s="5" t="s">
        <v>85</v>
      </c>
      <c r="W78" s="5">
        <v>29</v>
      </c>
      <c r="X78" s="5">
        <v>4.8</v>
      </c>
      <c r="Y78" s="5">
        <v>6</v>
      </c>
      <c r="Z78" s="5" t="s">
        <v>57</v>
      </c>
      <c r="AA78" s="6">
        <v>273</v>
      </c>
      <c r="AB78" s="8">
        <f t="shared" si="13"/>
        <v>840</v>
      </c>
      <c r="AC78" s="8">
        <f t="shared" si="14"/>
        <v>67.2</v>
      </c>
      <c r="AD78" s="8">
        <f t="shared" si="15"/>
        <v>772.8</v>
      </c>
      <c r="AE78" s="8">
        <f t="shared" si="16"/>
        <v>546</v>
      </c>
      <c r="AF78" s="8">
        <f t="shared" si="17"/>
        <v>226.79999999999995</v>
      </c>
      <c r="AG78" s="9">
        <f t="shared" si="18"/>
        <v>0.29347826086956519</v>
      </c>
      <c r="AH78" s="10">
        <f t="shared" si="19"/>
        <v>2025</v>
      </c>
      <c r="AI78" s="10">
        <f t="shared" si="20"/>
        <v>3</v>
      </c>
      <c r="AJ78" s="10" t="str">
        <f t="shared" si="21"/>
        <v>2025-03</v>
      </c>
      <c r="AK78" s="10" t="str">
        <f t="shared" si="22"/>
        <v>T1</v>
      </c>
      <c r="AL78" s="10" t="str">
        <f t="shared" si="23"/>
        <v>30-39</v>
      </c>
      <c r="AM78" s="10" t="str">
        <f t="shared" si="24"/>
        <v>faible</v>
      </c>
      <c r="AN78" s="10" t="s">
        <v>2839</v>
      </c>
      <c r="AO78" s="10" t="str">
        <f t="shared" si="25"/>
        <v>Moyenne</v>
      </c>
    </row>
    <row r="79" spans="1:41">
      <c r="A79" t="s">
        <v>465</v>
      </c>
      <c r="B79" s="2">
        <v>45820</v>
      </c>
      <c r="C79" t="s">
        <v>466</v>
      </c>
      <c r="D79" t="s">
        <v>108</v>
      </c>
      <c r="E79" t="s">
        <v>98</v>
      </c>
      <c r="F79" t="s">
        <v>467</v>
      </c>
      <c r="G79">
        <v>3</v>
      </c>
      <c r="H79" s="4">
        <v>240</v>
      </c>
      <c r="I79" s="3">
        <v>0.1</v>
      </c>
      <c r="J79" t="s">
        <v>90</v>
      </c>
      <c r="K79" t="s">
        <v>46</v>
      </c>
      <c r="L79" t="s">
        <v>468</v>
      </c>
      <c r="M79" t="s">
        <v>123</v>
      </c>
      <c r="N79" t="s">
        <v>255</v>
      </c>
      <c r="O79" t="s">
        <v>113</v>
      </c>
      <c r="P79" t="s">
        <v>82</v>
      </c>
      <c r="Q79" t="s">
        <v>114</v>
      </c>
      <c r="R79" t="s">
        <v>104</v>
      </c>
      <c r="S79" t="s">
        <v>79</v>
      </c>
      <c r="T79" t="s">
        <v>469</v>
      </c>
      <c r="U79" s="5">
        <v>41</v>
      </c>
      <c r="V79" s="5" t="s">
        <v>85</v>
      </c>
      <c r="W79" s="5">
        <v>55</v>
      </c>
      <c r="X79" s="5">
        <v>5.6</v>
      </c>
      <c r="Y79" s="5">
        <v>5</v>
      </c>
      <c r="Z79" s="5" t="s">
        <v>94</v>
      </c>
      <c r="AA79" s="6">
        <v>177.6</v>
      </c>
      <c r="AB79" s="8">
        <f t="shared" si="13"/>
        <v>720</v>
      </c>
      <c r="AC79" s="8">
        <f t="shared" si="14"/>
        <v>72</v>
      </c>
      <c r="AD79" s="8">
        <f t="shared" si="15"/>
        <v>648</v>
      </c>
      <c r="AE79" s="8">
        <f t="shared" si="16"/>
        <v>532.79999999999995</v>
      </c>
      <c r="AF79" s="8">
        <f t="shared" si="17"/>
        <v>115.20000000000005</v>
      </c>
      <c r="AG79" s="9">
        <f t="shared" si="18"/>
        <v>0.17777777777777784</v>
      </c>
      <c r="AH79" s="10">
        <f t="shared" si="19"/>
        <v>2025</v>
      </c>
      <c r="AI79" s="10">
        <f t="shared" si="20"/>
        <v>6</v>
      </c>
      <c r="AJ79" s="10" t="str">
        <f t="shared" si="21"/>
        <v>2025-06</v>
      </c>
      <c r="AK79" s="10" t="str">
        <f t="shared" si="22"/>
        <v>T2</v>
      </c>
      <c r="AL79" s="10" t="str">
        <f t="shared" si="23"/>
        <v>40-49</v>
      </c>
      <c r="AM79" s="10" t="str">
        <f t="shared" si="24"/>
        <v>moyen</v>
      </c>
      <c r="AN79" s="10" t="s">
        <v>2839</v>
      </c>
      <c r="AO79" s="10" t="str">
        <f t="shared" si="25"/>
        <v>Moyenne</v>
      </c>
    </row>
    <row r="80" spans="1:41">
      <c r="A80" t="s">
        <v>470</v>
      </c>
      <c r="B80" s="2">
        <v>45827</v>
      </c>
      <c r="C80" t="s">
        <v>471</v>
      </c>
      <c r="D80" t="s">
        <v>74</v>
      </c>
      <c r="E80" t="s">
        <v>120</v>
      </c>
      <c r="F80" t="s">
        <v>156</v>
      </c>
      <c r="G80">
        <v>2</v>
      </c>
      <c r="H80" s="4">
        <v>95</v>
      </c>
      <c r="I80" s="3">
        <v>0</v>
      </c>
      <c r="J80" t="s">
        <v>90</v>
      </c>
      <c r="K80" t="s">
        <v>46</v>
      </c>
      <c r="L80" t="s">
        <v>472</v>
      </c>
      <c r="M80" t="s">
        <v>79</v>
      </c>
      <c r="N80" t="s">
        <v>255</v>
      </c>
      <c r="O80" t="s">
        <v>81</v>
      </c>
      <c r="P80" t="s">
        <v>82</v>
      </c>
      <c r="Q80" t="s">
        <v>52</v>
      </c>
      <c r="R80" t="s">
        <v>124</v>
      </c>
      <c r="S80" t="s">
        <v>48</v>
      </c>
      <c r="T80" t="s">
        <v>159</v>
      </c>
      <c r="U80" s="5">
        <v>57</v>
      </c>
      <c r="V80" s="5" t="s">
        <v>85</v>
      </c>
      <c r="W80" s="5">
        <v>65</v>
      </c>
      <c r="X80" s="5">
        <v>7</v>
      </c>
      <c r="Y80" s="5">
        <v>3</v>
      </c>
      <c r="Z80" s="5" t="s">
        <v>94</v>
      </c>
      <c r="AA80" s="6">
        <v>70.3</v>
      </c>
      <c r="AB80" s="8">
        <f t="shared" si="13"/>
        <v>190</v>
      </c>
      <c r="AC80" s="8">
        <f t="shared" si="14"/>
        <v>0</v>
      </c>
      <c r="AD80" s="8">
        <f t="shared" si="15"/>
        <v>190</v>
      </c>
      <c r="AE80" s="8">
        <f t="shared" si="16"/>
        <v>140.6</v>
      </c>
      <c r="AF80" s="8">
        <f t="shared" si="17"/>
        <v>49.400000000000006</v>
      </c>
      <c r="AG80" s="9">
        <f t="shared" si="18"/>
        <v>0.26</v>
      </c>
      <c r="AH80" s="10">
        <f t="shared" si="19"/>
        <v>2025</v>
      </c>
      <c r="AI80" s="10">
        <f t="shared" si="20"/>
        <v>6</v>
      </c>
      <c r="AJ80" s="10" t="str">
        <f t="shared" si="21"/>
        <v>2025-06</v>
      </c>
      <c r="AK80" s="10" t="str">
        <f t="shared" si="22"/>
        <v>T2</v>
      </c>
      <c r="AL80" s="10" t="str">
        <f t="shared" si="23"/>
        <v>50+</v>
      </c>
      <c r="AM80" s="10" t="str">
        <f t="shared" si="24"/>
        <v>bon</v>
      </c>
      <c r="AN80" s="10" t="s">
        <v>2838</v>
      </c>
      <c r="AO80" s="10" t="str">
        <f t="shared" si="25"/>
        <v>Faible</v>
      </c>
    </row>
    <row r="81" spans="1:41">
      <c r="A81" t="s">
        <v>473</v>
      </c>
      <c r="B81" s="2">
        <v>45822</v>
      </c>
      <c r="C81" t="s">
        <v>474</v>
      </c>
      <c r="D81" t="s">
        <v>162</v>
      </c>
      <c r="E81" t="s">
        <v>226</v>
      </c>
      <c r="F81" t="s">
        <v>297</v>
      </c>
      <c r="G81">
        <v>1</v>
      </c>
      <c r="H81" s="4">
        <v>35</v>
      </c>
      <c r="I81" s="3">
        <v>0.08</v>
      </c>
      <c r="J81" t="s">
        <v>90</v>
      </c>
      <c r="K81" t="s">
        <v>46</v>
      </c>
      <c r="L81" t="s">
        <v>475</v>
      </c>
      <c r="M81" t="s">
        <v>54</v>
      </c>
      <c r="N81" t="s">
        <v>80</v>
      </c>
      <c r="O81" t="s">
        <v>166</v>
      </c>
      <c r="P81" t="s">
        <v>103</v>
      </c>
      <c r="Q81" t="s">
        <v>143</v>
      </c>
      <c r="R81" t="s">
        <v>229</v>
      </c>
      <c r="S81" t="s">
        <v>48</v>
      </c>
      <c r="T81" t="s">
        <v>299</v>
      </c>
      <c r="U81" s="5">
        <v>59</v>
      </c>
      <c r="V81" s="5" t="s">
        <v>85</v>
      </c>
      <c r="W81" s="5">
        <v>70</v>
      </c>
      <c r="X81" s="5">
        <v>9.1</v>
      </c>
      <c r="Y81" s="5">
        <v>1</v>
      </c>
      <c r="Z81" s="5" t="s">
        <v>71</v>
      </c>
      <c r="AA81" s="6">
        <v>24.15</v>
      </c>
      <c r="AB81" s="8">
        <f t="shared" si="13"/>
        <v>35</v>
      </c>
      <c r="AC81" s="8">
        <f t="shared" si="14"/>
        <v>2.8000000000000003</v>
      </c>
      <c r="AD81" s="8">
        <f t="shared" si="15"/>
        <v>32.200000000000003</v>
      </c>
      <c r="AE81" s="8">
        <f t="shared" si="16"/>
        <v>24.15</v>
      </c>
      <c r="AF81" s="8">
        <f t="shared" si="17"/>
        <v>8.0500000000000043</v>
      </c>
      <c r="AG81" s="9">
        <f t="shared" si="18"/>
        <v>0.25000000000000011</v>
      </c>
      <c r="AH81" s="10">
        <f t="shared" si="19"/>
        <v>2025</v>
      </c>
      <c r="AI81" s="10">
        <f t="shared" si="20"/>
        <v>6</v>
      </c>
      <c r="AJ81" s="10" t="str">
        <f t="shared" si="21"/>
        <v>2025-06</v>
      </c>
      <c r="AK81" s="10" t="str">
        <f t="shared" si="22"/>
        <v>T2</v>
      </c>
      <c r="AL81" s="10" t="str">
        <f t="shared" si="23"/>
        <v>50+</v>
      </c>
      <c r="AM81" s="10" t="str">
        <f t="shared" si="24"/>
        <v>excellent</v>
      </c>
      <c r="AN81" s="10" t="s">
        <v>2838</v>
      </c>
      <c r="AO81" s="10" t="str">
        <f t="shared" si="25"/>
        <v>Faible</v>
      </c>
    </row>
    <row r="82" spans="1:41">
      <c r="A82" t="s">
        <v>476</v>
      </c>
      <c r="B82" s="2">
        <v>45982</v>
      </c>
      <c r="C82" t="s">
        <v>477</v>
      </c>
      <c r="D82" t="s">
        <v>174</v>
      </c>
      <c r="E82" t="s">
        <v>88</v>
      </c>
      <c r="F82" t="s">
        <v>197</v>
      </c>
      <c r="G82">
        <v>20</v>
      </c>
      <c r="H82" s="4">
        <v>780</v>
      </c>
      <c r="I82" s="3">
        <v>0</v>
      </c>
      <c r="J82" t="s">
        <v>45</v>
      </c>
      <c r="K82" t="s">
        <v>46</v>
      </c>
      <c r="L82" t="s">
        <v>478</v>
      </c>
      <c r="M82" t="s">
        <v>48</v>
      </c>
      <c r="N82" t="s">
        <v>49</v>
      </c>
      <c r="O82" t="s">
        <v>177</v>
      </c>
      <c r="P82" t="s">
        <v>103</v>
      </c>
      <c r="Q82" t="s">
        <v>114</v>
      </c>
      <c r="R82" t="s">
        <v>92</v>
      </c>
      <c r="S82" t="s">
        <v>48</v>
      </c>
      <c r="T82" t="s">
        <v>199</v>
      </c>
      <c r="U82" s="5">
        <v>46</v>
      </c>
      <c r="V82" s="5" t="s">
        <v>85</v>
      </c>
      <c r="W82" s="5">
        <v>35</v>
      </c>
      <c r="X82" s="5">
        <v>6</v>
      </c>
      <c r="Y82" s="5">
        <v>4</v>
      </c>
      <c r="Z82" s="5" t="s">
        <v>94</v>
      </c>
      <c r="AA82" s="6">
        <v>468</v>
      </c>
      <c r="AB82" s="8">
        <f t="shared" si="13"/>
        <v>15600</v>
      </c>
      <c r="AC82" s="8">
        <f t="shared" si="14"/>
        <v>0</v>
      </c>
      <c r="AD82" s="8">
        <f t="shared" si="15"/>
        <v>15600</v>
      </c>
      <c r="AE82" s="8">
        <f t="shared" si="16"/>
        <v>9360</v>
      </c>
      <c r="AF82" s="8">
        <f t="shared" si="17"/>
        <v>6240</v>
      </c>
      <c r="AG82" s="9">
        <f t="shared" si="18"/>
        <v>0.4</v>
      </c>
      <c r="AH82" s="10">
        <f t="shared" si="19"/>
        <v>2025</v>
      </c>
      <c r="AI82" s="10">
        <f t="shared" si="20"/>
        <v>11</v>
      </c>
      <c r="AJ82" s="10" t="str">
        <f t="shared" si="21"/>
        <v>2025-11</v>
      </c>
      <c r="AK82" s="10" t="str">
        <f t="shared" si="22"/>
        <v>T4</v>
      </c>
      <c r="AL82" s="10" t="str">
        <f t="shared" si="23"/>
        <v>40-49</v>
      </c>
      <c r="AM82" s="10" t="str">
        <f t="shared" si="24"/>
        <v>moyen</v>
      </c>
      <c r="AN82" s="10" t="s">
        <v>2839</v>
      </c>
      <c r="AO82" s="10" t="str">
        <f t="shared" si="25"/>
        <v>Elevée</v>
      </c>
    </row>
    <row r="83" spans="1:41">
      <c r="A83" t="s">
        <v>479</v>
      </c>
      <c r="B83" s="2">
        <v>45876</v>
      </c>
      <c r="C83" t="s">
        <v>480</v>
      </c>
      <c r="D83" t="s">
        <v>162</v>
      </c>
      <c r="E83" t="s">
        <v>207</v>
      </c>
      <c r="F83" t="s">
        <v>434</v>
      </c>
      <c r="G83">
        <v>4</v>
      </c>
      <c r="H83" s="4">
        <v>35</v>
      </c>
      <c r="I83" s="3">
        <v>0</v>
      </c>
      <c r="J83" t="s">
        <v>45</v>
      </c>
      <c r="K83" t="s">
        <v>46</v>
      </c>
      <c r="L83" t="s">
        <v>481</v>
      </c>
      <c r="M83" t="s">
        <v>79</v>
      </c>
      <c r="N83" t="s">
        <v>255</v>
      </c>
      <c r="O83" t="s">
        <v>166</v>
      </c>
      <c r="P83" t="s">
        <v>103</v>
      </c>
      <c r="Q83" t="s">
        <v>143</v>
      </c>
      <c r="R83" t="s">
        <v>210</v>
      </c>
      <c r="S83" t="s">
        <v>79</v>
      </c>
      <c r="T83" t="s">
        <v>436</v>
      </c>
      <c r="U83" s="5">
        <v>32</v>
      </c>
      <c r="V83" s="5" t="s">
        <v>56</v>
      </c>
      <c r="W83" s="5">
        <v>65</v>
      </c>
      <c r="X83" s="5">
        <v>8.6999999999999993</v>
      </c>
      <c r="Y83" s="5">
        <v>2</v>
      </c>
      <c r="Z83" s="5" t="s">
        <v>94</v>
      </c>
      <c r="AA83" s="6">
        <v>24.15</v>
      </c>
      <c r="AB83" s="8">
        <f t="shared" si="13"/>
        <v>140</v>
      </c>
      <c r="AC83" s="8">
        <f t="shared" si="14"/>
        <v>0</v>
      </c>
      <c r="AD83" s="8">
        <f t="shared" si="15"/>
        <v>140</v>
      </c>
      <c r="AE83" s="8">
        <f t="shared" si="16"/>
        <v>96.6</v>
      </c>
      <c r="AF83" s="8">
        <f t="shared" si="17"/>
        <v>43.400000000000006</v>
      </c>
      <c r="AG83" s="9">
        <f t="shared" si="18"/>
        <v>0.31000000000000005</v>
      </c>
      <c r="AH83" s="10">
        <f t="shared" si="19"/>
        <v>2025</v>
      </c>
      <c r="AI83" s="10">
        <f t="shared" si="20"/>
        <v>8</v>
      </c>
      <c r="AJ83" s="10" t="str">
        <f t="shared" si="21"/>
        <v>2025-08</v>
      </c>
      <c r="AK83" s="10" t="str">
        <f t="shared" si="22"/>
        <v>T3</v>
      </c>
      <c r="AL83" s="10" t="str">
        <f t="shared" si="23"/>
        <v>30-39</v>
      </c>
      <c r="AM83" s="10" t="str">
        <f t="shared" si="24"/>
        <v>bon</v>
      </c>
      <c r="AN83" s="10" t="s">
        <v>2838</v>
      </c>
      <c r="AO83" s="10" t="str">
        <f t="shared" si="25"/>
        <v>Faible</v>
      </c>
    </row>
    <row r="84" spans="1:41">
      <c r="A84" t="s">
        <v>482</v>
      </c>
      <c r="B84" s="2">
        <v>45842</v>
      </c>
      <c r="C84" t="s">
        <v>483</v>
      </c>
      <c r="D84" t="s">
        <v>340</v>
      </c>
      <c r="E84" t="s">
        <v>277</v>
      </c>
      <c r="F84" t="s">
        <v>434</v>
      </c>
      <c r="G84">
        <v>2</v>
      </c>
      <c r="H84" s="4">
        <v>22</v>
      </c>
      <c r="I84" s="3">
        <v>0</v>
      </c>
      <c r="J84" t="s">
        <v>63</v>
      </c>
      <c r="K84" t="s">
        <v>46</v>
      </c>
      <c r="L84" t="s">
        <v>484</v>
      </c>
      <c r="M84" t="s">
        <v>48</v>
      </c>
      <c r="N84" t="s">
        <v>80</v>
      </c>
      <c r="O84" t="s">
        <v>342</v>
      </c>
      <c r="P84" t="s">
        <v>103</v>
      </c>
      <c r="Q84" t="s">
        <v>143</v>
      </c>
      <c r="R84" t="s">
        <v>279</v>
      </c>
      <c r="S84" t="s">
        <v>54</v>
      </c>
      <c r="T84" t="s">
        <v>436</v>
      </c>
      <c r="U84" s="5">
        <v>22</v>
      </c>
      <c r="V84" s="5" t="s">
        <v>56</v>
      </c>
      <c r="W84" s="5">
        <v>37</v>
      </c>
      <c r="X84" s="5">
        <v>3.7</v>
      </c>
      <c r="Y84" s="5">
        <v>8</v>
      </c>
      <c r="Z84" s="5" t="s">
        <v>71</v>
      </c>
      <c r="AA84" s="6">
        <v>14.96</v>
      </c>
      <c r="AB84" s="8">
        <f t="shared" si="13"/>
        <v>44</v>
      </c>
      <c r="AC84" s="8">
        <f t="shared" si="14"/>
        <v>0</v>
      </c>
      <c r="AD84" s="8">
        <f t="shared" si="15"/>
        <v>44</v>
      </c>
      <c r="AE84" s="8">
        <f t="shared" si="16"/>
        <v>29.92</v>
      </c>
      <c r="AF84" s="8">
        <f t="shared" si="17"/>
        <v>14.079999999999998</v>
      </c>
      <c r="AG84" s="9">
        <f t="shared" si="18"/>
        <v>0.31999999999999995</v>
      </c>
      <c r="AH84" s="10">
        <f t="shared" si="19"/>
        <v>2025</v>
      </c>
      <c r="AI84" s="10">
        <f t="shared" si="20"/>
        <v>7</v>
      </c>
      <c r="AJ84" s="10" t="str">
        <f t="shared" si="21"/>
        <v>2025-07</v>
      </c>
      <c r="AK84" s="10" t="str">
        <f t="shared" si="22"/>
        <v>T3</v>
      </c>
      <c r="AL84" s="10" t="str">
        <f t="shared" si="23"/>
        <v>22-29</v>
      </c>
      <c r="AM84" s="10" t="str">
        <f t="shared" si="24"/>
        <v>faible</v>
      </c>
      <c r="AN84" s="10" t="s">
        <v>2837</v>
      </c>
      <c r="AO84" s="10" t="str">
        <f t="shared" si="25"/>
        <v>Faible</v>
      </c>
    </row>
    <row r="85" spans="1:41">
      <c r="A85" t="s">
        <v>485</v>
      </c>
      <c r="B85" s="2">
        <v>45904</v>
      </c>
      <c r="C85" t="s">
        <v>486</v>
      </c>
      <c r="D85" t="s">
        <v>333</v>
      </c>
      <c r="E85" t="s">
        <v>98</v>
      </c>
      <c r="F85" t="s">
        <v>487</v>
      </c>
      <c r="G85">
        <v>1</v>
      </c>
      <c r="H85" s="4">
        <v>65</v>
      </c>
      <c r="I85" s="3">
        <v>0.02</v>
      </c>
      <c r="J85" t="s">
        <v>63</v>
      </c>
      <c r="K85" t="s">
        <v>46</v>
      </c>
      <c r="L85" t="s">
        <v>488</v>
      </c>
      <c r="M85" t="s">
        <v>48</v>
      </c>
      <c r="N85" t="s">
        <v>255</v>
      </c>
      <c r="O85" t="s">
        <v>336</v>
      </c>
      <c r="P85" t="s">
        <v>51</v>
      </c>
      <c r="Q85" t="s">
        <v>52</v>
      </c>
      <c r="R85" t="s">
        <v>104</v>
      </c>
      <c r="S85" t="s">
        <v>79</v>
      </c>
      <c r="T85" t="s">
        <v>489</v>
      </c>
      <c r="U85" s="5">
        <v>37</v>
      </c>
      <c r="V85" s="5" t="s">
        <v>56</v>
      </c>
      <c r="W85" s="5">
        <v>48</v>
      </c>
      <c r="X85" s="5">
        <v>6.1</v>
      </c>
      <c r="Y85" s="5">
        <v>5</v>
      </c>
      <c r="Z85" s="5" t="s">
        <v>117</v>
      </c>
      <c r="AA85" s="6">
        <v>47.45</v>
      </c>
      <c r="AB85" s="8">
        <f t="shared" si="13"/>
        <v>65</v>
      </c>
      <c r="AC85" s="8">
        <f t="shared" si="14"/>
        <v>1.3</v>
      </c>
      <c r="AD85" s="8">
        <f t="shared" si="15"/>
        <v>63.7</v>
      </c>
      <c r="AE85" s="8">
        <f t="shared" si="16"/>
        <v>47.45</v>
      </c>
      <c r="AF85" s="8">
        <f t="shared" si="17"/>
        <v>16.25</v>
      </c>
      <c r="AG85" s="9">
        <f t="shared" si="18"/>
        <v>0.25510204081632654</v>
      </c>
      <c r="AH85" s="10">
        <f t="shared" si="19"/>
        <v>2025</v>
      </c>
      <c r="AI85" s="10">
        <f t="shared" si="20"/>
        <v>9</v>
      </c>
      <c r="AJ85" s="10" t="str">
        <f t="shared" si="21"/>
        <v>2025-09</v>
      </c>
      <c r="AK85" s="10" t="str">
        <f t="shared" si="22"/>
        <v>T3</v>
      </c>
      <c r="AL85" s="10" t="str">
        <f t="shared" si="23"/>
        <v>30-39</v>
      </c>
      <c r="AM85" s="10" t="str">
        <f t="shared" si="24"/>
        <v>moyen</v>
      </c>
      <c r="AN85" s="10" t="s">
        <v>2839</v>
      </c>
      <c r="AO85" s="10" t="str">
        <f t="shared" si="25"/>
        <v>Faible</v>
      </c>
    </row>
    <row r="86" spans="1:41">
      <c r="A86" t="s">
        <v>490</v>
      </c>
      <c r="B86" s="2">
        <v>45747</v>
      </c>
      <c r="C86" t="s">
        <v>491</v>
      </c>
      <c r="D86" t="s">
        <v>42</v>
      </c>
      <c r="E86" t="s">
        <v>61</v>
      </c>
      <c r="F86" t="s">
        <v>99</v>
      </c>
      <c r="G86">
        <v>1</v>
      </c>
      <c r="H86" s="4">
        <v>260</v>
      </c>
      <c r="I86" s="3">
        <v>0.02</v>
      </c>
      <c r="J86" t="s">
        <v>77</v>
      </c>
      <c r="K86" t="s">
        <v>46</v>
      </c>
      <c r="L86" t="s">
        <v>492</v>
      </c>
      <c r="M86" t="s">
        <v>123</v>
      </c>
      <c r="N86" t="s">
        <v>80</v>
      </c>
      <c r="O86" t="s">
        <v>50</v>
      </c>
      <c r="P86" t="s">
        <v>51</v>
      </c>
      <c r="Q86" t="s">
        <v>52</v>
      </c>
      <c r="R86" t="s">
        <v>68</v>
      </c>
      <c r="S86" t="s">
        <v>69</v>
      </c>
      <c r="T86" t="s">
        <v>105</v>
      </c>
      <c r="U86" s="5">
        <v>26</v>
      </c>
      <c r="V86" s="5" t="s">
        <v>56</v>
      </c>
      <c r="W86" s="5">
        <v>50</v>
      </c>
      <c r="X86" s="5">
        <v>7</v>
      </c>
      <c r="Y86" s="5">
        <v>3</v>
      </c>
      <c r="Z86" s="5" t="s">
        <v>94</v>
      </c>
      <c r="AA86" s="6">
        <v>189.8</v>
      </c>
      <c r="AB86" s="8">
        <f t="shared" si="13"/>
        <v>260</v>
      </c>
      <c r="AC86" s="8">
        <f t="shared" si="14"/>
        <v>5.2</v>
      </c>
      <c r="AD86" s="8">
        <f t="shared" si="15"/>
        <v>254.8</v>
      </c>
      <c r="AE86" s="8">
        <f t="shared" si="16"/>
        <v>189.8</v>
      </c>
      <c r="AF86" s="8">
        <f t="shared" si="17"/>
        <v>65</v>
      </c>
      <c r="AG86" s="9">
        <f t="shared" si="18"/>
        <v>0.25510204081632654</v>
      </c>
      <c r="AH86" s="10">
        <f t="shared" si="19"/>
        <v>2025</v>
      </c>
      <c r="AI86" s="10">
        <f t="shared" si="20"/>
        <v>3</v>
      </c>
      <c r="AJ86" s="10" t="str">
        <f t="shared" si="21"/>
        <v>2025-03</v>
      </c>
      <c r="AK86" s="10" t="str">
        <f t="shared" si="22"/>
        <v>T1</v>
      </c>
      <c r="AL86" s="10" t="str">
        <f t="shared" si="23"/>
        <v>22-29</v>
      </c>
      <c r="AM86" s="10" t="str">
        <f t="shared" si="24"/>
        <v>bon</v>
      </c>
      <c r="AN86" s="10" t="s">
        <v>2838</v>
      </c>
      <c r="AO86" s="10" t="str">
        <f t="shared" si="25"/>
        <v>Faible</v>
      </c>
    </row>
    <row r="87" spans="1:41">
      <c r="A87" t="s">
        <v>493</v>
      </c>
      <c r="B87" s="2">
        <v>45986</v>
      </c>
      <c r="C87" t="s">
        <v>494</v>
      </c>
      <c r="D87" t="s">
        <v>148</v>
      </c>
      <c r="E87" t="s">
        <v>277</v>
      </c>
      <c r="F87" t="s">
        <v>220</v>
      </c>
      <c r="G87">
        <v>20</v>
      </c>
      <c r="H87" s="4">
        <v>110</v>
      </c>
      <c r="I87" s="3">
        <v>0</v>
      </c>
      <c r="J87" t="s">
        <v>63</v>
      </c>
      <c r="K87" t="s">
        <v>46</v>
      </c>
      <c r="L87" t="s">
        <v>495</v>
      </c>
      <c r="M87" t="s">
        <v>65</v>
      </c>
      <c r="N87" t="s">
        <v>255</v>
      </c>
      <c r="O87" t="s">
        <v>151</v>
      </c>
      <c r="P87" t="s">
        <v>103</v>
      </c>
      <c r="Q87" t="s">
        <v>114</v>
      </c>
      <c r="R87" t="s">
        <v>279</v>
      </c>
      <c r="S87" t="s">
        <v>54</v>
      </c>
      <c r="T87" t="s">
        <v>223</v>
      </c>
      <c r="U87" s="5">
        <v>40</v>
      </c>
      <c r="V87" s="5" t="s">
        <v>56</v>
      </c>
      <c r="W87" s="5">
        <v>67</v>
      </c>
      <c r="X87" s="5">
        <v>4.8</v>
      </c>
      <c r="Y87" s="5">
        <v>6</v>
      </c>
      <c r="Z87" s="5" t="s">
        <v>94</v>
      </c>
      <c r="AA87" s="6">
        <v>72.599999999999994</v>
      </c>
      <c r="AB87" s="8">
        <f t="shared" si="13"/>
        <v>2200</v>
      </c>
      <c r="AC87" s="8">
        <f t="shared" si="14"/>
        <v>0</v>
      </c>
      <c r="AD87" s="8">
        <f t="shared" si="15"/>
        <v>2200</v>
      </c>
      <c r="AE87" s="8">
        <f t="shared" si="16"/>
        <v>1452</v>
      </c>
      <c r="AF87" s="8">
        <f t="shared" si="17"/>
        <v>748</v>
      </c>
      <c r="AG87" s="9">
        <f t="shared" si="18"/>
        <v>0.34</v>
      </c>
      <c r="AH87" s="10">
        <f t="shared" si="19"/>
        <v>2025</v>
      </c>
      <c r="AI87" s="10">
        <f t="shared" si="20"/>
        <v>11</v>
      </c>
      <c r="AJ87" s="10" t="str">
        <f t="shared" si="21"/>
        <v>2025-11</v>
      </c>
      <c r="AK87" s="10" t="str">
        <f t="shared" si="22"/>
        <v>T4</v>
      </c>
      <c r="AL87" s="10" t="str">
        <f t="shared" si="23"/>
        <v>40-49</v>
      </c>
      <c r="AM87" s="10" t="str">
        <f t="shared" si="24"/>
        <v>faible</v>
      </c>
      <c r="AN87" s="10" t="s">
        <v>2839</v>
      </c>
      <c r="AO87" s="10" t="str">
        <f t="shared" si="25"/>
        <v>Elevée</v>
      </c>
    </row>
    <row r="88" spans="1:41">
      <c r="A88" t="s">
        <v>496</v>
      </c>
      <c r="B88" s="2">
        <v>45881</v>
      </c>
      <c r="C88" t="s">
        <v>497</v>
      </c>
      <c r="D88" t="s">
        <v>148</v>
      </c>
      <c r="E88" t="s">
        <v>75</v>
      </c>
      <c r="F88" t="s">
        <v>202</v>
      </c>
      <c r="G88">
        <v>10</v>
      </c>
      <c r="H88" s="4">
        <v>110</v>
      </c>
      <c r="I88" s="3">
        <v>0.1</v>
      </c>
      <c r="J88" t="s">
        <v>77</v>
      </c>
      <c r="K88" t="s">
        <v>46</v>
      </c>
      <c r="L88" t="s">
        <v>498</v>
      </c>
      <c r="M88" t="s">
        <v>65</v>
      </c>
      <c r="N88" t="s">
        <v>49</v>
      </c>
      <c r="O88" t="s">
        <v>151</v>
      </c>
      <c r="P88" t="s">
        <v>103</v>
      </c>
      <c r="Q88" t="s">
        <v>114</v>
      </c>
      <c r="R88" t="s">
        <v>83</v>
      </c>
      <c r="S88" t="s">
        <v>69</v>
      </c>
      <c r="T88" t="s">
        <v>204</v>
      </c>
      <c r="U88" s="5">
        <v>59</v>
      </c>
      <c r="V88" s="5" t="s">
        <v>85</v>
      </c>
      <c r="W88" s="5">
        <v>6</v>
      </c>
      <c r="X88" s="5">
        <v>7.5</v>
      </c>
      <c r="Y88" s="5">
        <v>3</v>
      </c>
      <c r="Z88" s="5" t="s">
        <v>94</v>
      </c>
      <c r="AA88" s="6">
        <v>72.599999999999994</v>
      </c>
      <c r="AB88" s="8">
        <f t="shared" si="13"/>
        <v>1100</v>
      </c>
      <c r="AC88" s="8">
        <f t="shared" si="14"/>
        <v>110</v>
      </c>
      <c r="AD88" s="8">
        <f t="shared" si="15"/>
        <v>990</v>
      </c>
      <c r="AE88" s="8">
        <f t="shared" si="16"/>
        <v>726</v>
      </c>
      <c r="AF88" s="8">
        <f t="shared" si="17"/>
        <v>264</v>
      </c>
      <c r="AG88" s="9">
        <f t="shared" si="18"/>
        <v>0.26666666666666666</v>
      </c>
      <c r="AH88" s="10">
        <f t="shared" si="19"/>
        <v>2025</v>
      </c>
      <c r="AI88" s="10">
        <f t="shared" si="20"/>
        <v>8</v>
      </c>
      <c r="AJ88" s="10" t="str">
        <f t="shared" si="21"/>
        <v>2025-08</v>
      </c>
      <c r="AK88" s="10" t="str">
        <f t="shared" si="22"/>
        <v>T3</v>
      </c>
      <c r="AL88" s="10" t="str">
        <f t="shared" si="23"/>
        <v>50+</v>
      </c>
      <c r="AM88" s="10" t="str">
        <f t="shared" si="24"/>
        <v>bon</v>
      </c>
      <c r="AN88" s="10" t="s">
        <v>2838</v>
      </c>
      <c r="AO88" s="10" t="str">
        <f t="shared" si="25"/>
        <v>Moyenne</v>
      </c>
    </row>
    <row r="89" spans="1:41">
      <c r="A89" t="s">
        <v>499</v>
      </c>
      <c r="B89" s="2">
        <v>45855</v>
      </c>
      <c r="C89" t="s">
        <v>381</v>
      </c>
      <c r="D89" t="s">
        <v>60</v>
      </c>
      <c r="E89" t="s">
        <v>219</v>
      </c>
      <c r="F89" t="s">
        <v>292</v>
      </c>
      <c r="G89">
        <v>6</v>
      </c>
      <c r="H89" s="4">
        <v>180</v>
      </c>
      <c r="I89" s="3">
        <v>0.08</v>
      </c>
      <c r="J89" t="s">
        <v>45</v>
      </c>
      <c r="K89" t="s">
        <v>46</v>
      </c>
      <c r="L89" t="s">
        <v>382</v>
      </c>
      <c r="M89" t="s">
        <v>54</v>
      </c>
      <c r="N89" t="s">
        <v>101</v>
      </c>
      <c r="O89" t="s">
        <v>66</v>
      </c>
      <c r="P89" t="s">
        <v>67</v>
      </c>
      <c r="Q89" t="s">
        <v>52</v>
      </c>
      <c r="R89" t="s">
        <v>222</v>
      </c>
      <c r="S89" t="s">
        <v>123</v>
      </c>
      <c r="T89" t="s">
        <v>294</v>
      </c>
      <c r="U89" s="5">
        <v>37</v>
      </c>
      <c r="V89" s="5" t="s">
        <v>56</v>
      </c>
      <c r="W89" s="5">
        <v>8</v>
      </c>
      <c r="X89" s="5">
        <v>7.6</v>
      </c>
      <c r="Y89" s="5">
        <v>2</v>
      </c>
      <c r="Z89" s="5" t="s">
        <v>57</v>
      </c>
      <c r="AA89" s="6">
        <v>129.6</v>
      </c>
      <c r="AB89" s="8">
        <f t="shared" si="13"/>
        <v>1080</v>
      </c>
      <c r="AC89" s="8">
        <f t="shared" si="14"/>
        <v>86.4</v>
      </c>
      <c r="AD89" s="8">
        <f t="shared" si="15"/>
        <v>993.6</v>
      </c>
      <c r="AE89" s="8">
        <f t="shared" si="16"/>
        <v>777.59999999999991</v>
      </c>
      <c r="AF89" s="8">
        <f t="shared" si="17"/>
        <v>216.00000000000011</v>
      </c>
      <c r="AG89" s="9">
        <f t="shared" si="18"/>
        <v>0.21739130434782619</v>
      </c>
      <c r="AH89" s="10">
        <f t="shared" si="19"/>
        <v>2025</v>
      </c>
      <c r="AI89" s="10">
        <f t="shared" si="20"/>
        <v>7</v>
      </c>
      <c r="AJ89" s="10" t="str">
        <f t="shared" si="21"/>
        <v>2025-07</v>
      </c>
      <c r="AK89" s="10" t="str">
        <f t="shared" si="22"/>
        <v>T3</v>
      </c>
      <c r="AL89" s="10" t="str">
        <f t="shared" si="23"/>
        <v>30-39</v>
      </c>
      <c r="AM89" s="10" t="str">
        <f t="shared" si="24"/>
        <v>bon</v>
      </c>
      <c r="AN89" s="10" t="s">
        <v>2838</v>
      </c>
      <c r="AO89" s="10" t="str">
        <f t="shared" si="25"/>
        <v>Moyenne</v>
      </c>
    </row>
    <row r="90" spans="1:41">
      <c r="A90" t="s">
        <v>500</v>
      </c>
      <c r="B90" s="2">
        <v>45958</v>
      </c>
      <c r="C90" t="s">
        <v>501</v>
      </c>
      <c r="D90" t="s">
        <v>148</v>
      </c>
      <c r="E90" t="s">
        <v>226</v>
      </c>
      <c r="F90" t="s">
        <v>502</v>
      </c>
      <c r="G90">
        <v>10</v>
      </c>
      <c r="H90" s="4">
        <v>110</v>
      </c>
      <c r="I90" s="3">
        <v>0</v>
      </c>
      <c r="J90" t="s">
        <v>45</v>
      </c>
      <c r="K90" t="s">
        <v>46</v>
      </c>
      <c r="L90" t="s">
        <v>503</v>
      </c>
      <c r="M90" t="s">
        <v>54</v>
      </c>
      <c r="N90" t="s">
        <v>112</v>
      </c>
      <c r="O90" t="s">
        <v>151</v>
      </c>
      <c r="P90" t="s">
        <v>103</v>
      </c>
      <c r="Q90" t="s">
        <v>114</v>
      </c>
      <c r="R90" t="s">
        <v>229</v>
      </c>
      <c r="S90" t="s">
        <v>48</v>
      </c>
      <c r="T90" t="s">
        <v>504</v>
      </c>
      <c r="U90" s="5">
        <v>27</v>
      </c>
      <c r="V90" s="5" t="s">
        <v>85</v>
      </c>
      <c r="W90" s="5">
        <v>30</v>
      </c>
      <c r="X90" s="5">
        <v>4.0999999999999996</v>
      </c>
      <c r="Y90" s="5">
        <v>8</v>
      </c>
      <c r="Z90" s="5" t="s">
        <v>57</v>
      </c>
      <c r="AA90" s="6">
        <v>72.599999999999994</v>
      </c>
      <c r="AB90" s="8">
        <f t="shared" si="13"/>
        <v>1100</v>
      </c>
      <c r="AC90" s="8">
        <f t="shared" si="14"/>
        <v>0</v>
      </c>
      <c r="AD90" s="8">
        <f t="shared" si="15"/>
        <v>1100</v>
      </c>
      <c r="AE90" s="8">
        <f t="shared" si="16"/>
        <v>726</v>
      </c>
      <c r="AF90" s="8">
        <f t="shared" si="17"/>
        <v>374</v>
      </c>
      <c r="AG90" s="9">
        <f t="shared" si="18"/>
        <v>0.34</v>
      </c>
      <c r="AH90" s="10">
        <f t="shared" si="19"/>
        <v>2025</v>
      </c>
      <c r="AI90" s="10">
        <f t="shared" si="20"/>
        <v>10</v>
      </c>
      <c r="AJ90" s="10" t="str">
        <f t="shared" si="21"/>
        <v>2025-10</v>
      </c>
      <c r="AK90" s="10" t="str">
        <f t="shared" si="22"/>
        <v>T4</v>
      </c>
      <c r="AL90" s="10" t="str">
        <f t="shared" si="23"/>
        <v>22-29</v>
      </c>
      <c r="AM90" s="10" t="str">
        <f t="shared" si="24"/>
        <v>faible</v>
      </c>
      <c r="AN90" s="10" t="s">
        <v>2837</v>
      </c>
      <c r="AO90" s="10" t="str">
        <f t="shared" si="25"/>
        <v>Elevée</v>
      </c>
    </row>
    <row r="91" spans="1:41">
      <c r="A91" t="s">
        <v>505</v>
      </c>
      <c r="B91" s="2">
        <v>45812</v>
      </c>
      <c r="C91" t="s">
        <v>506</v>
      </c>
      <c r="D91" t="s">
        <v>333</v>
      </c>
      <c r="E91" t="s">
        <v>109</v>
      </c>
      <c r="F91" t="s">
        <v>182</v>
      </c>
      <c r="G91">
        <v>2</v>
      </c>
      <c r="H91" s="4">
        <v>65</v>
      </c>
      <c r="I91" s="3">
        <v>0.05</v>
      </c>
      <c r="J91" t="s">
        <v>63</v>
      </c>
      <c r="K91" t="s">
        <v>46</v>
      </c>
      <c r="L91" t="s">
        <v>507</v>
      </c>
      <c r="M91" t="s">
        <v>54</v>
      </c>
      <c r="N91" t="s">
        <v>112</v>
      </c>
      <c r="O91" t="s">
        <v>336</v>
      </c>
      <c r="P91" t="s">
        <v>51</v>
      </c>
      <c r="Q91" t="s">
        <v>52</v>
      </c>
      <c r="R91" t="s">
        <v>115</v>
      </c>
      <c r="S91" t="s">
        <v>65</v>
      </c>
      <c r="T91" t="s">
        <v>185</v>
      </c>
      <c r="U91" s="5">
        <v>35</v>
      </c>
      <c r="V91" s="5" t="s">
        <v>56</v>
      </c>
      <c r="W91" s="5">
        <v>56</v>
      </c>
      <c r="X91" s="5">
        <v>6.2</v>
      </c>
      <c r="Y91" s="5">
        <v>4</v>
      </c>
      <c r="Z91" s="5" t="s">
        <v>94</v>
      </c>
      <c r="AA91" s="6">
        <v>47.45</v>
      </c>
      <c r="AB91" s="8">
        <f t="shared" si="13"/>
        <v>130</v>
      </c>
      <c r="AC91" s="8">
        <f t="shared" si="14"/>
        <v>6.5</v>
      </c>
      <c r="AD91" s="8">
        <f t="shared" si="15"/>
        <v>123.5</v>
      </c>
      <c r="AE91" s="8">
        <f t="shared" si="16"/>
        <v>94.9</v>
      </c>
      <c r="AF91" s="8">
        <f t="shared" si="17"/>
        <v>28.599999999999994</v>
      </c>
      <c r="AG91" s="9">
        <f t="shared" si="18"/>
        <v>0.231578947368421</v>
      </c>
      <c r="AH91" s="10">
        <f t="shared" si="19"/>
        <v>2025</v>
      </c>
      <c r="AI91" s="10">
        <f t="shared" si="20"/>
        <v>6</v>
      </c>
      <c r="AJ91" s="10" t="str">
        <f t="shared" si="21"/>
        <v>2025-06</v>
      </c>
      <c r="AK91" s="10" t="str">
        <f t="shared" si="22"/>
        <v>T2</v>
      </c>
      <c r="AL91" s="10" t="str">
        <f t="shared" si="23"/>
        <v>30-39</v>
      </c>
      <c r="AM91" s="10" t="str">
        <f t="shared" si="24"/>
        <v>moyen</v>
      </c>
      <c r="AN91" s="10" t="s">
        <v>2839</v>
      </c>
      <c r="AO91" s="10" t="str">
        <f t="shared" si="25"/>
        <v>Faible</v>
      </c>
    </row>
    <row r="92" spans="1:41">
      <c r="A92" t="s">
        <v>508</v>
      </c>
      <c r="B92" s="2">
        <v>45951</v>
      </c>
      <c r="C92" t="s">
        <v>509</v>
      </c>
      <c r="D92" t="s">
        <v>174</v>
      </c>
      <c r="E92" t="s">
        <v>345</v>
      </c>
      <c r="F92" t="s">
        <v>243</v>
      </c>
      <c r="G92">
        <v>4</v>
      </c>
      <c r="H92" s="4">
        <v>780</v>
      </c>
      <c r="I92" s="3">
        <v>0</v>
      </c>
      <c r="J92" t="s">
        <v>45</v>
      </c>
      <c r="K92" t="s">
        <v>46</v>
      </c>
      <c r="L92" t="s">
        <v>510</v>
      </c>
      <c r="M92" t="s">
        <v>48</v>
      </c>
      <c r="N92" t="s">
        <v>255</v>
      </c>
      <c r="O92" t="s">
        <v>177</v>
      </c>
      <c r="P92" t="s">
        <v>103</v>
      </c>
      <c r="Q92" t="s">
        <v>114</v>
      </c>
      <c r="R92" t="s">
        <v>347</v>
      </c>
      <c r="S92" t="s">
        <v>54</v>
      </c>
      <c r="T92" t="s">
        <v>245</v>
      </c>
      <c r="U92" s="5">
        <v>53</v>
      </c>
      <c r="V92" s="5" t="s">
        <v>56</v>
      </c>
      <c r="W92" s="5">
        <v>54</v>
      </c>
      <c r="X92" s="5">
        <v>3.9</v>
      </c>
      <c r="Y92" s="5">
        <v>8</v>
      </c>
      <c r="Z92" s="5" t="s">
        <v>71</v>
      </c>
      <c r="AA92" s="6">
        <v>468</v>
      </c>
      <c r="AB92" s="8">
        <f t="shared" si="13"/>
        <v>3120</v>
      </c>
      <c r="AC92" s="8">
        <f t="shared" si="14"/>
        <v>0</v>
      </c>
      <c r="AD92" s="8">
        <f t="shared" si="15"/>
        <v>3120</v>
      </c>
      <c r="AE92" s="8">
        <f t="shared" si="16"/>
        <v>1872</v>
      </c>
      <c r="AF92" s="8">
        <f t="shared" si="17"/>
        <v>1248</v>
      </c>
      <c r="AG92" s="9">
        <f t="shared" si="18"/>
        <v>0.4</v>
      </c>
      <c r="AH92" s="10">
        <f t="shared" si="19"/>
        <v>2025</v>
      </c>
      <c r="AI92" s="10">
        <f t="shared" si="20"/>
        <v>10</v>
      </c>
      <c r="AJ92" s="10" t="str">
        <f t="shared" si="21"/>
        <v>2025-10</v>
      </c>
      <c r="AK92" s="10" t="str">
        <f t="shared" si="22"/>
        <v>T4</v>
      </c>
      <c r="AL92" s="10" t="str">
        <f t="shared" si="23"/>
        <v>50+</v>
      </c>
      <c r="AM92" s="10" t="str">
        <f t="shared" si="24"/>
        <v>faible</v>
      </c>
      <c r="AN92" s="10" t="s">
        <v>2837</v>
      </c>
      <c r="AO92" s="10" t="str">
        <f t="shared" si="25"/>
        <v>Elevée</v>
      </c>
    </row>
    <row r="93" spans="1:41">
      <c r="A93" t="s">
        <v>511</v>
      </c>
      <c r="B93" s="2">
        <v>45744</v>
      </c>
      <c r="C93" t="s">
        <v>512</v>
      </c>
      <c r="D93" t="s">
        <v>148</v>
      </c>
      <c r="E93" t="s">
        <v>43</v>
      </c>
      <c r="F93" t="s">
        <v>76</v>
      </c>
      <c r="G93">
        <v>4</v>
      </c>
      <c r="H93" s="4">
        <v>110</v>
      </c>
      <c r="I93" s="3">
        <v>0</v>
      </c>
      <c r="J93" t="s">
        <v>90</v>
      </c>
      <c r="K93" t="s">
        <v>46</v>
      </c>
      <c r="L93" t="s">
        <v>513</v>
      </c>
      <c r="M93" t="s">
        <v>54</v>
      </c>
      <c r="N93" t="s">
        <v>112</v>
      </c>
      <c r="O93" t="s">
        <v>151</v>
      </c>
      <c r="P93" t="s">
        <v>103</v>
      </c>
      <c r="Q93" t="s">
        <v>114</v>
      </c>
      <c r="R93" t="s">
        <v>53</v>
      </c>
      <c r="S93" t="s">
        <v>54</v>
      </c>
      <c r="T93" t="s">
        <v>84</v>
      </c>
      <c r="U93" s="5">
        <v>56</v>
      </c>
      <c r="V93" s="5" t="s">
        <v>85</v>
      </c>
      <c r="W93" s="5">
        <v>8</v>
      </c>
      <c r="X93" s="5">
        <v>8.8000000000000007</v>
      </c>
      <c r="Y93" s="5">
        <v>1</v>
      </c>
      <c r="Z93" s="5" t="s">
        <v>94</v>
      </c>
      <c r="AA93" s="6">
        <v>72.599999999999994</v>
      </c>
      <c r="AB93" s="8">
        <f t="shared" si="13"/>
        <v>440</v>
      </c>
      <c r="AC93" s="8">
        <f t="shared" si="14"/>
        <v>0</v>
      </c>
      <c r="AD93" s="8">
        <f t="shared" si="15"/>
        <v>440</v>
      </c>
      <c r="AE93" s="8">
        <f t="shared" si="16"/>
        <v>290.39999999999998</v>
      </c>
      <c r="AF93" s="8">
        <f t="shared" si="17"/>
        <v>149.60000000000002</v>
      </c>
      <c r="AG93" s="9">
        <f t="shared" si="18"/>
        <v>0.34</v>
      </c>
      <c r="AH93" s="10">
        <f t="shared" si="19"/>
        <v>2025</v>
      </c>
      <c r="AI93" s="10">
        <f t="shared" si="20"/>
        <v>3</v>
      </c>
      <c r="AJ93" s="10" t="str">
        <f t="shared" si="21"/>
        <v>2025-03</v>
      </c>
      <c r="AK93" s="10" t="str">
        <f t="shared" si="22"/>
        <v>T1</v>
      </c>
      <c r="AL93" s="10" t="str">
        <f t="shared" si="23"/>
        <v>50+</v>
      </c>
      <c r="AM93" s="10" t="str">
        <f t="shared" si="24"/>
        <v>bon</v>
      </c>
      <c r="AN93" s="10" t="s">
        <v>2838</v>
      </c>
      <c r="AO93" s="10" t="str">
        <f t="shared" si="25"/>
        <v>Faible</v>
      </c>
    </row>
    <row r="94" spans="1:41">
      <c r="A94" t="s">
        <v>514</v>
      </c>
      <c r="B94" s="2">
        <v>45878</v>
      </c>
      <c r="C94" t="s">
        <v>515</v>
      </c>
      <c r="D94" t="s">
        <v>333</v>
      </c>
      <c r="E94" t="s">
        <v>43</v>
      </c>
      <c r="F94" t="s">
        <v>99</v>
      </c>
      <c r="G94">
        <v>1</v>
      </c>
      <c r="H94" s="4">
        <v>65</v>
      </c>
      <c r="I94" s="3">
        <v>0</v>
      </c>
      <c r="J94" t="s">
        <v>45</v>
      </c>
      <c r="K94" t="s">
        <v>46</v>
      </c>
      <c r="L94" t="s">
        <v>516</v>
      </c>
      <c r="M94" t="s">
        <v>65</v>
      </c>
      <c r="N94" t="s">
        <v>80</v>
      </c>
      <c r="O94" t="s">
        <v>336</v>
      </c>
      <c r="P94" t="s">
        <v>51</v>
      </c>
      <c r="Q94" t="s">
        <v>52</v>
      </c>
      <c r="R94" t="s">
        <v>53</v>
      </c>
      <c r="S94" t="s">
        <v>54</v>
      </c>
      <c r="T94" t="s">
        <v>105</v>
      </c>
      <c r="U94" s="5">
        <v>33</v>
      </c>
      <c r="V94" s="5" t="s">
        <v>85</v>
      </c>
      <c r="W94" s="5">
        <v>41</v>
      </c>
      <c r="X94" s="5">
        <v>8</v>
      </c>
      <c r="Y94" s="5">
        <v>1</v>
      </c>
      <c r="Z94" s="5" t="s">
        <v>71</v>
      </c>
      <c r="AA94" s="6">
        <v>47.45</v>
      </c>
      <c r="AB94" s="8">
        <f t="shared" si="13"/>
        <v>65</v>
      </c>
      <c r="AC94" s="8">
        <f t="shared" si="14"/>
        <v>0</v>
      </c>
      <c r="AD94" s="8">
        <f t="shared" si="15"/>
        <v>65</v>
      </c>
      <c r="AE94" s="8">
        <f t="shared" si="16"/>
        <v>47.45</v>
      </c>
      <c r="AF94" s="8">
        <f t="shared" si="17"/>
        <v>17.549999999999997</v>
      </c>
      <c r="AG94" s="9">
        <f t="shared" si="18"/>
        <v>0.26999999999999996</v>
      </c>
      <c r="AH94" s="10">
        <f t="shared" si="19"/>
        <v>2025</v>
      </c>
      <c r="AI94" s="10">
        <f t="shared" si="20"/>
        <v>8</v>
      </c>
      <c r="AJ94" s="10" t="str">
        <f t="shared" si="21"/>
        <v>2025-08</v>
      </c>
      <c r="AK94" s="10" t="str">
        <f t="shared" si="22"/>
        <v>T3</v>
      </c>
      <c r="AL94" s="10" t="str">
        <f t="shared" si="23"/>
        <v>30-39</v>
      </c>
      <c r="AM94" s="10" t="str">
        <f t="shared" si="24"/>
        <v>bon</v>
      </c>
      <c r="AN94" s="10" t="s">
        <v>2838</v>
      </c>
      <c r="AO94" s="10" t="str">
        <f t="shared" si="25"/>
        <v>Faible</v>
      </c>
    </row>
    <row r="95" spans="1:41">
      <c r="A95" t="s">
        <v>517</v>
      </c>
      <c r="B95" s="2">
        <v>45714</v>
      </c>
      <c r="C95" t="s">
        <v>518</v>
      </c>
      <c r="D95" t="s">
        <v>272</v>
      </c>
      <c r="E95" t="s">
        <v>75</v>
      </c>
      <c r="F95" t="s">
        <v>458</v>
      </c>
      <c r="G95">
        <v>2</v>
      </c>
      <c r="H95" s="4">
        <v>420</v>
      </c>
      <c r="I95" s="3">
        <v>0.1</v>
      </c>
      <c r="J95" t="s">
        <v>45</v>
      </c>
      <c r="K95" t="s">
        <v>46</v>
      </c>
      <c r="L95" t="s">
        <v>519</v>
      </c>
      <c r="M95" t="s">
        <v>65</v>
      </c>
      <c r="N95" t="s">
        <v>112</v>
      </c>
      <c r="O95" t="s">
        <v>274</v>
      </c>
      <c r="P95" t="s">
        <v>133</v>
      </c>
      <c r="Q95" t="s">
        <v>114</v>
      </c>
      <c r="R95" t="s">
        <v>83</v>
      </c>
      <c r="S95" t="s">
        <v>69</v>
      </c>
      <c r="T95" t="s">
        <v>460</v>
      </c>
      <c r="U95" s="5">
        <v>34</v>
      </c>
      <c r="V95" s="5" t="s">
        <v>85</v>
      </c>
      <c r="W95" s="5">
        <v>30</v>
      </c>
      <c r="X95" s="5">
        <v>7.1</v>
      </c>
      <c r="Y95" s="5">
        <v>4</v>
      </c>
      <c r="Z95" s="5" t="s">
        <v>117</v>
      </c>
      <c r="AA95" s="6">
        <v>273</v>
      </c>
      <c r="AB95" s="8">
        <f t="shared" si="13"/>
        <v>840</v>
      </c>
      <c r="AC95" s="8">
        <f t="shared" si="14"/>
        <v>84</v>
      </c>
      <c r="AD95" s="8">
        <f t="shared" si="15"/>
        <v>756</v>
      </c>
      <c r="AE95" s="8">
        <f t="shared" si="16"/>
        <v>546</v>
      </c>
      <c r="AF95" s="8">
        <f t="shared" si="17"/>
        <v>210</v>
      </c>
      <c r="AG95" s="9">
        <f t="shared" si="18"/>
        <v>0.27777777777777779</v>
      </c>
      <c r="AH95" s="10">
        <f t="shared" si="19"/>
        <v>2025</v>
      </c>
      <c r="AI95" s="10">
        <f t="shared" si="20"/>
        <v>2</v>
      </c>
      <c r="AJ95" s="10" t="str">
        <f t="shared" si="21"/>
        <v>2025-02</v>
      </c>
      <c r="AK95" s="10" t="str">
        <f t="shared" si="22"/>
        <v>T1</v>
      </c>
      <c r="AL95" s="10" t="str">
        <f t="shared" si="23"/>
        <v>30-39</v>
      </c>
      <c r="AM95" s="10" t="str">
        <f t="shared" si="24"/>
        <v>bon</v>
      </c>
      <c r="AN95" s="10" t="s">
        <v>2839</v>
      </c>
      <c r="AO95" s="10" t="str">
        <f t="shared" si="25"/>
        <v>Moyenne</v>
      </c>
    </row>
    <row r="96" spans="1:41">
      <c r="A96" t="s">
        <v>520</v>
      </c>
      <c r="B96" s="2">
        <v>45867</v>
      </c>
      <c r="C96" t="s">
        <v>521</v>
      </c>
      <c r="D96" t="s">
        <v>128</v>
      </c>
      <c r="E96" t="s">
        <v>88</v>
      </c>
      <c r="F96" t="s">
        <v>522</v>
      </c>
      <c r="G96">
        <v>2</v>
      </c>
      <c r="H96" s="4">
        <v>190</v>
      </c>
      <c r="I96" s="3">
        <v>0.05</v>
      </c>
      <c r="J96" t="s">
        <v>90</v>
      </c>
      <c r="K96" t="s">
        <v>46</v>
      </c>
      <c r="L96" t="s">
        <v>523</v>
      </c>
      <c r="M96" t="s">
        <v>54</v>
      </c>
      <c r="N96" t="s">
        <v>49</v>
      </c>
      <c r="O96" t="s">
        <v>132</v>
      </c>
      <c r="P96" t="s">
        <v>133</v>
      </c>
      <c r="Q96" t="s">
        <v>52</v>
      </c>
      <c r="R96" t="s">
        <v>92</v>
      </c>
      <c r="S96" t="s">
        <v>48</v>
      </c>
      <c r="T96" t="s">
        <v>524</v>
      </c>
      <c r="U96" s="5">
        <v>59</v>
      </c>
      <c r="V96" s="5" t="s">
        <v>56</v>
      </c>
      <c r="W96" s="5">
        <v>65</v>
      </c>
      <c r="X96" s="5">
        <v>6.1</v>
      </c>
      <c r="Y96" s="5">
        <v>5</v>
      </c>
      <c r="Z96" s="5" t="s">
        <v>94</v>
      </c>
      <c r="AA96" s="6">
        <v>148.19999999999999</v>
      </c>
      <c r="AB96" s="8">
        <f t="shared" si="13"/>
        <v>380</v>
      </c>
      <c r="AC96" s="8">
        <f t="shared" si="14"/>
        <v>19</v>
      </c>
      <c r="AD96" s="8">
        <f t="shared" si="15"/>
        <v>361</v>
      </c>
      <c r="AE96" s="8">
        <f t="shared" si="16"/>
        <v>296.39999999999998</v>
      </c>
      <c r="AF96" s="8">
        <f t="shared" si="17"/>
        <v>64.600000000000023</v>
      </c>
      <c r="AG96" s="9">
        <f t="shared" si="18"/>
        <v>0.17894736842105269</v>
      </c>
      <c r="AH96" s="10">
        <f t="shared" si="19"/>
        <v>2025</v>
      </c>
      <c r="AI96" s="10">
        <f t="shared" si="20"/>
        <v>7</v>
      </c>
      <c r="AJ96" s="10" t="str">
        <f t="shared" si="21"/>
        <v>2025-07</v>
      </c>
      <c r="AK96" s="10" t="str">
        <f t="shared" si="22"/>
        <v>T3</v>
      </c>
      <c r="AL96" s="10" t="str">
        <f t="shared" si="23"/>
        <v>50+</v>
      </c>
      <c r="AM96" s="10" t="str">
        <f t="shared" si="24"/>
        <v>moyen</v>
      </c>
      <c r="AN96" s="10" t="s">
        <v>2839</v>
      </c>
      <c r="AO96" s="10" t="str">
        <f t="shared" si="25"/>
        <v>Faible</v>
      </c>
    </row>
    <row r="97" spans="1:41">
      <c r="A97" t="s">
        <v>525</v>
      </c>
      <c r="B97" s="2">
        <v>45851</v>
      </c>
      <c r="C97" t="s">
        <v>526</v>
      </c>
      <c r="D97" t="s">
        <v>174</v>
      </c>
      <c r="E97" t="s">
        <v>43</v>
      </c>
      <c r="F97" t="s">
        <v>434</v>
      </c>
      <c r="G97">
        <v>1</v>
      </c>
      <c r="H97" s="4">
        <v>780</v>
      </c>
      <c r="I97" s="3">
        <v>0</v>
      </c>
      <c r="J97" t="s">
        <v>77</v>
      </c>
      <c r="K97" t="s">
        <v>46</v>
      </c>
      <c r="L97" t="s">
        <v>527</v>
      </c>
      <c r="M97" t="s">
        <v>54</v>
      </c>
      <c r="N97" t="s">
        <v>255</v>
      </c>
      <c r="O97" t="s">
        <v>177</v>
      </c>
      <c r="P97" t="s">
        <v>103</v>
      </c>
      <c r="Q97" t="s">
        <v>114</v>
      </c>
      <c r="R97" t="s">
        <v>53</v>
      </c>
      <c r="S97" t="s">
        <v>54</v>
      </c>
      <c r="T97" t="s">
        <v>436</v>
      </c>
      <c r="U97" s="5">
        <v>31</v>
      </c>
      <c r="V97" s="5" t="s">
        <v>85</v>
      </c>
      <c r="W97" s="5">
        <v>18</v>
      </c>
      <c r="X97" s="5">
        <v>3.8</v>
      </c>
      <c r="Y97" s="5">
        <v>9</v>
      </c>
      <c r="Z97" s="5" t="s">
        <v>57</v>
      </c>
      <c r="AA97" s="6">
        <v>468</v>
      </c>
      <c r="AB97" s="8">
        <f t="shared" si="13"/>
        <v>780</v>
      </c>
      <c r="AC97" s="8">
        <f t="shared" si="14"/>
        <v>0</v>
      </c>
      <c r="AD97" s="8">
        <f t="shared" si="15"/>
        <v>780</v>
      </c>
      <c r="AE97" s="8">
        <f t="shared" si="16"/>
        <v>468</v>
      </c>
      <c r="AF97" s="8">
        <f t="shared" si="17"/>
        <v>312</v>
      </c>
      <c r="AG97" s="9">
        <f t="shared" si="18"/>
        <v>0.4</v>
      </c>
      <c r="AH97" s="10">
        <f t="shared" si="19"/>
        <v>2025</v>
      </c>
      <c r="AI97" s="10">
        <f t="shared" si="20"/>
        <v>7</v>
      </c>
      <c r="AJ97" s="10" t="str">
        <f t="shared" si="21"/>
        <v>2025-07</v>
      </c>
      <c r="AK97" s="10" t="str">
        <f t="shared" si="22"/>
        <v>T3</v>
      </c>
      <c r="AL97" s="10" t="str">
        <f t="shared" si="23"/>
        <v>30-39</v>
      </c>
      <c r="AM97" s="10" t="str">
        <f t="shared" si="24"/>
        <v>faible</v>
      </c>
      <c r="AN97" s="10" t="s">
        <v>2837</v>
      </c>
      <c r="AO97" s="10" t="str">
        <f t="shared" si="25"/>
        <v>Moyenne</v>
      </c>
    </row>
    <row r="98" spans="1:41">
      <c r="A98" t="s">
        <v>528</v>
      </c>
      <c r="B98" s="2">
        <v>45709</v>
      </c>
      <c r="C98" t="s">
        <v>529</v>
      </c>
      <c r="D98" t="s">
        <v>272</v>
      </c>
      <c r="E98" t="s">
        <v>277</v>
      </c>
      <c r="F98" t="s">
        <v>140</v>
      </c>
      <c r="G98">
        <v>1</v>
      </c>
      <c r="H98" s="4">
        <v>420</v>
      </c>
      <c r="I98" s="3">
        <v>0</v>
      </c>
      <c r="J98" t="s">
        <v>90</v>
      </c>
      <c r="K98" t="s">
        <v>46</v>
      </c>
      <c r="L98" t="s">
        <v>530</v>
      </c>
      <c r="M98" t="s">
        <v>54</v>
      </c>
      <c r="N98" t="s">
        <v>255</v>
      </c>
      <c r="O98" t="s">
        <v>274</v>
      </c>
      <c r="P98" t="s">
        <v>133</v>
      </c>
      <c r="Q98" t="s">
        <v>114</v>
      </c>
      <c r="R98" t="s">
        <v>279</v>
      </c>
      <c r="S98" t="s">
        <v>54</v>
      </c>
      <c r="T98" t="s">
        <v>145</v>
      </c>
      <c r="U98" s="5">
        <v>25</v>
      </c>
      <c r="V98" s="5" t="s">
        <v>85</v>
      </c>
      <c r="W98" s="5">
        <v>34</v>
      </c>
      <c r="X98" s="5">
        <v>4.4000000000000004</v>
      </c>
      <c r="Y98" s="5">
        <v>8</v>
      </c>
      <c r="Z98" s="5" t="s">
        <v>71</v>
      </c>
      <c r="AA98" s="6">
        <v>273</v>
      </c>
      <c r="AB98" s="8">
        <f t="shared" si="13"/>
        <v>420</v>
      </c>
      <c r="AC98" s="8">
        <f t="shared" si="14"/>
        <v>0</v>
      </c>
      <c r="AD98" s="8">
        <f t="shared" si="15"/>
        <v>420</v>
      </c>
      <c r="AE98" s="8">
        <f t="shared" si="16"/>
        <v>273</v>
      </c>
      <c r="AF98" s="8">
        <f t="shared" si="17"/>
        <v>147</v>
      </c>
      <c r="AG98" s="9">
        <f t="shared" si="18"/>
        <v>0.35</v>
      </c>
      <c r="AH98" s="10">
        <f t="shared" si="19"/>
        <v>2025</v>
      </c>
      <c r="AI98" s="10">
        <f t="shared" si="20"/>
        <v>2</v>
      </c>
      <c r="AJ98" s="10" t="str">
        <f t="shared" si="21"/>
        <v>2025-02</v>
      </c>
      <c r="AK98" s="10" t="str">
        <f t="shared" si="22"/>
        <v>T1</v>
      </c>
      <c r="AL98" s="10" t="str">
        <f t="shared" si="23"/>
        <v>22-29</v>
      </c>
      <c r="AM98" s="10" t="str">
        <f t="shared" si="24"/>
        <v>faible</v>
      </c>
      <c r="AN98" s="10" t="s">
        <v>2837</v>
      </c>
      <c r="AO98" s="10" t="str">
        <f t="shared" si="25"/>
        <v>Faible</v>
      </c>
    </row>
    <row r="99" spans="1:41">
      <c r="A99" t="s">
        <v>531</v>
      </c>
      <c r="B99" s="2">
        <v>45847</v>
      </c>
      <c r="C99" t="s">
        <v>532</v>
      </c>
      <c r="D99" t="s">
        <v>108</v>
      </c>
      <c r="E99" t="s">
        <v>129</v>
      </c>
      <c r="F99" t="s">
        <v>238</v>
      </c>
      <c r="G99">
        <v>3</v>
      </c>
      <c r="H99" s="4">
        <v>240</v>
      </c>
      <c r="I99" s="3">
        <v>0</v>
      </c>
      <c r="J99" t="s">
        <v>77</v>
      </c>
      <c r="K99" t="s">
        <v>46</v>
      </c>
      <c r="L99" t="s">
        <v>533</v>
      </c>
      <c r="M99" t="s">
        <v>123</v>
      </c>
      <c r="N99" t="s">
        <v>80</v>
      </c>
      <c r="O99" t="s">
        <v>113</v>
      </c>
      <c r="P99" t="s">
        <v>82</v>
      </c>
      <c r="Q99" t="s">
        <v>114</v>
      </c>
      <c r="R99" t="s">
        <v>134</v>
      </c>
      <c r="S99" t="s">
        <v>123</v>
      </c>
      <c r="T99" t="s">
        <v>240</v>
      </c>
      <c r="U99" s="5">
        <v>22</v>
      </c>
      <c r="V99" s="5" t="s">
        <v>85</v>
      </c>
      <c r="W99" s="5">
        <v>69</v>
      </c>
      <c r="X99" s="5">
        <v>4.2</v>
      </c>
      <c r="Y99" s="5">
        <v>8</v>
      </c>
      <c r="Z99" s="5" t="s">
        <v>117</v>
      </c>
      <c r="AA99" s="6">
        <v>177.6</v>
      </c>
      <c r="AB99" s="8">
        <f t="shared" si="13"/>
        <v>720</v>
      </c>
      <c r="AC99" s="8">
        <f t="shared" si="14"/>
        <v>0</v>
      </c>
      <c r="AD99" s="8">
        <f t="shared" si="15"/>
        <v>720</v>
      </c>
      <c r="AE99" s="8">
        <f t="shared" si="16"/>
        <v>532.79999999999995</v>
      </c>
      <c r="AF99" s="8">
        <f t="shared" si="17"/>
        <v>187.20000000000005</v>
      </c>
      <c r="AG99" s="9">
        <f t="shared" si="18"/>
        <v>0.26000000000000006</v>
      </c>
      <c r="AH99" s="10">
        <f t="shared" si="19"/>
        <v>2025</v>
      </c>
      <c r="AI99" s="10">
        <f t="shared" si="20"/>
        <v>7</v>
      </c>
      <c r="AJ99" s="10" t="str">
        <f t="shared" si="21"/>
        <v>2025-07</v>
      </c>
      <c r="AK99" s="10" t="str">
        <f t="shared" si="22"/>
        <v>T3</v>
      </c>
      <c r="AL99" s="10" t="str">
        <f t="shared" si="23"/>
        <v>22-29</v>
      </c>
      <c r="AM99" s="10" t="str">
        <f t="shared" si="24"/>
        <v>faible</v>
      </c>
      <c r="AN99" s="10" t="s">
        <v>2837</v>
      </c>
      <c r="AO99" s="10" t="str">
        <f t="shared" si="25"/>
        <v>Moyenne</v>
      </c>
    </row>
    <row r="100" spans="1:41">
      <c r="A100" t="s">
        <v>534</v>
      </c>
      <c r="B100" s="2">
        <v>45687</v>
      </c>
      <c r="C100" t="s">
        <v>535</v>
      </c>
      <c r="D100" t="s">
        <v>148</v>
      </c>
      <c r="E100" t="s">
        <v>226</v>
      </c>
      <c r="F100" t="s">
        <v>267</v>
      </c>
      <c r="G100">
        <v>10</v>
      </c>
      <c r="H100" s="4">
        <v>110</v>
      </c>
      <c r="I100" s="3">
        <v>0.1</v>
      </c>
      <c r="J100" t="s">
        <v>77</v>
      </c>
      <c r="K100" t="s">
        <v>46</v>
      </c>
      <c r="L100" t="s">
        <v>536</v>
      </c>
      <c r="M100" t="s">
        <v>79</v>
      </c>
      <c r="N100" t="s">
        <v>49</v>
      </c>
      <c r="O100" t="s">
        <v>151</v>
      </c>
      <c r="P100" t="s">
        <v>103</v>
      </c>
      <c r="Q100" t="s">
        <v>114</v>
      </c>
      <c r="R100" t="s">
        <v>229</v>
      </c>
      <c r="S100" t="s">
        <v>48</v>
      </c>
      <c r="T100" t="s">
        <v>269</v>
      </c>
      <c r="U100" s="5">
        <v>34</v>
      </c>
      <c r="V100" s="5" t="s">
        <v>85</v>
      </c>
      <c r="W100" s="5">
        <v>48</v>
      </c>
      <c r="X100" s="5">
        <v>4.8</v>
      </c>
      <c r="Y100" s="5">
        <v>8</v>
      </c>
      <c r="Z100" s="5" t="s">
        <v>94</v>
      </c>
      <c r="AA100" s="6">
        <v>72.599999999999994</v>
      </c>
      <c r="AB100" s="8">
        <f t="shared" si="13"/>
        <v>1100</v>
      </c>
      <c r="AC100" s="8">
        <f t="shared" si="14"/>
        <v>110</v>
      </c>
      <c r="AD100" s="8">
        <f t="shared" si="15"/>
        <v>990</v>
      </c>
      <c r="AE100" s="8">
        <f t="shared" si="16"/>
        <v>726</v>
      </c>
      <c r="AF100" s="8">
        <f t="shared" si="17"/>
        <v>264</v>
      </c>
      <c r="AG100" s="9">
        <f t="shared" si="18"/>
        <v>0.26666666666666666</v>
      </c>
      <c r="AH100" s="10">
        <f t="shared" si="19"/>
        <v>2025</v>
      </c>
      <c r="AI100" s="10">
        <f t="shared" si="20"/>
        <v>1</v>
      </c>
      <c r="AJ100" s="10" t="str">
        <f t="shared" si="21"/>
        <v>2025-01</v>
      </c>
      <c r="AK100" s="10" t="str">
        <f t="shared" si="22"/>
        <v>T1</v>
      </c>
      <c r="AL100" s="10" t="str">
        <f t="shared" si="23"/>
        <v>30-39</v>
      </c>
      <c r="AM100" s="10" t="str">
        <f t="shared" si="24"/>
        <v>faible</v>
      </c>
      <c r="AN100" s="10" t="s">
        <v>2837</v>
      </c>
      <c r="AO100" s="10" t="str">
        <f t="shared" si="25"/>
        <v>Moyenne</v>
      </c>
    </row>
    <row r="101" spans="1:41">
      <c r="A101" t="s">
        <v>537</v>
      </c>
      <c r="B101" s="2">
        <v>46009</v>
      </c>
      <c r="C101" t="s">
        <v>538</v>
      </c>
      <c r="D101" t="s">
        <v>60</v>
      </c>
      <c r="E101" t="s">
        <v>139</v>
      </c>
      <c r="F101" t="s">
        <v>267</v>
      </c>
      <c r="G101">
        <v>3</v>
      </c>
      <c r="H101" s="4">
        <v>180</v>
      </c>
      <c r="I101" s="3">
        <v>0.02</v>
      </c>
      <c r="J101" t="s">
        <v>63</v>
      </c>
      <c r="K101" t="s">
        <v>46</v>
      </c>
      <c r="L101" t="s">
        <v>539</v>
      </c>
      <c r="M101" t="s">
        <v>69</v>
      </c>
      <c r="N101" t="s">
        <v>255</v>
      </c>
      <c r="O101" t="s">
        <v>66</v>
      </c>
      <c r="P101" t="s">
        <v>67</v>
      </c>
      <c r="Q101" t="s">
        <v>52</v>
      </c>
      <c r="R101" t="s">
        <v>144</v>
      </c>
      <c r="S101" t="s">
        <v>65</v>
      </c>
      <c r="T101" t="s">
        <v>269</v>
      </c>
      <c r="U101" s="5">
        <v>39</v>
      </c>
      <c r="V101" s="5" t="s">
        <v>85</v>
      </c>
      <c r="W101" s="5">
        <v>51</v>
      </c>
      <c r="X101" s="5">
        <v>6.9</v>
      </c>
      <c r="Y101" s="5">
        <v>4</v>
      </c>
      <c r="Z101" s="5" t="s">
        <v>117</v>
      </c>
      <c r="AA101" s="6">
        <v>129.6</v>
      </c>
      <c r="AB101" s="8">
        <f t="shared" si="13"/>
        <v>540</v>
      </c>
      <c r="AC101" s="8">
        <f t="shared" si="14"/>
        <v>10.8</v>
      </c>
      <c r="AD101" s="8">
        <f t="shared" si="15"/>
        <v>529.20000000000005</v>
      </c>
      <c r="AE101" s="8">
        <f t="shared" si="16"/>
        <v>388.79999999999995</v>
      </c>
      <c r="AF101" s="8">
        <f t="shared" si="17"/>
        <v>140.40000000000009</v>
      </c>
      <c r="AG101" s="9">
        <f t="shared" si="18"/>
        <v>0.26530612244897972</v>
      </c>
      <c r="AH101" s="10">
        <f t="shared" si="19"/>
        <v>2025</v>
      </c>
      <c r="AI101" s="10">
        <f t="shared" si="20"/>
        <v>12</v>
      </c>
      <c r="AJ101" s="10" t="str">
        <f t="shared" si="21"/>
        <v>2025-12</v>
      </c>
      <c r="AK101" s="10" t="str">
        <f t="shared" si="22"/>
        <v>T4</v>
      </c>
      <c r="AL101" s="10" t="str">
        <f t="shared" si="23"/>
        <v>30-39</v>
      </c>
      <c r="AM101" s="10" t="str">
        <f t="shared" si="24"/>
        <v>moyen</v>
      </c>
      <c r="AN101" s="10" t="s">
        <v>2839</v>
      </c>
      <c r="AO101" s="10" t="str">
        <f t="shared" si="25"/>
        <v>Moyenne</v>
      </c>
    </row>
    <row r="102" spans="1:41">
      <c r="A102" t="s">
        <v>540</v>
      </c>
      <c r="B102" s="2">
        <v>45842</v>
      </c>
      <c r="C102" t="s">
        <v>541</v>
      </c>
      <c r="D102" t="s">
        <v>108</v>
      </c>
      <c r="E102" t="s">
        <v>120</v>
      </c>
      <c r="F102" t="s">
        <v>243</v>
      </c>
      <c r="G102">
        <v>5</v>
      </c>
      <c r="H102" s="4">
        <v>240</v>
      </c>
      <c r="I102" s="3">
        <v>0.1</v>
      </c>
      <c r="J102" t="s">
        <v>77</v>
      </c>
      <c r="K102" t="s">
        <v>46</v>
      </c>
      <c r="L102" t="s">
        <v>542</v>
      </c>
      <c r="M102" t="s">
        <v>69</v>
      </c>
      <c r="N102" t="s">
        <v>49</v>
      </c>
      <c r="O102" t="s">
        <v>113</v>
      </c>
      <c r="P102" t="s">
        <v>82</v>
      </c>
      <c r="Q102" t="s">
        <v>114</v>
      </c>
      <c r="R102" t="s">
        <v>124</v>
      </c>
      <c r="S102" t="s">
        <v>48</v>
      </c>
      <c r="T102" t="s">
        <v>245</v>
      </c>
      <c r="U102" s="5">
        <v>43</v>
      </c>
      <c r="V102" s="5" t="s">
        <v>85</v>
      </c>
      <c r="W102" s="5">
        <v>61</v>
      </c>
      <c r="X102" s="5">
        <v>5.4</v>
      </c>
      <c r="Y102" s="5">
        <v>5</v>
      </c>
      <c r="Z102" s="5" t="s">
        <v>71</v>
      </c>
      <c r="AA102" s="6">
        <v>177.6</v>
      </c>
      <c r="AB102" s="8">
        <f t="shared" si="13"/>
        <v>1200</v>
      </c>
      <c r="AC102" s="8">
        <f t="shared" si="14"/>
        <v>120</v>
      </c>
      <c r="AD102" s="8">
        <f t="shared" si="15"/>
        <v>1080</v>
      </c>
      <c r="AE102" s="8">
        <f t="shared" si="16"/>
        <v>888</v>
      </c>
      <c r="AF102" s="8">
        <f t="shared" si="17"/>
        <v>192</v>
      </c>
      <c r="AG102" s="9">
        <f t="shared" si="18"/>
        <v>0.17777777777777778</v>
      </c>
      <c r="AH102" s="10">
        <f t="shared" si="19"/>
        <v>2025</v>
      </c>
      <c r="AI102" s="10">
        <f t="shared" si="20"/>
        <v>7</v>
      </c>
      <c r="AJ102" s="10" t="str">
        <f t="shared" si="21"/>
        <v>2025-07</v>
      </c>
      <c r="AK102" s="10" t="str">
        <f t="shared" si="22"/>
        <v>T3</v>
      </c>
      <c r="AL102" s="10" t="str">
        <f t="shared" si="23"/>
        <v>40-49</v>
      </c>
      <c r="AM102" s="10" t="str">
        <f t="shared" si="24"/>
        <v>moyen</v>
      </c>
      <c r="AN102" s="10" t="s">
        <v>2839</v>
      </c>
      <c r="AO102" s="10" t="str">
        <f t="shared" si="25"/>
        <v>Elevée</v>
      </c>
    </row>
    <row r="103" spans="1:41">
      <c r="A103" t="s">
        <v>543</v>
      </c>
      <c r="B103" s="2">
        <v>45968</v>
      </c>
      <c r="C103" t="s">
        <v>544</v>
      </c>
      <c r="D103" t="s">
        <v>97</v>
      </c>
      <c r="E103" t="s">
        <v>226</v>
      </c>
      <c r="F103" t="s">
        <v>350</v>
      </c>
      <c r="G103">
        <v>1</v>
      </c>
      <c r="H103" s="4">
        <v>520</v>
      </c>
      <c r="I103" s="3">
        <v>0</v>
      </c>
      <c r="J103" t="s">
        <v>90</v>
      </c>
      <c r="K103" t="s">
        <v>46</v>
      </c>
      <c r="L103" t="s">
        <v>545</v>
      </c>
      <c r="M103" t="s">
        <v>123</v>
      </c>
      <c r="N103" t="s">
        <v>80</v>
      </c>
      <c r="O103" t="s">
        <v>102</v>
      </c>
      <c r="P103" t="s">
        <v>103</v>
      </c>
      <c r="Q103" t="s">
        <v>52</v>
      </c>
      <c r="R103" t="s">
        <v>229</v>
      </c>
      <c r="S103" t="s">
        <v>48</v>
      </c>
      <c r="T103" t="s">
        <v>352</v>
      </c>
      <c r="U103" s="5">
        <v>54</v>
      </c>
      <c r="V103" s="5" t="s">
        <v>56</v>
      </c>
      <c r="W103" s="5">
        <v>16</v>
      </c>
      <c r="X103" s="5">
        <v>7.2</v>
      </c>
      <c r="Y103" s="5">
        <v>3</v>
      </c>
      <c r="Z103" s="5" t="s">
        <v>57</v>
      </c>
      <c r="AA103" s="6">
        <v>348.4</v>
      </c>
      <c r="AB103" s="8">
        <f t="shared" si="13"/>
        <v>520</v>
      </c>
      <c r="AC103" s="8">
        <f t="shared" si="14"/>
        <v>0</v>
      </c>
      <c r="AD103" s="8">
        <f t="shared" si="15"/>
        <v>520</v>
      </c>
      <c r="AE103" s="8">
        <f t="shared" si="16"/>
        <v>348.4</v>
      </c>
      <c r="AF103" s="8">
        <f t="shared" si="17"/>
        <v>171.60000000000002</v>
      </c>
      <c r="AG103" s="9">
        <f t="shared" si="18"/>
        <v>0.33000000000000007</v>
      </c>
      <c r="AH103" s="10">
        <f t="shared" si="19"/>
        <v>2025</v>
      </c>
      <c r="AI103" s="10">
        <f t="shared" si="20"/>
        <v>11</v>
      </c>
      <c r="AJ103" s="10" t="str">
        <f t="shared" si="21"/>
        <v>2025-11</v>
      </c>
      <c r="AK103" s="10" t="str">
        <f t="shared" si="22"/>
        <v>T4</v>
      </c>
      <c r="AL103" s="10" t="str">
        <f t="shared" si="23"/>
        <v>50+</v>
      </c>
      <c r="AM103" s="10" t="str">
        <f t="shared" si="24"/>
        <v>bon</v>
      </c>
      <c r="AN103" s="10" t="s">
        <v>2838</v>
      </c>
      <c r="AO103" s="10" t="str">
        <f t="shared" si="25"/>
        <v>Moyenne</v>
      </c>
    </row>
    <row r="104" spans="1:41">
      <c r="A104" t="s">
        <v>546</v>
      </c>
      <c r="B104" s="2">
        <v>45897</v>
      </c>
      <c r="C104" t="s">
        <v>547</v>
      </c>
      <c r="D104" t="s">
        <v>74</v>
      </c>
      <c r="E104" t="s">
        <v>61</v>
      </c>
      <c r="F104" t="s">
        <v>548</v>
      </c>
      <c r="G104">
        <v>1</v>
      </c>
      <c r="H104" s="4">
        <v>95</v>
      </c>
      <c r="I104" s="3">
        <v>0.02</v>
      </c>
      <c r="J104" t="s">
        <v>90</v>
      </c>
      <c r="K104" t="s">
        <v>46</v>
      </c>
      <c r="L104" t="s">
        <v>549</v>
      </c>
      <c r="M104" t="s">
        <v>48</v>
      </c>
      <c r="N104" t="s">
        <v>80</v>
      </c>
      <c r="O104" t="s">
        <v>81</v>
      </c>
      <c r="P104" t="s">
        <v>82</v>
      </c>
      <c r="Q104" t="s">
        <v>52</v>
      </c>
      <c r="R104" t="s">
        <v>68</v>
      </c>
      <c r="S104" t="s">
        <v>69</v>
      </c>
      <c r="T104" t="s">
        <v>550</v>
      </c>
      <c r="U104" s="5">
        <v>23</v>
      </c>
      <c r="V104" s="5" t="s">
        <v>85</v>
      </c>
      <c r="W104" s="5">
        <v>49</v>
      </c>
      <c r="X104" s="5">
        <v>7.6</v>
      </c>
      <c r="Y104" s="5">
        <v>2</v>
      </c>
      <c r="Z104" s="5" t="s">
        <v>57</v>
      </c>
      <c r="AA104" s="6">
        <v>70.3</v>
      </c>
      <c r="AB104" s="8">
        <f t="shared" si="13"/>
        <v>95</v>
      </c>
      <c r="AC104" s="8">
        <f t="shared" si="14"/>
        <v>1.9000000000000001</v>
      </c>
      <c r="AD104" s="8">
        <f t="shared" si="15"/>
        <v>93.1</v>
      </c>
      <c r="AE104" s="8">
        <f t="shared" si="16"/>
        <v>70.3</v>
      </c>
      <c r="AF104" s="8">
        <f t="shared" si="17"/>
        <v>22.799999999999997</v>
      </c>
      <c r="AG104" s="9">
        <f t="shared" si="18"/>
        <v>0.24489795918367346</v>
      </c>
      <c r="AH104" s="10">
        <f t="shared" si="19"/>
        <v>2025</v>
      </c>
      <c r="AI104" s="10">
        <f t="shared" si="20"/>
        <v>8</v>
      </c>
      <c r="AJ104" s="10" t="str">
        <f t="shared" si="21"/>
        <v>2025-08</v>
      </c>
      <c r="AK104" s="10" t="str">
        <f t="shared" si="22"/>
        <v>T3</v>
      </c>
      <c r="AL104" s="10" t="str">
        <f t="shared" si="23"/>
        <v>22-29</v>
      </c>
      <c r="AM104" s="10" t="str">
        <f t="shared" si="24"/>
        <v>bon</v>
      </c>
      <c r="AN104" s="10" t="s">
        <v>2838</v>
      </c>
      <c r="AO104" s="10" t="str">
        <f t="shared" si="25"/>
        <v>Faible</v>
      </c>
    </row>
    <row r="105" spans="1:41">
      <c r="A105" t="s">
        <v>551</v>
      </c>
      <c r="B105" s="2">
        <v>45854</v>
      </c>
      <c r="C105" t="s">
        <v>552</v>
      </c>
      <c r="D105" t="s">
        <v>128</v>
      </c>
      <c r="E105" t="s">
        <v>189</v>
      </c>
      <c r="F105" t="s">
        <v>553</v>
      </c>
      <c r="G105">
        <v>4</v>
      </c>
      <c r="H105" s="4">
        <v>190</v>
      </c>
      <c r="I105" s="3">
        <v>0</v>
      </c>
      <c r="J105" t="s">
        <v>77</v>
      </c>
      <c r="K105" t="s">
        <v>46</v>
      </c>
      <c r="L105" t="s">
        <v>554</v>
      </c>
      <c r="M105" t="s">
        <v>65</v>
      </c>
      <c r="N105" t="s">
        <v>101</v>
      </c>
      <c r="O105" t="s">
        <v>132</v>
      </c>
      <c r="P105" t="s">
        <v>133</v>
      </c>
      <c r="Q105" t="s">
        <v>52</v>
      </c>
      <c r="R105" t="s">
        <v>193</v>
      </c>
      <c r="S105" t="s">
        <v>79</v>
      </c>
      <c r="T105" t="s">
        <v>555</v>
      </c>
      <c r="U105" s="5">
        <v>34</v>
      </c>
      <c r="V105" s="5" t="s">
        <v>85</v>
      </c>
      <c r="W105" s="5">
        <v>4</v>
      </c>
      <c r="X105" s="5">
        <v>6.8</v>
      </c>
      <c r="Y105" s="5">
        <v>5</v>
      </c>
      <c r="Z105" s="5" t="s">
        <v>71</v>
      </c>
      <c r="AA105" s="6">
        <v>148.19999999999999</v>
      </c>
      <c r="AB105" s="8">
        <f t="shared" si="13"/>
        <v>760</v>
      </c>
      <c r="AC105" s="8">
        <f t="shared" si="14"/>
        <v>0</v>
      </c>
      <c r="AD105" s="8">
        <f t="shared" si="15"/>
        <v>760</v>
      </c>
      <c r="AE105" s="8">
        <f t="shared" si="16"/>
        <v>592.79999999999995</v>
      </c>
      <c r="AF105" s="8">
        <f t="shared" si="17"/>
        <v>167.20000000000005</v>
      </c>
      <c r="AG105" s="9">
        <f t="shared" si="18"/>
        <v>0.22000000000000006</v>
      </c>
      <c r="AH105" s="10">
        <f t="shared" si="19"/>
        <v>2025</v>
      </c>
      <c r="AI105" s="10">
        <f t="shared" si="20"/>
        <v>7</v>
      </c>
      <c r="AJ105" s="10" t="str">
        <f t="shared" si="21"/>
        <v>2025-07</v>
      </c>
      <c r="AK105" s="10" t="str">
        <f t="shared" si="22"/>
        <v>T3</v>
      </c>
      <c r="AL105" s="10" t="str">
        <f t="shared" si="23"/>
        <v>30-39</v>
      </c>
      <c r="AM105" s="10" t="str">
        <f t="shared" si="24"/>
        <v>moyen</v>
      </c>
      <c r="AN105" s="10" t="s">
        <v>2839</v>
      </c>
      <c r="AO105" s="10" t="str">
        <f t="shared" si="25"/>
        <v>Moyenne</v>
      </c>
    </row>
    <row r="106" spans="1:41">
      <c r="A106" t="s">
        <v>556</v>
      </c>
      <c r="B106" s="2">
        <v>45909</v>
      </c>
      <c r="C106" t="s">
        <v>557</v>
      </c>
      <c r="D106" t="s">
        <v>42</v>
      </c>
      <c r="E106" t="s">
        <v>61</v>
      </c>
      <c r="F106" t="s">
        <v>243</v>
      </c>
      <c r="G106">
        <v>1</v>
      </c>
      <c r="H106" s="4">
        <v>260</v>
      </c>
      <c r="I106" s="3">
        <v>0.08</v>
      </c>
      <c r="J106" t="s">
        <v>77</v>
      </c>
      <c r="K106" t="s">
        <v>46</v>
      </c>
      <c r="L106" t="s">
        <v>558</v>
      </c>
      <c r="M106" t="s">
        <v>54</v>
      </c>
      <c r="N106" t="s">
        <v>101</v>
      </c>
      <c r="O106" t="s">
        <v>50</v>
      </c>
      <c r="P106" t="s">
        <v>51</v>
      </c>
      <c r="Q106" t="s">
        <v>52</v>
      </c>
      <c r="R106" t="s">
        <v>68</v>
      </c>
      <c r="S106" t="s">
        <v>69</v>
      </c>
      <c r="T106" t="s">
        <v>245</v>
      </c>
      <c r="U106" s="5">
        <v>46</v>
      </c>
      <c r="V106" s="5" t="s">
        <v>85</v>
      </c>
      <c r="W106" s="5">
        <v>54</v>
      </c>
      <c r="X106" s="5">
        <v>6.3</v>
      </c>
      <c r="Y106" s="5">
        <v>5</v>
      </c>
      <c r="Z106" s="5" t="s">
        <v>117</v>
      </c>
      <c r="AA106" s="6">
        <v>189.8</v>
      </c>
      <c r="AB106" s="8">
        <f t="shared" si="13"/>
        <v>260</v>
      </c>
      <c r="AC106" s="8">
        <f t="shared" si="14"/>
        <v>20.8</v>
      </c>
      <c r="AD106" s="8">
        <f t="shared" si="15"/>
        <v>239.2</v>
      </c>
      <c r="AE106" s="8">
        <f t="shared" si="16"/>
        <v>189.8</v>
      </c>
      <c r="AF106" s="8">
        <f t="shared" si="17"/>
        <v>49.399999999999977</v>
      </c>
      <c r="AG106" s="9">
        <f t="shared" si="18"/>
        <v>0.2065217391304347</v>
      </c>
      <c r="AH106" s="10">
        <f t="shared" si="19"/>
        <v>2025</v>
      </c>
      <c r="AI106" s="10">
        <f t="shared" si="20"/>
        <v>9</v>
      </c>
      <c r="AJ106" s="10" t="str">
        <f t="shared" si="21"/>
        <v>2025-09</v>
      </c>
      <c r="AK106" s="10" t="str">
        <f t="shared" si="22"/>
        <v>T3</v>
      </c>
      <c r="AL106" s="10" t="str">
        <f t="shared" si="23"/>
        <v>40-49</v>
      </c>
      <c r="AM106" s="10" t="str">
        <f t="shared" si="24"/>
        <v>moyen</v>
      </c>
      <c r="AN106" s="10" t="s">
        <v>2839</v>
      </c>
      <c r="AO106" s="10" t="str">
        <f t="shared" si="25"/>
        <v>Faible</v>
      </c>
    </row>
    <row r="107" spans="1:41">
      <c r="A107" t="s">
        <v>559</v>
      </c>
      <c r="B107" s="2">
        <v>45853</v>
      </c>
      <c r="C107" t="s">
        <v>560</v>
      </c>
      <c r="D107" t="s">
        <v>108</v>
      </c>
      <c r="E107" t="s">
        <v>226</v>
      </c>
      <c r="F107" t="s">
        <v>121</v>
      </c>
      <c r="G107">
        <v>3</v>
      </c>
      <c r="H107" s="4">
        <v>240</v>
      </c>
      <c r="I107" s="3">
        <v>0.1</v>
      </c>
      <c r="J107" t="s">
        <v>63</v>
      </c>
      <c r="K107" t="s">
        <v>46</v>
      </c>
      <c r="L107" t="s">
        <v>561</v>
      </c>
      <c r="M107" t="s">
        <v>65</v>
      </c>
      <c r="N107" t="s">
        <v>112</v>
      </c>
      <c r="O107" t="s">
        <v>113</v>
      </c>
      <c r="P107" t="s">
        <v>82</v>
      </c>
      <c r="Q107" t="s">
        <v>114</v>
      </c>
      <c r="R107" t="s">
        <v>229</v>
      </c>
      <c r="S107" t="s">
        <v>48</v>
      </c>
      <c r="T107" t="s">
        <v>125</v>
      </c>
      <c r="U107" s="5">
        <v>23</v>
      </c>
      <c r="V107" s="5" t="s">
        <v>56</v>
      </c>
      <c r="W107" s="5">
        <v>55</v>
      </c>
      <c r="X107" s="5">
        <v>3.8</v>
      </c>
      <c r="Y107" s="5">
        <v>9</v>
      </c>
      <c r="Z107" s="5" t="s">
        <v>94</v>
      </c>
      <c r="AA107" s="6">
        <v>177.6</v>
      </c>
      <c r="AB107" s="8">
        <f t="shared" si="13"/>
        <v>720</v>
      </c>
      <c r="AC107" s="8">
        <f t="shared" si="14"/>
        <v>72</v>
      </c>
      <c r="AD107" s="8">
        <f t="shared" si="15"/>
        <v>648</v>
      </c>
      <c r="AE107" s="8">
        <f t="shared" si="16"/>
        <v>532.79999999999995</v>
      </c>
      <c r="AF107" s="8">
        <f t="shared" si="17"/>
        <v>115.20000000000005</v>
      </c>
      <c r="AG107" s="9">
        <f t="shared" si="18"/>
        <v>0.17777777777777784</v>
      </c>
      <c r="AH107" s="10">
        <f t="shared" si="19"/>
        <v>2025</v>
      </c>
      <c r="AI107" s="10">
        <f t="shared" si="20"/>
        <v>7</v>
      </c>
      <c r="AJ107" s="10" t="str">
        <f t="shared" si="21"/>
        <v>2025-07</v>
      </c>
      <c r="AK107" s="10" t="str">
        <f t="shared" si="22"/>
        <v>T3</v>
      </c>
      <c r="AL107" s="10" t="str">
        <f t="shared" si="23"/>
        <v>22-29</v>
      </c>
      <c r="AM107" s="10" t="str">
        <f t="shared" si="24"/>
        <v>faible</v>
      </c>
      <c r="AN107" s="10" t="s">
        <v>2837</v>
      </c>
      <c r="AO107" s="10" t="str">
        <f t="shared" si="25"/>
        <v>Moyenne</v>
      </c>
    </row>
    <row r="108" spans="1:41">
      <c r="A108" t="s">
        <v>562</v>
      </c>
      <c r="B108" s="2">
        <v>45702</v>
      </c>
      <c r="C108" t="s">
        <v>563</v>
      </c>
      <c r="D108" t="s">
        <v>340</v>
      </c>
      <c r="E108" t="s">
        <v>345</v>
      </c>
      <c r="F108" t="s">
        <v>350</v>
      </c>
      <c r="G108">
        <v>1</v>
      </c>
      <c r="H108" s="4">
        <v>22</v>
      </c>
      <c r="I108" s="3">
        <v>0</v>
      </c>
      <c r="J108" t="s">
        <v>45</v>
      </c>
      <c r="K108" t="s">
        <v>46</v>
      </c>
      <c r="L108" t="s">
        <v>564</v>
      </c>
      <c r="M108" t="s">
        <v>123</v>
      </c>
      <c r="N108" t="s">
        <v>112</v>
      </c>
      <c r="O108" t="s">
        <v>342</v>
      </c>
      <c r="P108" t="s">
        <v>103</v>
      </c>
      <c r="Q108" t="s">
        <v>143</v>
      </c>
      <c r="R108" t="s">
        <v>347</v>
      </c>
      <c r="S108" t="s">
        <v>54</v>
      </c>
      <c r="T108" t="s">
        <v>352</v>
      </c>
      <c r="U108" s="5">
        <v>25</v>
      </c>
      <c r="V108" s="5" t="s">
        <v>56</v>
      </c>
      <c r="W108" s="5">
        <v>38</v>
      </c>
      <c r="X108" s="5">
        <v>7.2</v>
      </c>
      <c r="Y108" s="5">
        <v>2</v>
      </c>
      <c r="Z108" s="5" t="s">
        <v>57</v>
      </c>
      <c r="AA108" s="6">
        <v>14.96</v>
      </c>
      <c r="AB108" s="8">
        <f t="shared" si="13"/>
        <v>22</v>
      </c>
      <c r="AC108" s="8">
        <f t="shared" si="14"/>
        <v>0</v>
      </c>
      <c r="AD108" s="8">
        <f t="shared" si="15"/>
        <v>22</v>
      </c>
      <c r="AE108" s="8">
        <f t="shared" si="16"/>
        <v>14.96</v>
      </c>
      <c r="AF108" s="8">
        <f t="shared" si="17"/>
        <v>7.0399999999999991</v>
      </c>
      <c r="AG108" s="9">
        <f t="shared" si="18"/>
        <v>0.31999999999999995</v>
      </c>
      <c r="AH108" s="10">
        <f t="shared" si="19"/>
        <v>2025</v>
      </c>
      <c r="AI108" s="10">
        <f t="shared" si="20"/>
        <v>2</v>
      </c>
      <c r="AJ108" s="10" t="str">
        <f t="shared" si="21"/>
        <v>2025-02</v>
      </c>
      <c r="AK108" s="10" t="str">
        <f t="shared" si="22"/>
        <v>T1</v>
      </c>
      <c r="AL108" s="10" t="str">
        <f t="shared" si="23"/>
        <v>22-29</v>
      </c>
      <c r="AM108" s="10" t="str">
        <f t="shared" si="24"/>
        <v>bon</v>
      </c>
      <c r="AN108" s="10" t="s">
        <v>2838</v>
      </c>
      <c r="AO108" s="10" t="str">
        <f t="shared" si="25"/>
        <v>Faible</v>
      </c>
    </row>
    <row r="109" spans="1:41">
      <c r="A109" t="s">
        <v>565</v>
      </c>
      <c r="B109" s="2">
        <v>45818</v>
      </c>
      <c r="C109" t="s">
        <v>566</v>
      </c>
      <c r="D109" t="s">
        <v>60</v>
      </c>
      <c r="E109" t="s">
        <v>98</v>
      </c>
      <c r="F109" t="s">
        <v>302</v>
      </c>
      <c r="G109">
        <v>10</v>
      </c>
      <c r="H109" s="4">
        <v>180</v>
      </c>
      <c r="I109" s="3">
        <v>0.05</v>
      </c>
      <c r="J109" t="s">
        <v>90</v>
      </c>
      <c r="K109" t="s">
        <v>46</v>
      </c>
      <c r="L109" t="s">
        <v>567</v>
      </c>
      <c r="M109" t="s">
        <v>79</v>
      </c>
      <c r="N109" t="s">
        <v>49</v>
      </c>
      <c r="O109" t="s">
        <v>66</v>
      </c>
      <c r="P109" t="s">
        <v>67</v>
      </c>
      <c r="Q109" t="s">
        <v>52</v>
      </c>
      <c r="R109" t="s">
        <v>104</v>
      </c>
      <c r="S109" t="s">
        <v>79</v>
      </c>
      <c r="T109" t="s">
        <v>304</v>
      </c>
      <c r="U109" s="5">
        <v>49</v>
      </c>
      <c r="V109" s="5" t="s">
        <v>85</v>
      </c>
      <c r="W109" s="5">
        <v>33</v>
      </c>
      <c r="X109" s="5">
        <v>3.1</v>
      </c>
      <c r="Y109" s="5">
        <v>9</v>
      </c>
      <c r="Z109" s="5" t="s">
        <v>117</v>
      </c>
      <c r="AA109" s="6">
        <v>129.6</v>
      </c>
      <c r="AB109" s="8">
        <f t="shared" si="13"/>
        <v>1800</v>
      </c>
      <c r="AC109" s="8">
        <f t="shared" si="14"/>
        <v>90</v>
      </c>
      <c r="AD109" s="8">
        <f t="shared" si="15"/>
        <v>1710</v>
      </c>
      <c r="AE109" s="8">
        <f t="shared" si="16"/>
        <v>1296</v>
      </c>
      <c r="AF109" s="8">
        <f t="shared" si="17"/>
        <v>414</v>
      </c>
      <c r="AG109" s="9">
        <f t="shared" si="18"/>
        <v>0.24210526315789474</v>
      </c>
      <c r="AH109" s="10">
        <f t="shared" si="19"/>
        <v>2025</v>
      </c>
      <c r="AI109" s="10">
        <f t="shared" si="20"/>
        <v>6</v>
      </c>
      <c r="AJ109" s="10" t="str">
        <f t="shared" si="21"/>
        <v>2025-06</v>
      </c>
      <c r="AK109" s="10" t="str">
        <f t="shared" si="22"/>
        <v>T2</v>
      </c>
      <c r="AL109" s="10" t="str">
        <f t="shared" si="23"/>
        <v>40-49</v>
      </c>
      <c r="AM109" s="10" t="str">
        <f t="shared" si="24"/>
        <v>faible</v>
      </c>
      <c r="AN109" s="10" t="s">
        <v>2837</v>
      </c>
      <c r="AO109" s="10" t="str">
        <f t="shared" si="25"/>
        <v>Elevée</v>
      </c>
    </row>
    <row r="110" spans="1:41">
      <c r="A110" t="s">
        <v>568</v>
      </c>
      <c r="B110" s="2">
        <v>45821</v>
      </c>
      <c r="C110" t="s">
        <v>569</v>
      </c>
      <c r="D110" t="s">
        <v>181</v>
      </c>
      <c r="E110" t="s">
        <v>226</v>
      </c>
      <c r="F110" t="s">
        <v>190</v>
      </c>
      <c r="G110">
        <v>4</v>
      </c>
      <c r="H110" s="4">
        <v>145</v>
      </c>
      <c r="I110" s="3">
        <v>0.1</v>
      </c>
      <c r="J110" t="s">
        <v>45</v>
      </c>
      <c r="K110" t="s">
        <v>46</v>
      </c>
      <c r="L110" t="s">
        <v>570</v>
      </c>
      <c r="M110" t="s">
        <v>65</v>
      </c>
      <c r="N110" t="s">
        <v>112</v>
      </c>
      <c r="O110" t="s">
        <v>184</v>
      </c>
      <c r="P110" t="s">
        <v>103</v>
      </c>
      <c r="Q110" t="s">
        <v>52</v>
      </c>
      <c r="R110" t="s">
        <v>229</v>
      </c>
      <c r="S110" t="s">
        <v>48</v>
      </c>
      <c r="T110" t="s">
        <v>194</v>
      </c>
      <c r="U110" s="5">
        <v>40</v>
      </c>
      <c r="V110" s="5" t="s">
        <v>85</v>
      </c>
      <c r="W110" s="5">
        <v>58</v>
      </c>
      <c r="X110" s="5">
        <v>4.3</v>
      </c>
      <c r="Y110" s="5">
        <v>9</v>
      </c>
      <c r="Z110" s="5" t="s">
        <v>57</v>
      </c>
      <c r="AA110" s="6">
        <v>97.15</v>
      </c>
      <c r="AB110" s="8">
        <f t="shared" si="13"/>
        <v>580</v>
      </c>
      <c r="AC110" s="8">
        <f t="shared" si="14"/>
        <v>58</v>
      </c>
      <c r="AD110" s="8">
        <f t="shared" si="15"/>
        <v>522</v>
      </c>
      <c r="AE110" s="8">
        <f t="shared" si="16"/>
        <v>388.6</v>
      </c>
      <c r="AF110" s="8">
        <f t="shared" si="17"/>
        <v>133.39999999999998</v>
      </c>
      <c r="AG110" s="9">
        <f t="shared" si="18"/>
        <v>0.25555555555555554</v>
      </c>
      <c r="AH110" s="10">
        <f t="shared" si="19"/>
        <v>2025</v>
      </c>
      <c r="AI110" s="10">
        <f t="shared" si="20"/>
        <v>6</v>
      </c>
      <c r="AJ110" s="10" t="str">
        <f t="shared" si="21"/>
        <v>2025-06</v>
      </c>
      <c r="AK110" s="10" t="str">
        <f t="shared" si="22"/>
        <v>T2</v>
      </c>
      <c r="AL110" s="10" t="str">
        <f t="shared" si="23"/>
        <v>40-49</v>
      </c>
      <c r="AM110" s="10" t="str">
        <f t="shared" si="24"/>
        <v>faible</v>
      </c>
      <c r="AN110" s="10" t="s">
        <v>2837</v>
      </c>
      <c r="AO110" s="10" t="str">
        <f t="shared" si="25"/>
        <v>Moyenne</v>
      </c>
    </row>
    <row r="111" spans="1:41">
      <c r="A111" t="s">
        <v>571</v>
      </c>
      <c r="B111" s="2">
        <v>45933</v>
      </c>
      <c r="C111" t="s">
        <v>572</v>
      </c>
      <c r="D111" t="s">
        <v>97</v>
      </c>
      <c r="E111" t="s">
        <v>226</v>
      </c>
      <c r="F111" t="s">
        <v>76</v>
      </c>
      <c r="G111">
        <v>5</v>
      </c>
      <c r="H111" s="4">
        <v>520</v>
      </c>
      <c r="I111" s="3">
        <v>0</v>
      </c>
      <c r="J111" t="s">
        <v>45</v>
      </c>
      <c r="K111" t="s">
        <v>46</v>
      </c>
      <c r="L111" t="s">
        <v>573</v>
      </c>
      <c r="M111" t="s">
        <v>69</v>
      </c>
      <c r="N111" t="s">
        <v>49</v>
      </c>
      <c r="O111" t="s">
        <v>102</v>
      </c>
      <c r="P111" t="s">
        <v>103</v>
      </c>
      <c r="Q111" t="s">
        <v>52</v>
      </c>
      <c r="R111" t="s">
        <v>229</v>
      </c>
      <c r="S111" t="s">
        <v>48</v>
      </c>
      <c r="T111" t="s">
        <v>84</v>
      </c>
      <c r="U111" s="5">
        <v>25</v>
      </c>
      <c r="V111" s="5" t="s">
        <v>56</v>
      </c>
      <c r="W111" s="5">
        <v>57</v>
      </c>
      <c r="X111" s="5">
        <v>4.0999999999999996</v>
      </c>
      <c r="Y111" s="5">
        <v>8</v>
      </c>
      <c r="Z111" s="5" t="s">
        <v>94</v>
      </c>
      <c r="AA111" s="6">
        <v>348.4</v>
      </c>
      <c r="AB111" s="8">
        <f t="shared" si="13"/>
        <v>2600</v>
      </c>
      <c r="AC111" s="8">
        <f t="shared" si="14"/>
        <v>0</v>
      </c>
      <c r="AD111" s="8">
        <f t="shared" si="15"/>
        <v>2600</v>
      </c>
      <c r="AE111" s="8">
        <f t="shared" si="16"/>
        <v>1742</v>
      </c>
      <c r="AF111" s="8">
        <f t="shared" si="17"/>
        <v>858</v>
      </c>
      <c r="AG111" s="9">
        <f t="shared" si="18"/>
        <v>0.33</v>
      </c>
      <c r="AH111" s="10">
        <f t="shared" si="19"/>
        <v>2025</v>
      </c>
      <c r="AI111" s="10">
        <f t="shared" si="20"/>
        <v>10</v>
      </c>
      <c r="AJ111" s="10" t="str">
        <f t="shared" si="21"/>
        <v>2025-10</v>
      </c>
      <c r="AK111" s="10" t="str">
        <f t="shared" si="22"/>
        <v>T4</v>
      </c>
      <c r="AL111" s="10" t="str">
        <f t="shared" si="23"/>
        <v>22-29</v>
      </c>
      <c r="AM111" s="10" t="str">
        <f t="shared" si="24"/>
        <v>faible</v>
      </c>
      <c r="AN111" s="10" t="s">
        <v>2837</v>
      </c>
      <c r="AO111" s="10" t="str">
        <f t="shared" si="25"/>
        <v>Elevée</v>
      </c>
    </row>
    <row r="112" spans="1:41">
      <c r="A112" t="s">
        <v>574</v>
      </c>
      <c r="B112" s="2">
        <v>45891</v>
      </c>
      <c r="C112" t="s">
        <v>575</v>
      </c>
      <c r="D112" t="s">
        <v>162</v>
      </c>
      <c r="E112" t="s">
        <v>277</v>
      </c>
      <c r="F112" t="s">
        <v>140</v>
      </c>
      <c r="G112">
        <v>1</v>
      </c>
      <c r="H112" s="4">
        <v>35</v>
      </c>
      <c r="I112" s="3">
        <v>0</v>
      </c>
      <c r="J112" t="s">
        <v>45</v>
      </c>
      <c r="K112" t="s">
        <v>46</v>
      </c>
      <c r="L112" t="s">
        <v>576</v>
      </c>
      <c r="M112" t="s">
        <v>79</v>
      </c>
      <c r="N112" t="s">
        <v>101</v>
      </c>
      <c r="O112" t="s">
        <v>166</v>
      </c>
      <c r="P112" t="s">
        <v>103</v>
      </c>
      <c r="Q112" t="s">
        <v>143</v>
      </c>
      <c r="R112" t="s">
        <v>279</v>
      </c>
      <c r="S112" t="s">
        <v>54</v>
      </c>
      <c r="T112" t="s">
        <v>145</v>
      </c>
      <c r="U112" s="5">
        <v>55</v>
      </c>
      <c r="V112" s="5" t="s">
        <v>56</v>
      </c>
      <c r="W112" s="5">
        <v>52</v>
      </c>
      <c r="X112" s="5">
        <v>5.3</v>
      </c>
      <c r="Y112" s="5">
        <v>6</v>
      </c>
      <c r="Z112" s="5" t="s">
        <v>94</v>
      </c>
      <c r="AA112" s="6">
        <v>24.15</v>
      </c>
      <c r="AB112" s="8">
        <f t="shared" si="13"/>
        <v>35</v>
      </c>
      <c r="AC112" s="8">
        <f t="shared" si="14"/>
        <v>0</v>
      </c>
      <c r="AD112" s="8">
        <f t="shared" si="15"/>
        <v>35</v>
      </c>
      <c r="AE112" s="8">
        <f t="shared" si="16"/>
        <v>24.15</v>
      </c>
      <c r="AF112" s="8">
        <f t="shared" si="17"/>
        <v>10.850000000000001</v>
      </c>
      <c r="AG112" s="9">
        <f t="shared" si="18"/>
        <v>0.31000000000000005</v>
      </c>
      <c r="AH112" s="10">
        <f t="shared" si="19"/>
        <v>2025</v>
      </c>
      <c r="AI112" s="10">
        <f t="shared" si="20"/>
        <v>8</v>
      </c>
      <c r="AJ112" s="10" t="str">
        <f t="shared" si="21"/>
        <v>2025-08</v>
      </c>
      <c r="AK112" s="10" t="str">
        <f t="shared" si="22"/>
        <v>T3</v>
      </c>
      <c r="AL112" s="10" t="str">
        <f t="shared" si="23"/>
        <v>50+</v>
      </c>
      <c r="AM112" s="10" t="str">
        <f t="shared" si="24"/>
        <v>moyen</v>
      </c>
      <c r="AN112" s="10" t="s">
        <v>2839</v>
      </c>
      <c r="AO112" s="10" t="str">
        <f t="shared" si="25"/>
        <v>Faible</v>
      </c>
    </row>
    <row r="113" spans="1:41">
      <c r="A113" t="s">
        <v>577</v>
      </c>
      <c r="B113" s="2">
        <v>46010</v>
      </c>
      <c r="C113" t="s">
        <v>578</v>
      </c>
      <c r="D113" t="s">
        <v>108</v>
      </c>
      <c r="E113" t="s">
        <v>43</v>
      </c>
      <c r="F113" t="s">
        <v>458</v>
      </c>
      <c r="G113">
        <v>1</v>
      </c>
      <c r="H113" s="4">
        <v>240</v>
      </c>
      <c r="I113" s="3">
        <v>0.1</v>
      </c>
      <c r="J113" t="s">
        <v>63</v>
      </c>
      <c r="K113" t="s">
        <v>46</v>
      </c>
      <c r="L113" t="s">
        <v>579</v>
      </c>
      <c r="M113" t="s">
        <v>69</v>
      </c>
      <c r="N113" t="s">
        <v>101</v>
      </c>
      <c r="O113" t="s">
        <v>113</v>
      </c>
      <c r="P113" t="s">
        <v>82</v>
      </c>
      <c r="Q113" t="s">
        <v>114</v>
      </c>
      <c r="R113" t="s">
        <v>53</v>
      </c>
      <c r="S113" t="s">
        <v>54</v>
      </c>
      <c r="T113" t="s">
        <v>460</v>
      </c>
      <c r="U113" s="5">
        <v>41</v>
      </c>
      <c r="V113" s="5" t="s">
        <v>85</v>
      </c>
      <c r="W113" s="5">
        <v>41</v>
      </c>
      <c r="X113" s="5">
        <v>8</v>
      </c>
      <c r="Y113" s="5">
        <v>2</v>
      </c>
      <c r="Z113" s="5" t="s">
        <v>71</v>
      </c>
      <c r="AA113" s="6">
        <v>177.6</v>
      </c>
      <c r="AB113" s="8">
        <f t="shared" si="13"/>
        <v>240</v>
      </c>
      <c r="AC113" s="8">
        <f t="shared" si="14"/>
        <v>24</v>
      </c>
      <c r="AD113" s="8">
        <f t="shared" si="15"/>
        <v>216</v>
      </c>
      <c r="AE113" s="8">
        <f t="shared" si="16"/>
        <v>177.6</v>
      </c>
      <c r="AF113" s="8">
        <f t="shared" si="17"/>
        <v>38.400000000000006</v>
      </c>
      <c r="AG113" s="9">
        <f t="shared" si="18"/>
        <v>0.17777777777777781</v>
      </c>
      <c r="AH113" s="10">
        <f t="shared" si="19"/>
        <v>2025</v>
      </c>
      <c r="AI113" s="10">
        <f t="shared" si="20"/>
        <v>12</v>
      </c>
      <c r="AJ113" s="10" t="str">
        <f t="shared" si="21"/>
        <v>2025-12</v>
      </c>
      <c r="AK113" s="10" t="str">
        <f t="shared" si="22"/>
        <v>T4</v>
      </c>
      <c r="AL113" s="10" t="str">
        <f t="shared" si="23"/>
        <v>40-49</v>
      </c>
      <c r="AM113" s="10" t="str">
        <f t="shared" si="24"/>
        <v>bon</v>
      </c>
      <c r="AN113" s="10" t="s">
        <v>2838</v>
      </c>
      <c r="AO113" s="10" t="str">
        <f t="shared" si="25"/>
        <v>Faible</v>
      </c>
    </row>
    <row r="114" spans="1:41">
      <c r="A114" t="s">
        <v>580</v>
      </c>
      <c r="B114" s="2">
        <v>45850</v>
      </c>
      <c r="C114" t="s">
        <v>581</v>
      </c>
      <c r="D114" t="s">
        <v>272</v>
      </c>
      <c r="E114" t="s">
        <v>43</v>
      </c>
      <c r="F114" t="s">
        <v>502</v>
      </c>
      <c r="G114">
        <v>1</v>
      </c>
      <c r="H114" s="4">
        <v>420</v>
      </c>
      <c r="I114" s="3">
        <v>0.1</v>
      </c>
      <c r="J114" t="s">
        <v>77</v>
      </c>
      <c r="K114" t="s">
        <v>46</v>
      </c>
      <c r="L114" t="s">
        <v>582</v>
      </c>
      <c r="M114" t="s">
        <v>54</v>
      </c>
      <c r="N114" t="s">
        <v>80</v>
      </c>
      <c r="O114" t="s">
        <v>274</v>
      </c>
      <c r="P114" t="s">
        <v>133</v>
      </c>
      <c r="Q114" t="s">
        <v>114</v>
      </c>
      <c r="R114" t="s">
        <v>53</v>
      </c>
      <c r="S114" t="s">
        <v>54</v>
      </c>
      <c r="T114" t="s">
        <v>504</v>
      </c>
      <c r="U114" s="5">
        <v>46</v>
      </c>
      <c r="V114" s="5" t="s">
        <v>85</v>
      </c>
      <c r="W114" s="5">
        <v>52</v>
      </c>
      <c r="X114" s="5">
        <v>7.7</v>
      </c>
      <c r="Y114" s="5">
        <v>3</v>
      </c>
      <c r="Z114" s="5" t="s">
        <v>117</v>
      </c>
      <c r="AA114" s="6">
        <v>273</v>
      </c>
      <c r="AB114" s="8">
        <f t="shared" si="13"/>
        <v>420</v>
      </c>
      <c r="AC114" s="8">
        <f t="shared" si="14"/>
        <v>42</v>
      </c>
      <c r="AD114" s="8">
        <f t="shared" si="15"/>
        <v>378</v>
      </c>
      <c r="AE114" s="8">
        <f t="shared" si="16"/>
        <v>273</v>
      </c>
      <c r="AF114" s="8">
        <f t="shared" si="17"/>
        <v>105</v>
      </c>
      <c r="AG114" s="9">
        <f t="shared" si="18"/>
        <v>0.27777777777777779</v>
      </c>
      <c r="AH114" s="10">
        <f t="shared" si="19"/>
        <v>2025</v>
      </c>
      <c r="AI114" s="10">
        <f t="shared" si="20"/>
        <v>7</v>
      </c>
      <c r="AJ114" s="10" t="str">
        <f t="shared" si="21"/>
        <v>2025-07</v>
      </c>
      <c r="AK114" s="10" t="str">
        <f t="shared" si="22"/>
        <v>T3</v>
      </c>
      <c r="AL114" s="10" t="str">
        <f t="shared" si="23"/>
        <v>40-49</v>
      </c>
      <c r="AM114" s="10" t="str">
        <f t="shared" si="24"/>
        <v>bon</v>
      </c>
      <c r="AN114" s="10" t="s">
        <v>2838</v>
      </c>
      <c r="AO114" s="10" t="str">
        <f t="shared" si="25"/>
        <v>Faible</v>
      </c>
    </row>
    <row r="115" spans="1:41">
      <c r="A115" t="s">
        <v>583</v>
      </c>
      <c r="B115" s="2">
        <v>45749</v>
      </c>
      <c r="C115" t="s">
        <v>584</v>
      </c>
      <c r="D115" t="s">
        <v>162</v>
      </c>
      <c r="E115" t="s">
        <v>219</v>
      </c>
      <c r="F115" t="s">
        <v>323</v>
      </c>
      <c r="G115">
        <v>5</v>
      </c>
      <c r="H115" s="4">
        <v>35</v>
      </c>
      <c r="I115" s="3">
        <v>0.08</v>
      </c>
      <c r="J115" t="s">
        <v>63</v>
      </c>
      <c r="K115" t="s">
        <v>46</v>
      </c>
      <c r="L115" t="s">
        <v>585</v>
      </c>
      <c r="M115" t="s">
        <v>79</v>
      </c>
      <c r="N115" t="s">
        <v>112</v>
      </c>
      <c r="O115" t="s">
        <v>166</v>
      </c>
      <c r="P115" t="s">
        <v>103</v>
      </c>
      <c r="Q115" t="s">
        <v>143</v>
      </c>
      <c r="R115" t="s">
        <v>222</v>
      </c>
      <c r="S115" t="s">
        <v>123</v>
      </c>
      <c r="T115" t="s">
        <v>325</v>
      </c>
      <c r="U115" s="5">
        <v>28</v>
      </c>
      <c r="V115" s="5" t="s">
        <v>56</v>
      </c>
      <c r="W115" s="5">
        <v>6</v>
      </c>
      <c r="X115" s="5">
        <v>7.2</v>
      </c>
      <c r="Y115" s="5">
        <v>3</v>
      </c>
      <c r="Z115" s="5" t="s">
        <v>94</v>
      </c>
      <c r="AA115" s="6">
        <v>24.15</v>
      </c>
      <c r="AB115" s="8">
        <f t="shared" si="13"/>
        <v>175</v>
      </c>
      <c r="AC115" s="8">
        <f t="shared" si="14"/>
        <v>14</v>
      </c>
      <c r="AD115" s="8">
        <f t="shared" si="15"/>
        <v>161</v>
      </c>
      <c r="AE115" s="8">
        <f t="shared" si="16"/>
        <v>120.75</v>
      </c>
      <c r="AF115" s="8">
        <f t="shared" si="17"/>
        <v>40.25</v>
      </c>
      <c r="AG115" s="9">
        <f t="shared" si="18"/>
        <v>0.25</v>
      </c>
      <c r="AH115" s="10">
        <f t="shared" si="19"/>
        <v>2025</v>
      </c>
      <c r="AI115" s="10">
        <f t="shared" si="20"/>
        <v>4</v>
      </c>
      <c r="AJ115" s="10" t="str">
        <f t="shared" si="21"/>
        <v>2025-04</v>
      </c>
      <c r="AK115" s="10" t="str">
        <f t="shared" si="22"/>
        <v>T2</v>
      </c>
      <c r="AL115" s="10" t="str">
        <f t="shared" si="23"/>
        <v>22-29</v>
      </c>
      <c r="AM115" s="10" t="str">
        <f t="shared" si="24"/>
        <v>bon</v>
      </c>
      <c r="AN115" s="10" t="s">
        <v>2838</v>
      </c>
      <c r="AO115" s="10" t="str">
        <f t="shared" si="25"/>
        <v>Faible</v>
      </c>
    </row>
    <row r="116" spans="1:41">
      <c r="A116" t="s">
        <v>586</v>
      </c>
      <c r="B116" s="2">
        <v>45830</v>
      </c>
      <c r="C116" t="s">
        <v>587</v>
      </c>
      <c r="D116" t="s">
        <v>138</v>
      </c>
      <c r="E116" t="s">
        <v>61</v>
      </c>
      <c r="F116" t="s">
        <v>227</v>
      </c>
      <c r="G116">
        <v>2</v>
      </c>
      <c r="H116" s="4">
        <v>120</v>
      </c>
      <c r="I116" s="3">
        <v>0.02</v>
      </c>
      <c r="J116" t="s">
        <v>77</v>
      </c>
      <c r="K116" t="s">
        <v>46</v>
      </c>
      <c r="L116" t="s">
        <v>588</v>
      </c>
      <c r="M116" t="s">
        <v>48</v>
      </c>
      <c r="N116" t="s">
        <v>101</v>
      </c>
      <c r="O116" t="s">
        <v>142</v>
      </c>
      <c r="P116" t="s">
        <v>51</v>
      </c>
      <c r="Q116" t="s">
        <v>143</v>
      </c>
      <c r="R116" t="s">
        <v>68</v>
      </c>
      <c r="S116" t="s">
        <v>69</v>
      </c>
      <c r="T116" t="s">
        <v>230</v>
      </c>
      <c r="U116" s="5">
        <v>32</v>
      </c>
      <c r="V116" s="5" t="s">
        <v>85</v>
      </c>
      <c r="W116" s="5">
        <v>72</v>
      </c>
      <c r="X116" s="5">
        <v>7.3</v>
      </c>
      <c r="Y116" s="5">
        <v>3</v>
      </c>
      <c r="Z116" s="5" t="s">
        <v>71</v>
      </c>
      <c r="AA116" s="6">
        <v>73.2</v>
      </c>
      <c r="AB116" s="8">
        <f t="shared" si="13"/>
        <v>240</v>
      </c>
      <c r="AC116" s="8">
        <f t="shared" si="14"/>
        <v>4.8</v>
      </c>
      <c r="AD116" s="8">
        <f t="shared" si="15"/>
        <v>235.2</v>
      </c>
      <c r="AE116" s="8">
        <f t="shared" si="16"/>
        <v>146.4</v>
      </c>
      <c r="AF116" s="8">
        <f t="shared" si="17"/>
        <v>88.799999999999983</v>
      </c>
      <c r="AG116" s="9">
        <f t="shared" si="18"/>
        <v>0.37755102040816318</v>
      </c>
      <c r="AH116" s="10">
        <f t="shared" si="19"/>
        <v>2025</v>
      </c>
      <c r="AI116" s="10">
        <f t="shared" si="20"/>
        <v>6</v>
      </c>
      <c r="AJ116" s="10" t="str">
        <f t="shared" si="21"/>
        <v>2025-06</v>
      </c>
      <c r="AK116" s="10" t="str">
        <f t="shared" si="22"/>
        <v>T2</v>
      </c>
      <c r="AL116" s="10" t="str">
        <f t="shared" si="23"/>
        <v>30-39</v>
      </c>
      <c r="AM116" s="10" t="str">
        <f t="shared" si="24"/>
        <v>bon</v>
      </c>
      <c r="AN116" s="10" t="s">
        <v>2838</v>
      </c>
      <c r="AO116" s="10" t="str">
        <f t="shared" si="25"/>
        <v>Faible</v>
      </c>
    </row>
    <row r="117" spans="1:41">
      <c r="A117" t="s">
        <v>589</v>
      </c>
      <c r="B117" s="2">
        <v>45802</v>
      </c>
      <c r="C117" t="s">
        <v>590</v>
      </c>
      <c r="D117" t="s">
        <v>174</v>
      </c>
      <c r="E117" t="s">
        <v>207</v>
      </c>
      <c r="F117" t="s">
        <v>99</v>
      </c>
      <c r="G117">
        <v>2</v>
      </c>
      <c r="H117" s="4">
        <v>780</v>
      </c>
      <c r="I117" s="3">
        <v>0</v>
      </c>
      <c r="J117" t="s">
        <v>63</v>
      </c>
      <c r="K117" t="s">
        <v>46</v>
      </c>
      <c r="L117" t="s">
        <v>591</v>
      </c>
      <c r="M117" t="s">
        <v>65</v>
      </c>
      <c r="N117" t="s">
        <v>49</v>
      </c>
      <c r="O117" t="s">
        <v>177</v>
      </c>
      <c r="P117" t="s">
        <v>103</v>
      </c>
      <c r="Q117" t="s">
        <v>114</v>
      </c>
      <c r="R117" t="s">
        <v>210</v>
      </c>
      <c r="S117" t="s">
        <v>79</v>
      </c>
      <c r="T117" t="s">
        <v>105</v>
      </c>
      <c r="U117" s="5">
        <v>60</v>
      </c>
      <c r="V117" s="5" t="s">
        <v>56</v>
      </c>
      <c r="W117" s="5">
        <v>42</v>
      </c>
      <c r="X117" s="5">
        <v>5.7</v>
      </c>
      <c r="Y117" s="5">
        <v>6</v>
      </c>
      <c r="Z117" s="5" t="s">
        <v>94</v>
      </c>
      <c r="AA117" s="6">
        <v>468</v>
      </c>
      <c r="AB117" s="8">
        <f t="shared" si="13"/>
        <v>1560</v>
      </c>
      <c r="AC117" s="8">
        <f t="shared" si="14"/>
        <v>0</v>
      </c>
      <c r="AD117" s="8">
        <f t="shared" si="15"/>
        <v>1560</v>
      </c>
      <c r="AE117" s="8">
        <f t="shared" si="16"/>
        <v>936</v>
      </c>
      <c r="AF117" s="8">
        <f t="shared" si="17"/>
        <v>624</v>
      </c>
      <c r="AG117" s="9">
        <f t="shared" si="18"/>
        <v>0.4</v>
      </c>
      <c r="AH117" s="10">
        <f t="shared" si="19"/>
        <v>2025</v>
      </c>
      <c r="AI117" s="10">
        <f t="shared" si="20"/>
        <v>5</v>
      </c>
      <c r="AJ117" s="10" t="str">
        <f t="shared" si="21"/>
        <v>2025-05</v>
      </c>
      <c r="AK117" s="10" t="str">
        <f t="shared" si="22"/>
        <v>T2</v>
      </c>
      <c r="AL117" s="10" t="str">
        <f t="shared" si="23"/>
        <v>50+</v>
      </c>
      <c r="AM117" s="10" t="str">
        <f t="shared" si="24"/>
        <v>moyen</v>
      </c>
      <c r="AN117" s="10" t="s">
        <v>2839</v>
      </c>
      <c r="AO117" s="10" t="str">
        <f t="shared" si="25"/>
        <v>Elevée</v>
      </c>
    </row>
    <row r="118" spans="1:41">
      <c r="A118" t="s">
        <v>592</v>
      </c>
      <c r="B118" s="2">
        <v>45993</v>
      </c>
      <c r="C118" t="s">
        <v>593</v>
      </c>
      <c r="D118" t="s">
        <v>188</v>
      </c>
      <c r="E118" t="s">
        <v>43</v>
      </c>
      <c r="F118" t="s">
        <v>233</v>
      </c>
      <c r="G118">
        <v>1</v>
      </c>
      <c r="H118" s="4">
        <v>350</v>
      </c>
      <c r="I118" s="3">
        <v>0</v>
      </c>
      <c r="J118" t="s">
        <v>63</v>
      </c>
      <c r="K118" t="s">
        <v>46</v>
      </c>
      <c r="L118" t="s">
        <v>594</v>
      </c>
      <c r="M118" t="s">
        <v>48</v>
      </c>
      <c r="N118" t="s">
        <v>112</v>
      </c>
      <c r="O118" t="s">
        <v>192</v>
      </c>
      <c r="P118" t="s">
        <v>51</v>
      </c>
      <c r="Q118" t="s">
        <v>114</v>
      </c>
      <c r="R118" t="s">
        <v>53</v>
      </c>
      <c r="S118" t="s">
        <v>54</v>
      </c>
      <c r="T118" t="s">
        <v>235</v>
      </c>
      <c r="U118" s="5">
        <v>44</v>
      </c>
      <c r="V118" s="5" t="s">
        <v>85</v>
      </c>
      <c r="W118" s="5">
        <v>62</v>
      </c>
      <c r="X118" s="5">
        <v>6</v>
      </c>
      <c r="Y118" s="5">
        <v>4</v>
      </c>
      <c r="Z118" s="5" t="s">
        <v>71</v>
      </c>
      <c r="AA118" s="6">
        <v>213.5</v>
      </c>
      <c r="AB118" s="8">
        <f t="shared" si="13"/>
        <v>350</v>
      </c>
      <c r="AC118" s="8">
        <f t="shared" si="14"/>
        <v>0</v>
      </c>
      <c r="AD118" s="8">
        <f t="shared" si="15"/>
        <v>350</v>
      </c>
      <c r="AE118" s="8">
        <f t="shared" si="16"/>
        <v>213.5</v>
      </c>
      <c r="AF118" s="8">
        <f t="shared" si="17"/>
        <v>136.5</v>
      </c>
      <c r="AG118" s="9">
        <f t="shared" si="18"/>
        <v>0.39</v>
      </c>
      <c r="AH118" s="10">
        <f t="shared" si="19"/>
        <v>2025</v>
      </c>
      <c r="AI118" s="10">
        <f t="shared" si="20"/>
        <v>12</v>
      </c>
      <c r="AJ118" s="10" t="str">
        <f t="shared" si="21"/>
        <v>2025-12</v>
      </c>
      <c r="AK118" s="10" t="str">
        <f t="shared" si="22"/>
        <v>T4</v>
      </c>
      <c r="AL118" s="10" t="str">
        <f t="shared" si="23"/>
        <v>40-49</v>
      </c>
      <c r="AM118" s="10" t="str">
        <f t="shared" si="24"/>
        <v>moyen</v>
      </c>
      <c r="AN118" s="10" t="s">
        <v>2839</v>
      </c>
      <c r="AO118" s="10" t="str">
        <f t="shared" si="25"/>
        <v>Faible</v>
      </c>
    </row>
    <row r="119" spans="1:41">
      <c r="A119" t="s">
        <v>595</v>
      </c>
      <c r="B119" s="2">
        <v>45758</v>
      </c>
      <c r="C119" t="s">
        <v>384</v>
      </c>
      <c r="D119" t="s">
        <v>42</v>
      </c>
      <c r="E119" t="s">
        <v>88</v>
      </c>
      <c r="F119" t="s">
        <v>429</v>
      </c>
      <c r="G119">
        <v>4</v>
      </c>
      <c r="H119" s="4">
        <v>260</v>
      </c>
      <c r="I119" s="3">
        <v>0</v>
      </c>
      <c r="J119" t="s">
        <v>77</v>
      </c>
      <c r="K119" t="s">
        <v>46</v>
      </c>
      <c r="L119" t="s">
        <v>385</v>
      </c>
      <c r="M119" t="s">
        <v>123</v>
      </c>
      <c r="N119" t="s">
        <v>80</v>
      </c>
      <c r="O119" t="s">
        <v>50</v>
      </c>
      <c r="P119" t="s">
        <v>51</v>
      </c>
      <c r="Q119" t="s">
        <v>52</v>
      </c>
      <c r="R119" t="s">
        <v>92</v>
      </c>
      <c r="S119" t="s">
        <v>48</v>
      </c>
      <c r="T119" t="s">
        <v>431</v>
      </c>
      <c r="U119" s="5">
        <v>34</v>
      </c>
      <c r="V119" s="5" t="s">
        <v>56</v>
      </c>
      <c r="W119" s="5">
        <v>56</v>
      </c>
      <c r="X119" s="5">
        <v>8</v>
      </c>
      <c r="Y119" s="5">
        <v>2</v>
      </c>
      <c r="Z119" s="5" t="s">
        <v>117</v>
      </c>
      <c r="AA119" s="6">
        <v>189.8</v>
      </c>
      <c r="AB119" s="8">
        <f t="shared" si="13"/>
        <v>1040</v>
      </c>
      <c r="AC119" s="8">
        <f t="shared" si="14"/>
        <v>0</v>
      </c>
      <c r="AD119" s="8">
        <f t="shared" si="15"/>
        <v>1040</v>
      </c>
      <c r="AE119" s="8">
        <f t="shared" si="16"/>
        <v>759.2</v>
      </c>
      <c r="AF119" s="8">
        <f t="shared" si="17"/>
        <v>280.79999999999995</v>
      </c>
      <c r="AG119" s="9">
        <f t="shared" si="18"/>
        <v>0.26999999999999996</v>
      </c>
      <c r="AH119" s="10">
        <f t="shared" si="19"/>
        <v>2025</v>
      </c>
      <c r="AI119" s="10">
        <f t="shared" si="20"/>
        <v>4</v>
      </c>
      <c r="AJ119" s="10" t="str">
        <f t="shared" si="21"/>
        <v>2025-04</v>
      </c>
      <c r="AK119" s="10" t="str">
        <f t="shared" si="22"/>
        <v>T2</v>
      </c>
      <c r="AL119" s="10" t="str">
        <f t="shared" si="23"/>
        <v>30-39</v>
      </c>
      <c r="AM119" s="10" t="str">
        <f t="shared" si="24"/>
        <v>bon</v>
      </c>
      <c r="AN119" s="10" t="s">
        <v>2838</v>
      </c>
      <c r="AO119" s="10" t="str">
        <f t="shared" si="25"/>
        <v>Elevée</v>
      </c>
    </row>
    <row r="120" spans="1:41">
      <c r="A120" t="s">
        <v>596</v>
      </c>
      <c r="B120" s="2">
        <v>46005</v>
      </c>
      <c r="C120" t="s">
        <v>451</v>
      </c>
      <c r="D120" t="s">
        <v>42</v>
      </c>
      <c r="E120" t="s">
        <v>226</v>
      </c>
      <c r="F120" t="s">
        <v>190</v>
      </c>
      <c r="G120">
        <v>5</v>
      </c>
      <c r="H120" s="4">
        <v>260</v>
      </c>
      <c r="I120" s="3">
        <v>0</v>
      </c>
      <c r="J120" t="s">
        <v>90</v>
      </c>
      <c r="K120" t="s">
        <v>46</v>
      </c>
      <c r="L120" t="s">
        <v>452</v>
      </c>
      <c r="M120" t="s">
        <v>65</v>
      </c>
      <c r="N120" t="s">
        <v>255</v>
      </c>
      <c r="O120" t="s">
        <v>50</v>
      </c>
      <c r="P120" t="s">
        <v>51</v>
      </c>
      <c r="Q120" t="s">
        <v>52</v>
      </c>
      <c r="R120" t="s">
        <v>229</v>
      </c>
      <c r="S120" t="s">
        <v>48</v>
      </c>
      <c r="T120" t="s">
        <v>194</v>
      </c>
      <c r="U120" s="5">
        <v>41</v>
      </c>
      <c r="V120" s="5" t="s">
        <v>56</v>
      </c>
      <c r="W120" s="5">
        <v>70</v>
      </c>
      <c r="X120" s="5">
        <v>6.2</v>
      </c>
      <c r="Y120" s="5">
        <v>4</v>
      </c>
      <c r="Z120" s="5" t="s">
        <v>57</v>
      </c>
      <c r="AA120" s="6">
        <v>189.8</v>
      </c>
      <c r="AB120" s="8">
        <f t="shared" si="13"/>
        <v>1300</v>
      </c>
      <c r="AC120" s="8">
        <f t="shared" si="14"/>
        <v>0</v>
      </c>
      <c r="AD120" s="8">
        <f t="shared" si="15"/>
        <v>1300</v>
      </c>
      <c r="AE120" s="8">
        <f t="shared" si="16"/>
        <v>949</v>
      </c>
      <c r="AF120" s="8">
        <f t="shared" si="17"/>
        <v>351</v>
      </c>
      <c r="AG120" s="9">
        <f t="shared" si="18"/>
        <v>0.27</v>
      </c>
      <c r="AH120" s="10">
        <f t="shared" si="19"/>
        <v>2025</v>
      </c>
      <c r="AI120" s="10">
        <f t="shared" si="20"/>
        <v>12</v>
      </c>
      <c r="AJ120" s="10" t="str">
        <f t="shared" si="21"/>
        <v>2025-12</v>
      </c>
      <c r="AK120" s="10" t="str">
        <f t="shared" si="22"/>
        <v>T4</v>
      </c>
      <c r="AL120" s="10" t="str">
        <f t="shared" si="23"/>
        <v>40-49</v>
      </c>
      <c r="AM120" s="10" t="str">
        <f t="shared" si="24"/>
        <v>moyen</v>
      </c>
      <c r="AN120" s="10" t="s">
        <v>2839</v>
      </c>
      <c r="AO120" s="10" t="str">
        <f t="shared" si="25"/>
        <v>Elevée</v>
      </c>
    </row>
    <row r="121" spans="1:41">
      <c r="A121" t="s">
        <v>597</v>
      </c>
      <c r="B121" s="2">
        <v>45781</v>
      </c>
      <c r="C121" t="s">
        <v>598</v>
      </c>
      <c r="D121" t="s">
        <v>162</v>
      </c>
      <c r="E121" t="s">
        <v>219</v>
      </c>
      <c r="F121" t="s">
        <v>388</v>
      </c>
      <c r="G121">
        <v>2</v>
      </c>
      <c r="H121" s="4">
        <v>35</v>
      </c>
      <c r="I121" s="3">
        <v>0</v>
      </c>
      <c r="J121" t="s">
        <v>45</v>
      </c>
      <c r="K121" t="s">
        <v>46</v>
      </c>
      <c r="L121" t="s">
        <v>599</v>
      </c>
      <c r="M121" t="s">
        <v>48</v>
      </c>
      <c r="N121" t="s">
        <v>101</v>
      </c>
      <c r="O121" t="s">
        <v>166</v>
      </c>
      <c r="P121" t="s">
        <v>103</v>
      </c>
      <c r="Q121" t="s">
        <v>143</v>
      </c>
      <c r="R121" t="s">
        <v>222</v>
      </c>
      <c r="S121" t="s">
        <v>123</v>
      </c>
      <c r="T121" t="s">
        <v>390</v>
      </c>
      <c r="U121" s="5">
        <v>33</v>
      </c>
      <c r="V121" s="5" t="s">
        <v>56</v>
      </c>
      <c r="W121" s="5">
        <v>19</v>
      </c>
      <c r="X121" s="5">
        <v>8.3000000000000007</v>
      </c>
      <c r="Y121" s="5">
        <v>2</v>
      </c>
      <c r="Z121" s="5" t="s">
        <v>71</v>
      </c>
      <c r="AA121" s="6">
        <v>24.15</v>
      </c>
      <c r="AB121" s="8">
        <f t="shared" si="13"/>
        <v>70</v>
      </c>
      <c r="AC121" s="8">
        <f t="shared" si="14"/>
        <v>0</v>
      </c>
      <c r="AD121" s="8">
        <f t="shared" si="15"/>
        <v>70</v>
      </c>
      <c r="AE121" s="8">
        <f t="shared" si="16"/>
        <v>48.3</v>
      </c>
      <c r="AF121" s="8">
        <f t="shared" si="17"/>
        <v>21.700000000000003</v>
      </c>
      <c r="AG121" s="9">
        <f t="shared" si="18"/>
        <v>0.31000000000000005</v>
      </c>
      <c r="AH121" s="10">
        <f t="shared" si="19"/>
        <v>2025</v>
      </c>
      <c r="AI121" s="10">
        <f t="shared" si="20"/>
        <v>5</v>
      </c>
      <c r="AJ121" s="10" t="str">
        <f t="shared" si="21"/>
        <v>2025-05</v>
      </c>
      <c r="AK121" s="10" t="str">
        <f t="shared" si="22"/>
        <v>T2</v>
      </c>
      <c r="AL121" s="10" t="str">
        <f t="shared" si="23"/>
        <v>30-39</v>
      </c>
      <c r="AM121" s="10" t="str">
        <f t="shared" si="24"/>
        <v>bon</v>
      </c>
      <c r="AN121" s="10" t="s">
        <v>2838</v>
      </c>
      <c r="AO121" s="10" t="str">
        <f t="shared" si="25"/>
        <v>Faible</v>
      </c>
    </row>
    <row r="122" spans="1:41">
      <c r="A122" t="s">
        <v>600</v>
      </c>
      <c r="B122" s="2">
        <v>45990</v>
      </c>
      <c r="C122" t="s">
        <v>601</v>
      </c>
      <c r="D122" t="s">
        <v>174</v>
      </c>
      <c r="E122" t="s">
        <v>139</v>
      </c>
      <c r="F122" t="s">
        <v>548</v>
      </c>
      <c r="G122">
        <v>2</v>
      </c>
      <c r="H122" s="4">
        <v>780</v>
      </c>
      <c r="I122" s="3">
        <v>0.08</v>
      </c>
      <c r="J122" t="s">
        <v>63</v>
      </c>
      <c r="K122" t="s">
        <v>46</v>
      </c>
      <c r="L122" t="s">
        <v>602</v>
      </c>
      <c r="M122" t="s">
        <v>79</v>
      </c>
      <c r="N122" t="s">
        <v>101</v>
      </c>
      <c r="O122" t="s">
        <v>177</v>
      </c>
      <c r="P122" t="s">
        <v>103</v>
      </c>
      <c r="Q122" t="s">
        <v>114</v>
      </c>
      <c r="R122" t="s">
        <v>144</v>
      </c>
      <c r="S122" t="s">
        <v>65</v>
      </c>
      <c r="T122" t="s">
        <v>550</v>
      </c>
      <c r="U122" s="5">
        <v>48</v>
      </c>
      <c r="V122" s="5" t="s">
        <v>56</v>
      </c>
      <c r="W122" s="5">
        <v>44</v>
      </c>
      <c r="X122" s="5">
        <v>8.1999999999999993</v>
      </c>
      <c r="Y122" s="5">
        <v>1</v>
      </c>
      <c r="Z122" s="5" t="s">
        <v>94</v>
      </c>
      <c r="AA122" s="6">
        <v>468</v>
      </c>
      <c r="AB122" s="8">
        <f t="shared" si="13"/>
        <v>1560</v>
      </c>
      <c r="AC122" s="8">
        <f t="shared" si="14"/>
        <v>124.8</v>
      </c>
      <c r="AD122" s="8">
        <f t="shared" si="15"/>
        <v>1435.2</v>
      </c>
      <c r="AE122" s="8">
        <f t="shared" si="16"/>
        <v>936</v>
      </c>
      <c r="AF122" s="8">
        <f t="shared" si="17"/>
        <v>499.20000000000005</v>
      </c>
      <c r="AG122" s="9">
        <f t="shared" si="18"/>
        <v>0.34782608695652178</v>
      </c>
      <c r="AH122" s="10">
        <f t="shared" si="19"/>
        <v>2025</v>
      </c>
      <c r="AI122" s="10">
        <f t="shared" si="20"/>
        <v>11</v>
      </c>
      <c r="AJ122" s="10" t="str">
        <f t="shared" si="21"/>
        <v>2025-11</v>
      </c>
      <c r="AK122" s="10" t="str">
        <f t="shared" si="22"/>
        <v>T4</v>
      </c>
      <c r="AL122" s="10" t="str">
        <f t="shared" si="23"/>
        <v>40-49</v>
      </c>
      <c r="AM122" s="10" t="str">
        <f t="shared" si="24"/>
        <v>bon</v>
      </c>
      <c r="AN122" s="10" t="s">
        <v>2838</v>
      </c>
      <c r="AO122" s="10" t="str">
        <f t="shared" si="25"/>
        <v>Elevée</v>
      </c>
    </row>
    <row r="123" spans="1:41">
      <c r="A123" t="s">
        <v>603</v>
      </c>
      <c r="B123" s="2">
        <v>45908</v>
      </c>
      <c r="C123" t="s">
        <v>604</v>
      </c>
      <c r="D123" t="s">
        <v>97</v>
      </c>
      <c r="E123" t="s">
        <v>214</v>
      </c>
      <c r="F123" t="s">
        <v>388</v>
      </c>
      <c r="G123">
        <v>3</v>
      </c>
      <c r="H123" s="4">
        <v>520</v>
      </c>
      <c r="I123" s="3">
        <v>0.05</v>
      </c>
      <c r="J123" t="s">
        <v>45</v>
      </c>
      <c r="K123" t="s">
        <v>46</v>
      </c>
      <c r="L123" t="s">
        <v>605</v>
      </c>
      <c r="M123" t="s">
        <v>65</v>
      </c>
      <c r="N123" t="s">
        <v>101</v>
      </c>
      <c r="O123" t="s">
        <v>102</v>
      </c>
      <c r="P123" t="s">
        <v>103</v>
      </c>
      <c r="Q123" t="s">
        <v>52</v>
      </c>
      <c r="R123" t="s">
        <v>216</v>
      </c>
      <c r="S123" t="s">
        <v>65</v>
      </c>
      <c r="T123" t="s">
        <v>390</v>
      </c>
      <c r="U123" s="5">
        <v>51</v>
      </c>
      <c r="V123" s="5" t="s">
        <v>56</v>
      </c>
      <c r="W123" s="5">
        <v>69</v>
      </c>
      <c r="X123" s="5">
        <v>7</v>
      </c>
      <c r="Y123" s="5">
        <v>3</v>
      </c>
      <c r="Z123" s="5" t="s">
        <v>57</v>
      </c>
      <c r="AA123" s="6">
        <v>348.4</v>
      </c>
      <c r="AB123" s="8">
        <f t="shared" si="13"/>
        <v>1560</v>
      </c>
      <c r="AC123" s="8">
        <f t="shared" si="14"/>
        <v>78</v>
      </c>
      <c r="AD123" s="8">
        <f t="shared" si="15"/>
        <v>1482</v>
      </c>
      <c r="AE123" s="8">
        <f t="shared" si="16"/>
        <v>1045.1999999999998</v>
      </c>
      <c r="AF123" s="8">
        <f t="shared" si="17"/>
        <v>436.80000000000018</v>
      </c>
      <c r="AG123" s="9">
        <f t="shared" si="18"/>
        <v>0.2947368421052633</v>
      </c>
      <c r="AH123" s="10">
        <f t="shared" si="19"/>
        <v>2025</v>
      </c>
      <c r="AI123" s="10">
        <f t="shared" si="20"/>
        <v>9</v>
      </c>
      <c r="AJ123" s="10" t="str">
        <f t="shared" si="21"/>
        <v>2025-09</v>
      </c>
      <c r="AK123" s="10" t="str">
        <f t="shared" si="22"/>
        <v>T3</v>
      </c>
      <c r="AL123" s="10" t="str">
        <f t="shared" si="23"/>
        <v>50+</v>
      </c>
      <c r="AM123" s="10" t="str">
        <f t="shared" si="24"/>
        <v>bon</v>
      </c>
      <c r="AN123" s="10" t="s">
        <v>2838</v>
      </c>
      <c r="AO123" s="10" t="str">
        <f t="shared" si="25"/>
        <v>Elevée</v>
      </c>
    </row>
    <row r="124" spans="1:41">
      <c r="A124" t="s">
        <v>606</v>
      </c>
      <c r="B124" s="2">
        <v>45961</v>
      </c>
      <c r="C124" t="s">
        <v>607</v>
      </c>
      <c r="D124" t="s">
        <v>340</v>
      </c>
      <c r="E124" t="s">
        <v>345</v>
      </c>
      <c r="F124" t="s">
        <v>208</v>
      </c>
      <c r="G124">
        <v>1</v>
      </c>
      <c r="H124" s="4">
        <v>22</v>
      </c>
      <c r="I124" s="3">
        <v>0.02</v>
      </c>
      <c r="J124" t="s">
        <v>63</v>
      </c>
      <c r="K124" t="s">
        <v>46</v>
      </c>
      <c r="L124" t="s">
        <v>608</v>
      </c>
      <c r="M124" t="s">
        <v>69</v>
      </c>
      <c r="N124" t="s">
        <v>80</v>
      </c>
      <c r="O124" t="s">
        <v>342</v>
      </c>
      <c r="P124" t="s">
        <v>103</v>
      </c>
      <c r="Q124" t="s">
        <v>143</v>
      </c>
      <c r="R124" t="s">
        <v>347</v>
      </c>
      <c r="S124" t="s">
        <v>54</v>
      </c>
      <c r="T124" t="s">
        <v>211</v>
      </c>
      <c r="U124" s="5">
        <v>22</v>
      </c>
      <c r="V124" s="5" t="s">
        <v>85</v>
      </c>
      <c r="W124" s="5">
        <v>20</v>
      </c>
      <c r="X124" s="5">
        <v>4</v>
      </c>
      <c r="Y124" s="5">
        <v>9</v>
      </c>
      <c r="Z124" s="5" t="s">
        <v>94</v>
      </c>
      <c r="AA124" s="6">
        <v>14.96</v>
      </c>
      <c r="AB124" s="8">
        <f t="shared" si="13"/>
        <v>22</v>
      </c>
      <c r="AC124" s="8">
        <f t="shared" si="14"/>
        <v>0.44</v>
      </c>
      <c r="AD124" s="8">
        <f t="shared" si="15"/>
        <v>21.56</v>
      </c>
      <c r="AE124" s="8">
        <f t="shared" si="16"/>
        <v>14.96</v>
      </c>
      <c r="AF124" s="8">
        <f t="shared" si="17"/>
        <v>6.5999999999999979</v>
      </c>
      <c r="AG124" s="9">
        <f t="shared" si="18"/>
        <v>0.30612244897959173</v>
      </c>
      <c r="AH124" s="10">
        <f t="shared" si="19"/>
        <v>2025</v>
      </c>
      <c r="AI124" s="10">
        <f t="shared" si="20"/>
        <v>10</v>
      </c>
      <c r="AJ124" s="10" t="str">
        <f t="shared" si="21"/>
        <v>2025-10</v>
      </c>
      <c r="AK124" s="10" t="str">
        <f t="shared" si="22"/>
        <v>T4</v>
      </c>
      <c r="AL124" s="10" t="str">
        <f t="shared" si="23"/>
        <v>22-29</v>
      </c>
      <c r="AM124" s="10" t="str">
        <f t="shared" si="24"/>
        <v>faible</v>
      </c>
      <c r="AN124" s="10" t="s">
        <v>2837</v>
      </c>
      <c r="AO124" s="10" t="str">
        <f t="shared" si="25"/>
        <v>Faible</v>
      </c>
    </row>
    <row r="125" spans="1:41">
      <c r="A125" t="s">
        <v>609</v>
      </c>
      <c r="B125" s="2">
        <v>45933</v>
      </c>
      <c r="C125" t="s">
        <v>610</v>
      </c>
      <c r="D125" t="s">
        <v>97</v>
      </c>
      <c r="E125" t="s">
        <v>189</v>
      </c>
      <c r="F125" t="s">
        <v>282</v>
      </c>
      <c r="G125">
        <v>1</v>
      </c>
      <c r="H125" s="4">
        <v>520</v>
      </c>
      <c r="I125" s="3">
        <v>0.1</v>
      </c>
      <c r="J125" t="s">
        <v>90</v>
      </c>
      <c r="K125" t="s">
        <v>46</v>
      </c>
      <c r="L125" t="s">
        <v>611</v>
      </c>
      <c r="M125" t="s">
        <v>54</v>
      </c>
      <c r="N125" t="s">
        <v>49</v>
      </c>
      <c r="O125" t="s">
        <v>102</v>
      </c>
      <c r="P125" t="s">
        <v>103</v>
      </c>
      <c r="Q125" t="s">
        <v>52</v>
      </c>
      <c r="R125" t="s">
        <v>193</v>
      </c>
      <c r="S125" t="s">
        <v>79</v>
      </c>
      <c r="T125" t="s">
        <v>284</v>
      </c>
      <c r="U125" s="5">
        <v>38</v>
      </c>
      <c r="V125" s="5" t="s">
        <v>56</v>
      </c>
      <c r="W125" s="5">
        <v>26</v>
      </c>
      <c r="X125" s="5">
        <v>8.1</v>
      </c>
      <c r="Y125" s="5">
        <v>2</v>
      </c>
      <c r="Z125" s="5" t="s">
        <v>71</v>
      </c>
      <c r="AA125" s="6">
        <v>348.4</v>
      </c>
      <c r="AB125" s="8">
        <f t="shared" si="13"/>
        <v>520</v>
      </c>
      <c r="AC125" s="8">
        <f t="shared" si="14"/>
        <v>52</v>
      </c>
      <c r="AD125" s="8">
        <f t="shared" si="15"/>
        <v>468</v>
      </c>
      <c r="AE125" s="8">
        <f t="shared" si="16"/>
        <v>348.4</v>
      </c>
      <c r="AF125" s="8">
        <f t="shared" si="17"/>
        <v>119.60000000000002</v>
      </c>
      <c r="AG125" s="9">
        <f t="shared" si="18"/>
        <v>0.25555555555555559</v>
      </c>
      <c r="AH125" s="10">
        <f t="shared" si="19"/>
        <v>2025</v>
      </c>
      <c r="AI125" s="10">
        <f t="shared" si="20"/>
        <v>10</v>
      </c>
      <c r="AJ125" s="10" t="str">
        <f t="shared" si="21"/>
        <v>2025-10</v>
      </c>
      <c r="AK125" s="10" t="str">
        <f t="shared" si="22"/>
        <v>T4</v>
      </c>
      <c r="AL125" s="10" t="str">
        <f t="shared" si="23"/>
        <v>30-39</v>
      </c>
      <c r="AM125" s="10" t="str">
        <f t="shared" si="24"/>
        <v>bon</v>
      </c>
      <c r="AN125" s="10" t="s">
        <v>2838</v>
      </c>
      <c r="AO125" s="10" t="str">
        <f t="shared" si="25"/>
        <v>Faible</v>
      </c>
    </row>
    <row r="126" spans="1:41">
      <c r="A126" t="s">
        <v>612</v>
      </c>
      <c r="B126" s="2">
        <v>45957</v>
      </c>
      <c r="C126" t="s">
        <v>613</v>
      </c>
      <c r="D126" t="s">
        <v>272</v>
      </c>
      <c r="E126" t="s">
        <v>214</v>
      </c>
      <c r="F126" t="s">
        <v>297</v>
      </c>
      <c r="G126">
        <v>3</v>
      </c>
      <c r="H126" s="4">
        <v>420</v>
      </c>
      <c r="I126" s="3">
        <v>0.1</v>
      </c>
      <c r="J126" t="s">
        <v>90</v>
      </c>
      <c r="K126" t="s">
        <v>46</v>
      </c>
      <c r="L126" t="s">
        <v>614</v>
      </c>
      <c r="M126" t="s">
        <v>54</v>
      </c>
      <c r="N126" t="s">
        <v>49</v>
      </c>
      <c r="O126" t="s">
        <v>274</v>
      </c>
      <c r="P126" t="s">
        <v>133</v>
      </c>
      <c r="Q126" t="s">
        <v>114</v>
      </c>
      <c r="R126" t="s">
        <v>216</v>
      </c>
      <c r="S126" t="s">
        <v>65</v>
      </c>
      <c r="T126" t="s">
        <v>299</v>
      </c>
      <c r="U126" s="5">
        <v>27</v>
      </c>
      <c r="V126" s="5" t="s">
        <v>56</v>
      </c>
      <c r="W126" s="5">
        <v>52</v>
      </c>
      <c r="X126" s="5">
        <v>4.0999999999999996</v>
      </c>
      <c r="Y126" s="5">
        <v>7</v>
      </c>
      <c r="Z126" s="5" t="s">
        <v>71</v>
      </c>
      <c r="AA126" s="6">
        <v>273</v>
      </c>
      <c r="AB126" s="8">
        <f t="shared" si="13"/>
        <v>1260</v>
      </c>
      <c r="AC126" s="8">
        <f t="shared" si="14"/>
        <v>126</v>
      </c>
      <c r="AD126" s="8">
        <f t="shared" si="15"/>
        <v>1134</v>
      </c>
      <c r="AE126" s="8">
        <f t="shared" si="16"/>
        <v>819</v>
      </c>
      <c r="AF126" s="8">
        <f t="shared" si="17"/>
        <v>315</v>
      </c>
      <c r="AG126" s="9">
        <f t="shared" si="18"/>
        <v>0.27777777777777779</v>
      </c>
      <c r="AH126" s="10">
        <f t="shared" si="19"/>
        <v>2025</v>
      </c>
      <c r="AI126" s="10">
        <f t="shared" si="20"/>
        <v>10</v>
      </c>
      <c r="AJ126" s="10" t="str">
        <f t="shared" si="21"/>
        <v>2025-10</v>
      </c>
      <c r="AK126" s="10" t="str">
        <f t="shared" si="22"/>
        <v>T4</v>
      </c>
      <c r="AL126" s="10" t="str">
        <f t="shared" si="23"/>
        <v>22-29</v>
      </c>
      <c r="AM126" s="10" t="str">
        <f t="shared" si="24"/>
        <v>faible</v>
      </c>
      <c r="AN126" s="10" t="s">
        <v>2837</v>
      </c>
      <c r="AO126" s="10" t="str">
        <f t="shared" si="25"/>
        <v>Elevée</v>
      </c>
    </row>
    <row r="127" spans="1:41">
      <c r="A127" t="s">
        <v>615</v>
      </c>
      <c r="B127" s="2">
        <v>45964</v>
      </c>
      <c r="C127" t="s">
        <v>616</v>
      </c>
      <c r="D127" t="s">
        <v>97</v>
      </c>
      <c r="E127" t="s">
        <v>75</v>
      </c>
      <c r="F127" t="s">
        <v>548</v>
      </c>
      <c r="G127">
        <v>3</v>
      </c>
      <c r="H127" s="4">
        <v>520</v>
      </c>
      <c r="I127" s="3">
        <v>0</v>
      </c>
      <c r="J127" t="s">
        <v>63</v>
      </c>
      <c r="K127" t="s">
        <v>46</v>
      </c>
      <c r="L127" t="s">
        <v>617</v>
      </c>
      <c r="M127" t="s">
        <v>65</v>
      </c>
      <c r="N127" t="s">
        <v>80</v>
      </c>
      <c r="O127" t="s">
        <v>102</v>
      </c>
      <c r="P127" t="s">
        <v>103</v>
      </c>
      <c r="Q127" t="s">
        <v>52</v>
      </c>
      <c r="R127" t="s">
        <v>83</v>
      </c>
      <c r="S127" t="s">
        <v>69</v>
      </c>
      <c r="T127" t="s">
        <v>550</v>
      </c>
      <c r="U127" s="5">
        <v>50</v>
      </c>
      <c r="V127" s="5" t="s">
        <v>56</v>
      </c>
      <c r="W127" s="5">
        <v>61</v>
      </c>
      <c r="X127" s="5">
        <v>3.8</v>
      </c>
      <c r="Y127" s="5">
        <v>9</v>
      </c>
      <c r="Z127" s="5" t="s">
        <v>71</v>
      </c>
      <c r="AA127" s="6">
        <v>348.4</v>
      </c>
      <c r="AB127" s="8">
        <f t="shared" si="13"/>
        <v>1560</v>
      </c>
      <c r="AC127" s="8">
        <f t="shared" si="14"/>
        <v>0</v>
      </c>
      <c r="AD127" s="8">
        <f t="shared" si="15"/>
        <v>1560</v>
      </c>
      <c r="AE127" s="8">
        <f t="shared" si="16"/>
        <v>1045.1999999999998</v>
      </c>
      <c r="AF127" s="8">
        <f t="shared" si="17"/>
        <v>514.80000000000018</v>
      </c>
      <c r="AG127" s="9">
        <f t="shared" si="18"/>
        <v>0.33000000000000013</v>
      </c>
      <c r="AH127" s="10">
        <f t="shared" si="19"/>
        <v>2025</v>
      </c>
      <c r="AI127" s="10">
        <f t="shared" si="20"/>
        <v>11</v>
      </c>
      <c r="AJ127" s="10" t="str">
        <f t="shared" si="21"/>
        <v>2025-11</v>
      </c>
      <c r="AK127" s="10" t="str">
        <f t="shared" si="22"/>
        <v>T4</v>
      </c>
      <c r="AL127" s="10" t="str">
        <f t="shared" si="23"/>
        <v>50+</v>
      </c>
      <c r="AM127" s="10" t="str">
        <f t="shared" si="24"/>
        <v>faible</v>
      </c>
      <c r="AN127" s="10" t="s">
        <v>2837</v>
      </c>
      <c r="AO127" s="10" t="str">
        <f t="shared" si="25"/>
        <v>Elevée</v>
      </c>
    </row>
    <row r="128" spans="1:41">
      <c r="A128" t="s">
        <v>618</v>
      </c>
      <c r="B128" s="2">
        <v>45763</v>
      </c>
      <c r="C128" t="s">
        <v>619</v>
      </c>
      <c r="D128" t="s">
        <v>188</v>
      </c>
      <c r="E128" t="s">
        <v>98</v>
      </c>
      <c r="F128" t="s">
        <v>44</v>
      </c>
      <c r="G128">
        <v>3</v>
      </c>
      <c r="H128" s="4">
        <v>350</v>
      </c>
      <c r="I128" s="3">
        <v>0</v>
      </c>
      <c r="J128" t="s">
        <v>77</v>
      </c>
      <c r="K128" t="s">
        <v>46</v>
      </c>
      <c r="L128" t="s">
        <v>620</v>
      </c>
      <c r="M128" t="s">
        <v>69</v>
      </c>
      <c r="N128" t="s">
        <v>112</v>
      </c>
      <c r="O128" t="s">
        <v>192</v>
      </c>
      <c r="P128" t="s">
        <v>51</v>
      </c>
      <c r="Q128" t="s">
        <v>114</v>
      </c>
      <c r="R128" t="s">
        <v>104</v>
      </c>
      <c r="S128" t="s">
        <v>79</v>
      </c>
      <c r="T128" t="s">
        <v>55</v>
      </c>
      <c r="U128" s="5">
        <v>49</v>
      </c>
      <c r="V128" s="5" t="s">
        <v>85</v>
      </c>
      <c r="W128" s="5">
        <v>3</v>
      </c>
      <c r="X128" s="5">
        <v>8</v>
      </c>
      <c r="Y128" s="5">
        <v>2</v>
      </c>
      <c r="Z128" s="5" t="s">
        <v>117</v>
      </c>
      <c r="AA128" s="6">
        <v>213.5</v>
      </c>
      <c r="AB128" s="8">
        <f t="shared" si="13"/>
        <v>1050</v>
      </c>
      <c r="AC128" s="8">
        <f t="shared" si="14"/>
        <v>0</v>
      </c>
      <c r="AD128" s="8">
        <f t="shared" si="15"/>
        <v>1050</v>
      </c>
      <c r="AE128" s="8">
        <f t="shared" si="16"/>
        <v>640.5</v>
      </c>
      <c r="AF128" s="8">
        <f t="shared" si="17"/>
        <v>409.5</v>
      </c>
      <c r="AG128" s="9">
        <f t="shared" si="18"/>
        <v>0.39</v>
      </c>
      <c r="AH128" s="10">
        <f t="shared" si="19"/>
        <v>2025</v>
      </c>
      <c r="AI128" s="10">
        <f t="shared" si="20"/>
        <v>4</v>
      </c>
      <c r="AJ128" s="10" t="str">
        <f t="shared" si="21"/>
        <v>2025-04</v>
      </c>
      <c r="AK128" s="10" t="str">
        <f t="shared" si="22"/>
        <v>T2</v>
      </c>
      <c r="AL128" s="10" t="str">
        <f t="shared" si="23"/>
        <v>40-49</v>
      </c>
      <c r="AM128" s="10" t="str">
        <f t="shared" si="24"/>
        <v>bon</v>
      </c>
      <c r="AN128" s="10" t="s">
        <v>2838</v>
      </c>
      <c r="AO128" s="10" t="str">
        <f t="shared" si="25"/>
        <v>Elevée</v>
      </c>
    </row>
    <row r="129" spans="1:41">
      <c r="A129" t="s">
        <v>621</v>
      </c>
      <c r="B129" s="2">
        <v>45810</v>
      </c>
      <c r="C129" t="s">
        <v>622</v>
      </c>
      <c r="D129" t="s">
        <v>174</v>
      </c>
      <c r="E129" t="s">
        <v>345</v>
      </c>
      <c r="F129" t="s">
        <v>458</v>
      </c>
      <c r="G129">
        <v>2</v>
      </c>
      <c r="H129" s="4">
        <v>780</v>
      </c>
      <c r="I129" s="3">
        <v>0.05</v>
      </c>
      <c r="J129" t="s">
        <v>45</v>
      </c>
      <c r="K129" t="s">
        <v>46</v>
      </c>
      <c r="L129" t="s">
        <v>623</v>
      </c>
      <c r="M129" t="s">
        <v>54</v>
      </c>
      <c r="N129" t="s">
        <v>49</v>
      </c>
      <c r="O129" t="s">
        <v>177</v>
      </c>
      <c r="P129" t="s">
        <v>103</v>
      </c>
      <c r="Q129" t="s">
        <v>114</v>
      </c>
      <c r="R129" t="s">
        <v>347</v>
      </c>
      <c r="S129" t="s">
        <v>54</v>
      </c>
      <c r="T129" t="s">
        <v>460</v>
      </c>
      <c r="U129" s="5">
        <v>55</v>
      </c>
      <c r="V129" s="5" t="s">
        <v>56</v>
      </c>
      <c r="W129" s="5">
        <v>30</v>
      </c>
      <c r="X129" s="5">
        <v>6.8</v>
      </c>
      <c r="Y129" s="5">
        <v>3</v>
      </c>
      <c r="Z129" s="5" t="s">
        <v>71</v>
      </c>
      <c r="AA129" s="6">
        <v>468</v>
      </c>
      <c r="AB129" s="8">
        <f t="shared" si="13"/>
        <v>1560</v>
      </c>
      <c r="AC129" s="8">
        <f t="shared" si="14"/>
        <v>78</v>
      </c>
      <c r="AD129" s="8">
        <f t="shared" si="15"/>
        <v>1482</v>
      </c>
      <c r="AE129" s="8">
        <f t="shared" si="16"/>
        <v>936</v>
      </c>
      <c r="AF129" s="8">
        <f t="shared" si="17"/>
        <v>546</v>
      </c>
      <c r="AG129" s="9">
        <f t="shared" si="18"/>
        <v>0.36842105263157893</v>
      </c>
      <c r="AH129" s="10">
        <f t="shared" si="19"/>
        <v>2025</v>
      </c>
      <c r="AI129" s="10">
        <f t="shared" si="20"/>
        <v>6</v>
      </c>
      <c r="AJ129" s="10" t="str">
        <f t="shared" si="21"/>
        <v>2025-06</v>
      </c>
      <c r="AK129" s="10" t="str">
        <f t="shared" si="22"/>
        <v>T2</v>
      </c>
      <c r="AL129" s="10" t="str">
        <f t="shared" si="23"/>
        <v>50+</v>
      </c>
      <c r="AM129" s="10" t="str">
        <f t="shared" si="24"/>
        <v>moyen</v>
      </c>
      <c r="AN129" s="10" t="s">
        <v>2838</v>
      </c>
      <c r="AO129" s="10" t="str">
        <f t="shared" si="25"/>
        <v>Elevée</v>
      </c>
    </row>
    <row r="130" spans="1:41">
      <c r="A130" t="s">
        <v>624</v>
      </c>
      <c r="B130" s="2">
        <v>45923</v>
      </c>
      <c r="C130" t="s">
        <v>625</v>
      </c>
      <c r="D130" t="s">
        <v>162</v>
      </c>
      <c r="E130" t="s">
        <v>43</v>
      </c>
      <c r="F130" t="s">
        <v>413</v>
      </c>
      <c r="G130">
        <v>6</v>
      </c>
      <c r="H130" s="4">
        <v>35</v>
      </c>
      <c r="I130" s="3">
        <v>0</v>
      </c>
      <c r="J130" t="s">
        <v>63</v>
      </c>
      <c r="K130" t="s">
        <v>46</v>
      </c>
      <c r="L130" t="s">
        <v>626</v>
      </c>
      <c r="M130" t="s">
        <v>69</v>
      </c>
      <c r="N130" t="s">
        <v>80</v>
      </c>
      <c r="O130" t="s">
        <v>166</v>
      </c>
      <c r="P130" t="s">
        <v>103</v>
      </c>
      <c r="Q130" t="s">
        <v>143</v>
      </c>
      <c r="R130" t="s">
        <v>53</v>
      </c>
      <c r="S130" t="s">
        <v>54</v>
      </c>
      <c r="T130" t="s">
        <v>415</v>
      </c>
      <c r="U130" s="5">
        <v>43</v>
      </c>
      <c r="V130" s="5" t="s">
        <v>85</v>
      </c>
      <c r="W130" s="5">
        <v>44</v>
      </c>
      <c r="X130" s="5">
        <v>3.3</v>
      </c>
      <c r="Y130" s="5">
        <v>9</v>
      </c>
      <c r="Z130" s="5" t="s">
        <v>94</v>
      </c>
      <c r="AA130" s="6">
        <v>24.15</v>
      </c>
      <c r="AB130" s="8">
        <f t="shared" si="13"/>
        <v>210</v>
      </c>
      <c r="AC130" s="8">
        <f t="shared" si="14"/>
        <v>0</v>
      </c>
      <c r="AD130" s="8">
        <f t="shared" si="15"/>
        <v>210</v>
      </c>
      <c r="AE130" s="8">
        <f t="shared" si="16"/>
        <v>144.89999999999998</v>
      </c>
      <c r="AF130" s="8">
        <f t="shared" si="17"/>
        <v>65.100000000000023</v>
      </c>
      <c r="AG130" s="9">
        <f t="shared" si="18"/>
        <v>0.31000000000000011</v>
      </c>
      <c r="AH130" s="10">
        <f t="shared" si="19"/>
        <v>2025</v>
      </c>
      <c r="AI130" s="10">
        <f t="shared" si="20"/>
        <v>9</v>
      </c>
      <c r="AJ130" s="10" t="str">
        <f t="shared" si="21"/>
        <v>2025-09</v>
      </c>
      <c r="AK130" s="10" t="str">
        <f t="shared" si="22"/>
        <v>T3</v>
      </c>
      <c r="AL130" s="10" t="str">
        <f t="shared" si="23"/>
        <v>40-49</v>
      </c>
      <c r="AM130" s="10" t="str">
        <f t="shared" si="24"/>
        <v>faible</v>
      </c>
      <c r="AN130" s="10" t="s">
        <v>2837</v>
      </c>
      <c r="AO130" s="10" t="str">
        <f t="shared" si="25"/>
        <v>Faible</v>
      </c>
    </row>
    <row r="131" spans="1:41">
      <c r="A131" t="s">
        <v>627</v>
      </c>
      <c r="B131" s="2">
        <v>45838</v>
      </c>
      <c r="C131" t="s">
        <v>628</v>
      </c>
      <c r="D131" t="s">
        <v>108</v>
      </c>
      <c r="E131" t="s">
        <v>207</v>
      </c>
      <c r="F131" t="s">
        <v>121</v>
      </c>
      <c r="G131">
        <v>3</v>
      </c>
      <c r="H131" s="4">
        <v>240</v>
      </c>
      <c r="I131" s="3">
        <v>0.05</v>
      </c>
      <c r="J131" t="s">
        <v>45</v>
      </c>
      <c r="K131" t="s">
        <v>46</v>
      </c>
      <c r="L131" t="s">
        <v>629</v>
      </c>
      <c r="M131" t="s">
        <v>79</v>
      </c>
      <c r="N131" t="s">
        <v>80</v>
      </c>
      <c r="O131" t="s">
        <v>113</v>
      </c>
      <c r="P131" t="s">
        <v>82</v>
      </c>
      <c r="Q131" t="s">
        <v>114</v>
      </c>
      <c r="R131" t="s">
        <v>210</v>
      </c>
      <c r="S131" t="s">
        <v>79</v>
      </c>
      <c r="T131" t="s">
        <v>125</v>
      </c>
      <c r="U131" s="5">
        <v>23</v>
      </c>
      <c r="V131" s="5" t="s">
        <v>85</v>
      </c>
      <c r="W131" s="5">
        <v>14</v>
      </c>
      <c r="X131" s="5">
        <v>5.9</v>
      </c>
      <c r="Y131" s="5">
        <v>5</v>
      </c>
      <c r="Z131" s="5" t="s">
        <v>71</v>
      </c>
      <c r="AA131" s="6">
        <v>177.6</v>
      </c>
      <c r="AB131" s="8">
        <f t="shared" ref="AB131:AB194" si="26">G131*H131</f>
        <v>720</v>
      </c>
      <c r="AC131" s="8">
        <f t="shared" ref="AC131:AC194" si="27">I131*AB131</f>
        <v>36</v>
      </c>
      <c r="AD131" s="8">
        <f t="shared" ref="AD131:AD194" si="28">AB131-AC131</f>
        <v>684</v>
      </c>
      <c r="AE131" s="8">
        <f t="shared" ref="AE131:AE194" si="29">G131*AA131</f>
        <v>532.79999999999995</v>
      </c>
      <c r="AF131" s="8">
        <f t="shared" ref="AF131:AF194" si="30">AD131-AE131</f>
        <v>151.20000000000005</v>
      </c>
      <c r="AG131" s="9">
        <f t="shared" ref="AG131:AG194" si="31">IFERROR(AF131/AD131,)</f>
        <v>0.22105263157894744</v>
      </c>
      <c r="AH131" s="10">
        <f t="shared" ref="AH131:AH194" si="32">YEAR(B131)</f>
        <v>2025</v>
      </c>
      <c r="AI131" s="10">
        <f t="shared" ref="AI131:AI194" si="33">MONTH(B131)</f>
        <v>6</v>
      </c>
      <c r="AJ131" s="10" t="str">
        <f t="shared" ref="AJ131:AJ194" si="34">TEXT(B131,"yyyy-mm")</f>
        <v>2025-06</v>
      </c>
      <c r="AK131" s="10" t="str">
        <f t="shared" ref="AK131:AK194" si="35">"T"&amp;ROUNDUP(MONTH(B131)/3,0)</f>
        <v>T2</v>
      </c>
      <c r="AL131" s="10" t="str">
        <f t="shared" ref="AL131:AL194" si="36">IF(U131&lt;30,"22-29",IF(U131&lt;40,"30-39",IF(U131&lt;50,"40-49","50+")))</f>
        <v>22-29</v>
      </c>
      <c r="AM131" s="10" t="str">
        <f t="shared" ref="AM131:AM194" si="37">IF(X131&lt;5,"faible",IF(X131&lt;7,"moyen",IF(X131&lt;9,"bon","excellent")))</f>
        <v>moyen</v>
      </c>
      <c r="AN131" s="10" t="s">
        <v>2839</v>
      </c>
      <c r="AO131" s="10" t="str">
        <f t="shared" ref="AO131:AO194" si="38">IF(AD131&gt;=1000,"Elevée",IF(AD131&gt;=500,"Moyenne","Faible"))</f>
        <v>Moyenne</v>
      </c>
    </row>
    <row r="132" spans="1:41">
      <c r="A132" t="s">
        <v>630</v>
      </c>
      <c r="B132" s="2">
        <v>45976</v>
      </c>
      <c r="C132" t="s">
        <v>631</v>
      </c>
      <c r="D132" t="s">
        <v>60</v>
      </c>
      <c r="E132" t="s">
        <v>109</v>
      </c>
      <c r="F132" t="s">
        <v>248</v>
      </c>
      <c r="G132">
        <v>2</v>
      </c>
      <c r="H132" s="4">
        <v>180</v>
      </c>
      <c r="I132" s="3">
        <v>0.05</v>
      </c>
      <c r="J132" t="s">
        <v>77</v>
      </c>
      <c r="K132" t="s">
        <v>46</v>
      </c>
      <c r="L132" t="s">
        <v>632</v>
      </c>
      <c r="M132" t="s">
        <v>123</v>
      </c>
      <c r="N132" t="s">
        <v>255</v>
      </c>
      <c r="O132" t="s">
        <v>66</v>
      </c>
      <c r="P132" t="s">
        <v>67</v>
      </c>
      <c r="Q132" t="s">
        <v>52</v>
      </c>
      <c r="R132" t="s">
        <v>115</v>
      </c>
      <c r="S132" t="s">
        <v>65</v>
      </c>
      <c r="T132" t="s">
        <v>250</v>
      </c>
      <c r="U132" s="5">
        <v>32</v>
      </c>
      <c r="V132" s="5" t="s">
        <v>85</v>
      </c>
      <c r="W132" s="5">
        <v>24</v>
      </c>
      <c r="X132" s="5">
        <v>8.8000000000000007</v>
      </c>
      <c r="Y132" s="5">
        <v>1</v>
      </c>
      <c r="Z132" s="5" t="s">
        <v>57</v>
      </c>
      <c r="AA132" s="6">
        <v>129.6</v>
      </c>
      <c r="AB132" s="8">
        <f t="shared" si="26"/>
        <v>360</v>
      </c>
      <c r="AC132" s="8">
        <f t="shared" si="27"/>
        <v>18</v>
      </c>
      <c r="AD132" s="8">
        <f t="shared" si="28"/>
        <v>342</v>
      </c>
      <c r="AE132" s="8">
        <f t="shared" si="29"/>
        <v>259.2</v>
      </c>
      <c r="AF132" s="8">
        <f t="shared" si="30"/>
        <v>82.800000000000011</v>
      </c>
      <c r="AG132" s="9">
        <f t="shared" si="31"/>
        <v>0.24210526315789477</v>
      </c>
      <c r="AH132" s="10">
        <f t="shared" si="32"/>
        <v>2025</v>
      </c>
      <c r="AI132" s="10">
        <f t="shared" si="33"/>
        <v>11</v>
      </c>
      <c r="AJ132" s="10" t="str">
        <f t="shared" si="34"/>
        <v>2025-11</v>
      </c>
      <c r="AK132" s="10" t="str">
        <f t="shared" si="35"/>
        <v>T4</v>
      </c>
      <c r="AL132" s="10" t="str">
        <f t="shared" si="36"/>
        <v>30-39</v>
      </c>
      <c r="AM132" s="10" t="str">
        <f t="shared" si="37"/>
        <v>bon</v>
      </c>
      <c r="AN132" s="10" t="s">
        <v>2838</v>
      </c>
      <c r="AO132" s="10" t="str">
        <f t="shared" si="38"/>
        <v>Faible</v>
      </c>
    </row>
    <row r="133" spans="1:41">
      <c r="A133" t="s">
        <v>633</v>
      </c>
      <c r="B133" s="2">
        <v>45788</v>
      </c>
      <c r="C133" t="s">
        <v>634</v>
      </c>
      <c r="D133" t="s">
        <v>148</v>
      </c>
      <c r="E133" t="s">
        <v>139</v>
      </c>
      <c r="F133" t="s">
        <v>434</v>
      </c>
      <c r="G133">
        <v>3</v>
      </c>
      <c r="H133" s="4">
        <v>110</v>
      </c>
      <c r="I133" s="3">
        <v>0.08</v>
      </c>
      <c r="J133" t="s">
        <v>45</v>
      </c>
      <c r="K133" t="s">
        <v>46</v>
      </c>
      <c r="L133" t="s">
        <v>635</v>
      </c>
      <c r="M133" t="s">
        <v>123</v>
      </c>
      <c r="N133" t="s">
        <v>101</v>
      </c>
      <c r="O133" t="s">
        <v>151</v>
      </c>
      <c r="P133" t="s">
        <v>103</v>
      </c>
      <c r="Q133" t="s">
        <v>114</v>
      </c>
      <c r="R133" t="s">
        <v>144</v>
      </c>
      <c r="S133" t="s">
        <v>65</v>
      </c>
      <c r="T133" t="s">
        <v>436</v>
      </c>
      <c r="U133" s="5">
        <v>55</v>
      </c>
      <c r="V133" s="5" t="s">
        <v>85</v>
      </c>
      <c r="W133" s="5">
        <v>7</v>
      </c>
      <c r="X133" s="5">
        <v>6.2</v>
      </c>
      <c r="Y133" s="5">
        <v>4</v>
      </c>
      <c r="Z133" s="5" t="s">
        <v>57</v>
      </c>
      <c r="AA133" s="6">
        <v>72.599999999999994</v>
      </c>
      <c r="AB133" s="8">
        <f t="shared" si="26"/>
        <v>330</v>
      </c>
      <c r="AC133" s="8">
        <f t="shared" si="27"/>
        <v>26.400000000000002</v>
      </c>
      <c r="AD133" s="8">
        <f t="shared" si="28"/>
        <v>303.60000000000002</v>
      </c>
      <c r="AE133" s="8">
        <f t="shared" si="29"/>
        <v>217.79999999999998</v>
      </c>
      <c r="AF133" s="8">
        <f t="shared" si="30"/>
        <v>85.80000000000004</v>
      </c>
      <c r="AG133" s="9">
        <f t="shared" si="31"/>
        <v>0.282608695652174</v>
      </c>
      <c r="AH133" s="10">
        <f t="shared" si="32"/>
        <v>2025</v>
      </c>
      <c r="AI133" s="10">
        <f t="shared" si="33"/>
        <v>5</v>
      </c>
      <c r="AJ133" s="10" t="str">
        <f t="shared" si="34"/>
        <v>2025-05</v>
      </c>
      <c r="AK133" s="10" t="str">
        <f t="shared" si="35"/>
        <v>T2</v>
      </c>
      <c r="AL133" s="10" t="str">
        <f t="shared" si="36"/>
        <v>50+</v>
      </c>
      <c r="AM133" s="10" t="str">
        <f t="shared" si="37"/>
        <v>moyen</v>
      </c>
      <c r="AN133" s="10" t="s">
        <v>2839</v>
      </c>
      <c r="AO133" s="10" t="str">
        <f t="shared" si="38"/>
        <v>Faible</v>
      </c>
    </row>
    <row r="134" spans="1:41">
      <c r="A134" t="s">
        <v>636</v>
      </c>
      <c r="B134" s="2">
        <v>45848</v>
      </c>
      <c r="C134" t="s">
        <v>637</v>
      </c>
      <c r="D134" t="s">
        <v>340</v>
      </c>
      <c r="E134" t="s">
        <v>88</v>
      </c>
      <c r="F134" t="s">
        <v>502</v>
      </c>
      <c r="G134">
        <v>3</v>
      </c>
      <c r="H134" s="4">
        <v>22</v>
      </c>
      <c r="I134" s="3">
        <v>0.08</v>
      </c>
      <c r="J134" t="s">
        <v>45</v>
      </c>
      <c r="K134" t="s">
        <v>46</v>
      </c>
      <c r="L134" t="s">
        <v>638</v>
      </c>
      <c r="M134" t="s">
        <v>65</v>
      </c>
      <c r="N134" t="s">
        <v>80</v>
      </c>
      <c r="O134" t="s">
        <v>342</v>
      </c>
      <c r="P134" t="s">
        <v>103</v>
      </c>
      <c r="Q134" t="s">
        <v>143</v>
      </c>
      <c r="R134" t="s">
        <v>92</v>
      </c>
      <c r="S134" t="s">
        <v>48</v>
      </c>
      <c r="T134" t="s">
        <v>504</v>
      </c>
      <c r="U134" s="5">
        <v>45</v>
      </c>
      <c r="V134" s="5" t="s">
        <v>56</v>
      </c>
      <c r="W134" s="5">
        <v>53</v>
      </c>
      <c r="X134" s="5">
        <v>5.7</v>
      </c>
      <c r="Y134" s="5">
        <v>6</v>
      </c>
      <c r="Z134" s="5" t="s">
        <v>57</v>
      </c>
      <c r="AA134" s="6">
        <v>14.96</v>
      </c>
      <c r="AB134" s="8">
        <f t="shared" si="26"/>
        <v>66</v>
      </c>
      <c r="AC134" s="8">
        <f t="shared" si="27"/>
        <v>5.28</v>
      </c>
      <c r="AD134" s="8">
        <f t="shared" si="28"/>
        <v>60.72</v>
      </c>
      <c r="AE134" s="8">
        <f t="shared" si="29"/>
        <v>44.88</v>
      </c>
      <c r="AF134" s="8">
        <f t="shared" si="30"/>
        <v>15.839999999999996</v>
      </c>
      <c r="AG134" s="9">
        <f t="shared" si="31"/>
        <v>0.26086956521739124</v>
      </c>
      <c r="AH134" s="10">
        <f t="shared" si="32"/>
        <v>2025</v>
      </c>
      <c r="AI134" s="10">
        <f t="shared" si="33"/>
        <v>7</v>
      </c>
      <c r="AJ134" s="10" t="str">
        <f t="shared" si="34"/>
        <v>2025-07</v>
      </c>
      <c r="AK134" s="10" t="str">
        <f t="shared" si="35"/>
        <v>T3</v>
      </c>
      <c r="AL134" s="10" t="str">
        <f t="shared" si="36"/>
        <v>40-49</v>
      </c>
      <c r="AM134" s="10" t="str">
        <f t="shared" si="37"/>
        <v>moyen</v>
      </c>
      <c r="AN134" s="10" t="s">
        <v>2839</v>
      </c>
      <c r="AO134" s="10" t="str">
        <f t="shared" si="38"/>
        <v>Faible</v>
      </c>
    </row>
    <row r="135" spans="1:41">
      <c r="A135" t="s">
        <v>639</v>
      </c>
      <c r="B135" s="2">
        <v>45671</v>
      </c>
      <c r="C135" t="s">
        <v>640</v>
      </c>
      <c r="D135" t="s">
        <v>108</v>
      </c>
      <c r="E135" t="s">
        <v>129</v>
      </c>
      <c r="F135" t="s">
        <v>310</v>
      </c>
      <c r="G135">
        <v>10</v>
      </c>
      <c r="H135" s="4">
        <v>240</v>
      </c>
      <c r="I135" s="3">
        <v>0</v>
      </c>
      <c r="J135" t="s">
        <v>90</v>
      </c>
      <c r="K135" t="s">
        <v>46</v>
      </c>
      <c r="L135" t="s">
        <v>641</v>
      </c>
      <c r="M135" t="s">
        <v>48</v>
      </c>
      <c r="N135" t="s">
        <v>112</v>
      </c>
      <c r="O135" t="s">
        <v>113</v>
      </c>
      <c r="P135" t="s">
        <v>82</v>
      </c>
      <c r="Q135" t="s">
        <v>114</v>
      </c>
      <c r="R135" t="s">
        <v>134</v>
      </c>
      <c r="S135" t="s">
        <v>123</v>
      </c>
      <c r="T135" t="s">
        <v>312</v>
      </c>
      <c r="U135" s="5">
        <v>52</v>
      </c>
      <c r="V135" s="5" t="s">
        <v>56</v>
      </c>
      <c r="W135" s="5">
        <v>53</v>
      </c>
      <c r="X135" s="5">
        <v>5.5</v>
      </c>
      <c r="Y135" s="5">
        <v>6</v>
      </c>
      <c r="Z135" s="5" t="s">
        <v>71</v>
      </c>
      <c r="AA135" s="6">
        <v>177.6</v>
      </c>
      <c r="AB135" s="8">
        <f t="shared" si="26"/>
        <v>2400</v>
      </c>
      <c r="AC135" s="8">
        <f t="shared" si="27"/>
        <v>0</v>
      </c>
      <c r="AD135" s="8">
        <f t="shared" si="28"/>
        <v>2400</v>
      </c>
      <c r="AE135" s="8">
        <f t="shared" si="29"/>
        <v>1776</v>
      </c>
      <c r="AF135" s="8">
        <f t="shared" si="30"/>
        <v>624</v>
      </c>
      <c r="AG135" s="9">
        <f t="shared" si="31"/>
        <v>0.26</v>
      </c>
      <c r="AH135" s="10">
        <f t="shared" si="32"/>
        <v>2025</v>
      </c>
      <c r="AI135" s="10">
        <f t="shared" si="33"/>
        <v>1</v>
      </c>
      <c r="AJ135" s="10" t="str">
        <f t="shared" si="34"/>
        <v>2025-01</v>
      </c>
      <c r="AK135" s="10" t="str">
        <f t="shared" si="35"/>
        <v>T1</v>
      </c>
      <c r="AL135" s="10" t="str">
        <f t="shared" si="36"/>
        <v>50+</v>
      </c>
      <c r="AM135" s="10" t="str">
        <f t="shared" si="37"/>
        <v>moyen</v>
      </c>
      <c r="AN135" s="10" t="s">
        <v>2839</v>
      </c>
      <c r="AO135" s="10" t="str">
        <f t="shared" si="38"/>
        <v>Elevée</v>
      </c>
    </row>
    <row r="136" spans="1:41">
      <c r="A136" t="s">
        <v>642</v>
      </c>
      <c r="B136" s="2">
        <v>45691</v>
      </c>
      <c r="C136" t="s">
        <v>643</v>
      </c>
      <c r="D136" t="s">
        <v>97</v>
      </c>
      <c r="E136" t="s">
        <v>61</v>
      </c>
      <c r="F136" t="s">
        <v>369</v>
      </c>
      <c r="G136">
        <v>2</v>
      </c>
      <c r="H136" s="4">
        <v>520</v>
      </c>
      <c r="I136" s="3">
        <v>0</v>
      </c>
      <c r="J136" t="s">
        <v>77</v>
      </c>
      <c r="K136" t="s">
        <v>46</v>
      </c>
      <c r="L136" t="s">
        <v>644</v>
      </c>
      <c r="M136" t="s">
        <v>69</v>
      </c>
      <c r="N136" t="s">
        <v>112</v>
      </c>
      <c r="O136" t="s">
        <v>102</v>
      </c>
      <c r="P136" t="s">
        <v>103</v>
      </c>
      <c r="Q136" t="s">
        <v>52</v>
      </c>
      <c r="R136" t="s">
        <v>68</v>
      </c>
      <c r="S136" t="s">
        <v>69</v>
      </c>
      <c r="T136" t="s">
        <v>371</v>
      </c>
      <c r="U136" s="5">
        <v>25</v>
      </c>
      <c r="V136" s="5" t="s">
        <v>85</v>
      </c>
      <c r="W136" s="5">
        <v>21</v>
      </c>
      <c r="X136" s="5">
        <v>5</v>
      </c>
      <c r="Y136" s="5">
        <v>8</v>
      </c>
      <c r="Z136" s="5" t="s">
        <v>94</v>
      </c>
      <c r="AA136" s="6">
        <v>348.4</v>
      </c>
      <c r="AB136" s="8">
        <f t="shared" si="26"/>
        <v>1040</v>
      </c>
      <c r="AC136" s="8">
        <f t="shared" si="27"/>
        <v>0</v>
      </c>
      <c r="AD136" s="8">
        <f t="shared" si="28"/>
        <v>1040</v>
      </c>
      <c r="AE136" s="8">
        <f t="shared" si="29"/>
        <v>696.8</v>
      </c>
      <c r="AF136" s="8">
        <f t="shared" si="30"/>
        <v>343.20000000000005</v>
      </c>
      <c r="AG136" s="9">
        <f t="shared" si="31"/>
        <v>0.33000000000000007</v>
      </c>
      <c r="AH136" s="10">
        <f t="shared" si="32"/>
        <v>2025</v>
      </c>
      <c r="AI136" s="10">
        <f t="shared" si="33"/>
        <v>2</v>
      </c>
      <c r="AJ136" s="10" t="str">
        <f t="shared" si="34"/>
        <v>2025-02</v>
      </c>
      <c r="AK136" s="10" t="str">
        <f t="shared" si="35"/>
        <v>T1</v>
      </c>
      <c r="AL136" s="10" t="str">
        <f t="shared" si="36"/>
        <v>22-29</v>
      </c>
      <c r="AM136" s="10" t="str">
        <f t="shared" si="37"/>
        <v>moyen</v>
      </c>
      <c r="AN136" s="10" t="s">
        <v>2837</v>
      </c>
      <c r="AO136" s="10" t="str">
        <f t="shared" si="38"/>
        <v>Elevée</v>
      </c>
    </row>
    <row r="137" spans="1:41">
      <c r="A137" t="s">
        <v>645</v>
      </c>
      <c r="B137" s="2">
        <v>45814</v>
      </c>
      <c r="C137" t="s">
        <v>646</v>
      </c>
      <c r="D137" t="s">
        <v>128</v>
      </c>
      <c r="E137" t="s">
        <v>207</v>
      </c>
      <c r="F137" t="s">
        <v>99</v>
      </c>
      <c r="G137">
        <v>3</v>
      </c>
      <c r="H137" s="4">
        <v>190</v>
      </c>
      <c r="I137" s="3">
        <v>0.1</v>
      </c>
      <c r="J137" t="s">
        <v>63</v>
      </c>
      <c r="K137" t="s">
        <v>46</v>
      </c>
      <c r="L137" t="s">
        <v>647</v>
      </c>
      <c r="M137" t="s">
        <v>79</v>
      </c>
      <c r="N137" t="s">
        <v>80</v>
      </c>
      <c r="O137" t="s">
        <v>132</v>
      </c>
      <c r="P137" t="s">
        <v>133</v>
      </c>
      <c r="Q137" t="s">
        <v>52</v>
      </c>
      <c r="R137" t="s">
        <v>210</v>
      </c>
      <c r="S137" t="s">
        <v>79</v>
      </c>
      <c r="T137" t="s">
        <v>105</v>
      </c>
      <c r="U137" s="5">
        <v>33</v>
      </c>
      <c r="V137" s="5" t="s">
        <v>85</v>
      </c>
      <c r="W137" s="5">
        <v>17</v>
      </c>
      <c r="X137" s="5">
        <v>5.6</v>
      </c>
      <c r="Y137" s="5">
        <v>7</v>
      </c>
      <c r="Z137" s="5" t="s">
        <v>117</v>
      </c>
      <c r="AA137" s="6">
        <v>148.19999999999999</v>
      </c>
      <c r="AB137" s="8">
        <f t="shared" si="26"/>
        <v>570</v>
      </c>
      <c r="AC137" s="8">
        <f t="shared" si="27"/>
        <v>57</v>
      </c>
      <c r="AD137" s="8">
        <f t="shared" si="28"/>
        <v>513</v>
      </c>
      <c r="AE137" s="8">
        <f t="shared" si="29"/>
        <v>444.59999999999997</v>
      </c>
      <c r="AF137" s="8">
        <f t="shared" si="30"/>
        <v>68.400000000000034</v>
      </c>
      <c r="AG137" s="9">
        <f t="shared" si="31"/>
        <v>0.13333333333333339</v>
      </c>
      <c r="AH137" s="10">
        <f t="shared" si="32"/>
        <v>2025</v>
      </c>
      <c r="AI137" s="10">
        <f t="shared" si="33"/>
        <v>6</v>
      </c>
      <c r="AJ137" s="10" t="str">
        <f t="shared" si="34"/>
        <v>2025-06</v>
      </c>
      <c r="AK137" s="10" t="str">
        <f t="shared" si="35"/>
        <v>T2</v>
      </c>
      <c r="AL137" s="10" t="str">
        <f t="shared" si="36"/>
        <v>30-39</v>
      </c>
      <c r="AM137" s="10" t="str">
        <f t="shared" si="37"/>
        <v>moyen</v>
      </c>
      <c r="AN137" s="10" t="s">
        <v>2837</v>
      </c>
      <c r="AO137" s="10" t="str">
        <f t="shared" si="38"/>
        <v>Moyenne</v>
      </c>
    </row>
    <row r="138" spans="1:41">
      <c r="A138" t="s">
        <v>648</v>
      </c>
      <c r="B138" s="2">
        <v>45969</v>
      </c>
      <c r="C138" t="s">
        <v>649</v>
      </c>
      <c r="D138" t="s">
        <v>74</v>
      </c>
      <c r="E138" t="s">
        <v>61</v>
      </c>
      <c r="F138" t="s">
        <v>467</v>
      </c>
      <c r="G138">
        <v>1</v>
      </c>
      <c r="H138" s="4">
        <v>95</v>
      </c>
      <c r="I138" s="3">
        <v>0</v>
      </c>
      <c r="J138" t="s">
        <v>45</v>
      </c>
      <c r="K138" t="s">
        <v>46</v>
      </c>
      <c r="L138" t="s">
        <v>650</v>
      </c>
      <c r="M138" t="s">
        <v>65</v>
      </c>
      <c r="N138" t="s">
        <v>255</v>
      </c>
      <c r="O138" t="s">
        <v>81</v>
      </c>
      <c r="P138" t="s">
        <v>82</v>
      </c>
      <c r="Q138" t="s">
        <v>52</v>
      </c>
      <c r="R138" t="s">
        <v>68</v>
      </c>
      <c r="S138" t="s">
        <v>69</v>
      </c>
      <c r="T138" t="s">
        <v>469</v>
      </c>
      <c r="U138" s="5">
        <v>57</v>
      </c>
      <c r="V138" s="5" t="s">
        <v>56</v>
      </c>
      <c r="W138" s="5">
        <v>51</v>
      </c>
      <c r="X138" s="5">
        <v>5.4</v>
      </c>
      <c r="Y138" s="5">
        <v>5</v>
      </c>
      <c r="Z138" s="5" t="s">
        <v>71</v>
      </c>
      <c r="AA138" s="6">
        <v>70.3</v>
      </c>
      <c r="AB138" s="8">
        <f t="shared" si="26"/>
        <v>95</v>
      </c>
      <c r="AC138" s="8">
        <f t="shared" si="27"/>
        <v>0</v>
      </c>
      <c r="AD138" s="8">
        <f t="shared" si="28"/>
        <v>95</v>
      </c>
      <c r="AE138" s="8">
        <f t="shared" si="29"/>
        <v>70.3</v>
      </c>
      <c r="AF138" s="8">
        <f t="shared" si="30"/>
        <v>24.700000000000003</v>
      </c>
      <c r="AG138" s="9">
        <f t="shared" si="31"/>
        <v>0.26</v>
      </c>
      <c r="AH138" s="10">
        <f t="shared" si="32"/>
        <v>2025</v>
      </c>
      <c r="AI138" s="10">
        <f t="shared" si="33"/>
        <v>11</v>
      </c>
      <c r="AJ138" s="10" t="str">
        <f t="shared" si="34"/>
        <v>2025-11</v>
      </c>
      <c r="AK138" s="10" t="str">
        <f t="shared" si="35"/>
        <v>T4</v>
      </c>
      <c r="AL138" s="10" t="str">
        <f t="shared" si="36"/>
        <v>50+</v>
      </c>
      <c r="AM138" s="10" t="str">
        <f t="shared" si="37"/>
        <v>moyen</v>
      </c>
      <c r="AN138" s="10" t="s">
        <v>2839</v>
      </c>
      <c r="AO138" s="10" t="str">
        <f t="shared" si="38"/>
        <v>Faible</v>
      </c>
    </row>
    <row r="139" spans="1:41">
      <c r="A139" t="s">
        <v>651</v>
      </c>
      <c r="B139" s="2">
        <v>46005</v>
      </c>
      <c r="C139" t="s">
        <v>652</v>
      </c>
      <c r="D139" t="s">
        <v>128</v>
      </c>
      <c r="E139" t="s">
        <v>315</v>
      </c>
      <c r="F139" t="s">
        <v>439</v>
      </c>
      <c r="G139">
        <v>10</v>
      </c>
      <c r="H139" s="4">
        <v>190</v>
      </c>
      <c r="I139" s="3">
        <v>0.05</v>
      </c>
      <c r="J139" t="s">
        <v>63</v>
      </c>
      <c r="K139" t="s">
        <v>46</v>
      </c>
      <c r="L139" t="s">
        <v>653</v>
      </c>
      <c r="M139" t="s">
        <v>54</v>
      </c>
      <c r="N139" t="s">
        <v>101</v>
      </c>
      <c r="O139" t="s">
        <v>132</v>
      </c>
      <c r="P139" t="s">
        <v>133</v>
      </c>
      <c r="Q139" t="s">
        <v>52</v>
      </c>
      <c r="R139" t="s">
        <v>317</v>
      </c>
      <c r="S139" t="s">
        <v>69</v>
      </c>
      <c r="T139" t="s">
        <v>441</v>
      </c>
      <c r="U139" s="5">
        <v>27</v>
      </c>
      <c r="V139" s="5" t="s">
        <v>85</v>
      </c>
      <c r="W139" s="5">
        <v>66</v>
      </c>
      <c r="X139" s="5">
        <v>4.5</v>
      </c>
      <c r="Y139" s="5">
        <v>7</v>
      </c>
      <c r="Z139" s="5" t="s">
        <v>117</v>
      </c>
      <c r="AA139" s="6">
        <v>148.19999999999999</v>
      </c>
      <c r="AB139" s="8">
        <f t="shared" si="26"/>
        <v>1900</v>
      </c>
      <c r="AC139" s="8">
        <f t="shared" si="27"/>
        <v>95</v>
      </c>
      <c r="AD139" s="8">
        <f t="shared" si="28"/>
        <v>1805</v>
      </c>
      <c r="AE139" s="8">
        <f t="shared" si="29"/>
        <v>1482</v>
      </c>
      <c r="AF139" s="8">
        <f t="shared" si="30"/>
        <v>323</v>
      </c>
      <c r="AG139" s="9">
        <f t="shared" si="31"/>
        <v>0.17894736842105263</v>
      </c>
      <c r="AH139" s="10">
        <f t="shared" si="32"/>
        <v>2025</v>
      </c>
      <c r="AI139" s="10">
        <f t="shared" si="33"/>
        <v>12</v>
      </c>
      <c r="AJ139" s="10" t="str">
        <f t="shared" si="34"/>
        <v>2025-12</v>
      </c>
      <c r="AK139" s="10" t="str">
        <f t="shared" si="35"/>
        <v>T4</v>
      </c>
      <c r="AL139" s="10" t="str">
        <f t="shared" si="36"/>
        <v>22-29</v>
      </c>
      <c r="AM139" s="10" t="str">
        <f t="shared" si="37"/>
        <v>faible</v>
      </c>
      <c r="AN139" s="10" t="s">
        <v>2837</v>
      </c>
      <c r="AO139" s="10" t="str">
        <f t="shared" si="38"/>
        <v>Elevée</v>
      </c>
    </row>
    <row r="140" spans="1:41">
      <c r="A140" t="s">
        <v>654</v>
      </c>
      <c r="B140" s="2">
        <v>45920</v>
      </c>
      <c r="C140" t="s">
        <v>655</v>
      </c>
      <c r="D140" t="s">
        <v>340</v>
      </c>
      <c r="E140" t="s">
        <v>120</v>
      </c>
      <c r="F140" t="s">
        <v>140</v>
      </c>
      <c r="G140">
        <v>4</v>
      </c>
      <c r="H140" s="4">
        <v>22</v>
      </c>
      <c r="I140" s="3">
        <v>0.08</v>
      </c>
      <c r="J140" t="s">
        <v>45</v>
      </c>
      <c r="K140" t="s">
        <v>46</v>
      </c>
      <c r="L140" t="s">
        <v>656</v>
      </c>
      <c r="M140" t="s">
        <v>54</v>
      </c>
      <c r="N140" t="s">
        <v>112</v>
      </c>
      <c r="O140" t="s">
        <v>342</v>
      </c>
      <c r="P140" t="s">
        <v>103</v>
      </c>
      <c r="Q140" t="s">
        <v>143</v>
      </c>
      <c r="R140" t="s">
        <v>124</v>
      </c>
      <c r="S140" t="s">
        <v>48</v>
      </c>
      <c r="T140" t="s">
        <v>145</v>
      </c>
      <c r="U140" s="5">
        <v>34</v>
      </c>
      <c r="V140" s="5" t="s">
        <v>56</v>
      </c>
      <c r="W140" s="5">
        <v>47</v>
      </c>
      <c r="X140" s="5">
        <v>4.3</v>
      </c>
      <c r="Y140" s="5">
        <v>7</v>
      </c>
      <c r="Z140" s="5" t="s">
        <v>94</v>
      </c>
      <c r="AA140" s="6">
        <v>14.96</v>
      </c>
      <c r="AB140" s="8">
        <f t="shared" si="26"/>
        <v>88</v>
      </c>
      <c r="AC140" s="8">
        <f t="shared" si="27"/>
        <v>7.04</v>
      </c>
      <c r="AD140" s="8">
        <f t="shared" si="28"/>
        <v>80.959999999999994</v>
      </c>
      <c r="AE140" s="8">
        <f t="shared" si="29"/>
        <v>59.84</v>
      </c>
      <c r="AF140" s="8">
        <f t="shared" si="30"/>
        <v>21.11999999999999</v>
      </c>
      <c r="AG140" s="9">
        <f t="shared" si="31"/>
        <v>0.26086956521739119</v>
      </c>
      <c r="AH140" s="10">
        <f t="shared" si="32"/>
        <v>2025</v>
      </c>
      <c r="AI140" s="10">
        <f t="shared" si="33"/>
        <v>9</v>
      </c>
      <c r="AJ140" s="10" t="str">
        <f t="shared" si="34"/>
        <v>2025-09</v>
      </c>
      <c r="AK140" s="10" t="str">
        <f t="shared" si="35"/>
        <v>T3</v>
      </c>
      <c r="AL140" s="10" t="str">
        <f t="shared" si="36"/>
        <v>30-39</v>
      </c>
      <c r="AM140" s="10" t="str">
        <f t="shared" si="37"/>
        <v>faible</v>
      </c>
      <c r="AN140" s="10" t="s">
        <v>2837</v>
      </c>
      <c r="AO140" s="10" t="str">
        <f t="shared" si="38"/>
        <v>Faible</v>
      </c>
    </row>
    <row r="141" spans="1:41">
      <c r="A141" t="s">
        <v>657</v>
      </c>
      <c r="B141" s="2">
        <v>45785</v>
      </c>
      <c r="C141" t="s">
        <v>658</v>
      </c>
      <c r="D141" t="s">
        <v>188</v>
      </c>
      <c r="E141" t="s">
        <v>315</v>
      </c>
      <c r="F141" t="s">
        <v>502</v>
      </c>
      <c r="G141">
        <v>3</v>
      </c>
      <c r="H141" s="4">
        <v>350</v>
      </c>
      <c r="I141" s="3">
        <v>0.02</v>
      </c>
      <c r="J141" t="s">
        <v>63</v>
      </c>
      <c r="K141" t="s">
        <v>46</v>
      </c>
      <c r="L141" t="s">
        <v>659</v>
      </c>
      <c r="M141" t="s">
        <v>79</v>
      </c>
      <c r="N141" t="s">
        <v>112</v>
      </c>
      <c r="O141" t="s">
        <v>192</v>
      </c>
      <c r="P141" t="s">
        <v>51</v>
      </c>
      <c r="Q141" t="s">
        <v>114</v>
      </c>
      <c r="R141" t="s">
        <v>317</v>
      </c>
      <c r="S141" t="s">
        <v>69</v>
      </c>
      <c r="T141" t="s">
        <v>504</v>
      </c>
      <c r="U141" s="5">
        <v>54</v>
      </c>
      <c r="V141" s="5" t="s">
        <v>56</v>
      </c>
      <c r="W141" s="5">
        <v>64</v>
      </c>
      <c r="X141" s="5">
        <v>4.7</v>
      </c>
      <c r="Y141" s="5">
        <v>7</v>
      </c>
      <c r="Z141" s="5" t="s">
        <v>57</v>
      </c>
      <c r="AA141" s="6">
        <v>213.5</v>
      </c>
      <c r="AB141" s="8">
        <f t="shared" si="26"/>
        <v>1050</v>
      </c>
      <c r="AC141" s="8">
        <f t="shared" si="27"/>
        <v>21</v>
      </c>
      <c r="AD141" s="8">
        <f t="shared" si="28"/>
        <v>1029</v>
      </c>
      <c r="AE141" s="8">
        <f t="shared" si="29"/>
        <v>640.5</v>
      </c>
      <c r="AF141" s="8">
        <f t="shared" si="30"/>
        <v>388.5</v>
      </c>
      <c r="AG141" s="9">
        <f t="shared" si="31"/>
        <v>0.37755102040816324</v>
      </c>
      <c r="AH141" s="10">
        <f t="shared" si="32"/>
        <v>2025</v>
      </c>
      <c r="AI141" s="10">
        <f t="shared" si="33"/>
        <v>5</v>
      </c>
      <c r="AJ141" s="10" t="str">
        <f t="shared" si="34"/>
        <v>2025-05</v>
      </c>
      <c r="AK141" s="10" t="str">
        <f t="shared" si="35"/>
        <v>T2</v>
      </c>
      <c r="AL141" s="10" t="str">
        <f t="shared" si="36"/>
        <v>50+</v>
      </c>
      <c r="AM141" s="10" t="str">
        <f t="shared" si="37"/>
        <v>faible</v>
      </c>
      <c r="AN141" s="10" t="s">
        <v>2837</v>
      </c>
      <c r="AO141" s="10" t="str">
        <f t="shared" si="38"/>
        <v>Elevée</v>
      </c>
    </row>
    <row r="142" spans="1:41">
      <c r="A142" t="s">
        <v>660</v>
      </c>
      <c r="B142" s="2">
        <v>45799</v>
      </c>
      <c r="C142" t="s">
        <v>661</v>
      </c>
      <c r="D142" t="s">
        <v>155</v>
      </c>
      <c r="E142" t="s">
        <v>207</v>
      </c>
      <c r="F142" t="s">
        <v>350</v>
      </c>
      <c r="G142">
        <v>10</v>
      </c>
      <c r="H142" s="4">
        <v>48</v>
      </c>
      <c r="I142" s="3">
        <v>0.05</v>
      </c>
      <c r="J142" t="s">
        <v>45</v>
      </c>
      <c r="K142" t="s">
        <v>46</v>
      </c>
      <c r="L142" t="s">
        <v>662</v>
      </c>
      <c r="M142" t="s">
        <v>54</v>
      </c>
      <c r="N142" t="s">
        <v>49</v>
      </c>
      <c r="O142" t="s">
        <v>158</v>
      </c>
      <c r="P142" t="s">
        <v>51</v>
      </c>
      <c r="Q142" t="s">
        <v>143</v>
      </c>
      <c r="R142" t="s">
        <v>210</v>
      </c>
      <c r="S142" t="s">
        <v>79</v>
      </c>
      <c r="T142" t="s">
        <v>352</v>
      </c>
      <c r="U142" s="5">
        <v>27</v>
      </c>
      <c r="V142" s="5" t="s">
        <v>85</v>
      </c>
      <c r="W142" s="5">
        <v>16</v>
      </c>
      <c r="X142" s="5">
        <v>8.1</v>
      </c>
      <c r="Y142" s="5">
        <v>2</v>
      </c>
      <c r="Z142" s="5" t="s">
        <v>71</v>
      </c>
      <c r="AA142" s="6">
        <v>37.44</v>
      </c>
      <c r="AB142" s="8">
        <f t="shared" si="26"/>
        <v>480</v>
      </c>
      <c r="AC142" s="8">
        <f t="shared" si="27"/>
        <v>24</v>
      </c>
      <c r="AD142" s="8">
        <f t="shared" si="28"/>
        <v>456</v>
      </c>
      <c r="AE142" s="8">
        <f t="shared" si="29"/>
        <v>374.4</v>
      </c>
      <c r="AF142" s="8">
        <f t="shared" si="30"/>
        <v>81.600000000000023</v>
      </c>
      <c r="AG142" s="9">
        <f t="shared" si="31"/>
        <v>0.17894736842105269</v>
      </c>
      <c r="AH142" s="10">
        <f t="shared" si="32"/>
        <v>2025</v>
      </c>
      <c r="AI142" s="10">
        <f t="shared" si="33"/>
        <v>5</v>
      </c>
      <c r="AJ142" s="10" t="str">
        <f t="shared" si="34"/>
        <v>2025-05</v>
      </c>
      <c r="AK142" s="10" t="str">
        <f t="shared" si="35"/>
        <v>T2</v>
      </c>
      <c r="AL142" s="10" t="str">
        <f t="shared" si="36"/>
        <v>22-29</v>
      </c>
      <c r="AM142" s="10" t="str">
        <f t="shared" si="37"/>
        <v>bon</v>
      </c>
      <c r="AN142" s="10" t="s">
        <v>2838</v>
      </c>
      <c r="AO142" s="10" t="str">
        <f t="shared" si="38"/>
        <v>Faible</v>
      </c>
    </row>
    <row r="143" spans="1:41">
      <c r="A143" t="s">
        <v>663</v>
      </c>
      <c r="B143" s="2">
        <v>45818</v>
      </c>
      <c r="C143" t="s">
        <v>547</v>
      </c>
      <c r="D143" t="s">
        <v>74</v>
      </c>
      <c r="E143" t="s">
        <v>129</v>
      </c>
      <c r="F143" t="s">
        <v>253</v>
      </c>
      <c r="G143">
        <v>5</v>
      </c>
      <c r="H143" s="4">
        <v>95</v>
      </c>
      <c r="I143" s="3">
        <v>0.08</v>
      </c>
      <c r="J143" t="s">
        <v>90</v>
      </c>
      <c r="K143" t="s">
        <v>46</v>
      </c>
      <c r="L143" t="s">
        <v>549</v>
      </c>
      <c r="M143" t="s">
        <v>48</v>
      </c>
      <c r="N143" t="s">
        <v>80</v>
      </c>
      <c r="O143" t="s">
        <v>81</v>
      </c>
      <c r="P143" t="s">
        <v>82</v>
      </c>
      <c r="Q143" t="s">
        <v>52</v>
      </c>
      <c r="R143" t="s">
        <v>134</v>
      </c>
      <c r="S143" t="s">
        <v>123</v>
      </c>
      <c r="T143" t="s">
        <v>256</v>
      </c>
      <c r="U143" s="5">
        <v>23</v>
      </c>
      <c r="V143" s="5" t="s">
        <v>85</v>
      </c>
      <c r="W143" s="5">
        <v>49</v>
      </c>
      <c r="X143" s="5">
        <v>5.5</v>
      </c>
      <c r="Y143" s="5">
        <v>6</v>
      </c>
      <c r="Z143" s="5" t="s">
        <v>117</v>
      </c>
      <c r="AA143" s="6">
        <v>70.3</v>
      </c>
      <c r="AB143" s="8">
        <f t="shared" si="26"/>
        <v>475</v>
      </c>
      <c r="AC143" s="8">
        <f t="shared" si="27"/>
        <v>38</v>
      </c>
      <c r="AD143" s="8">
        <f t="shared" si="28"/>
        <v>437</v>
      </c>
      <c r="AE143" s="8">
        <f t="shared" si="29"/>
        <v>351.5</v>
      </c>
      <c r="AF143" s="8">
        <f t="shared" si="30"/>
        <v>85.5</v>
      </c>
      <c r="AG143" s="9">
        <f t="shared" si="31"/>
        <v>0.19565217391304349</v>
      </c>
      <c r="AH143" s="10">
        <f t="shared" si="32"/>
        <v>2025</v>
      </c>
      <c r="AI143" s="10">
        <f t="shared" si="33"/>
        <v>6</v>
      </c>
      <c r="AJ143" s="10" t="str">
        <f t="shared" si="34"/>
        <v>2025-06</v>
      </c>
      <c r="AK143" s="10" t="str">
        <f t="shared" si="35"/>
        <v>T2</v>
      </c>
      <c r="AL143" s="10" t="str">
        <f t="shared" si="36"/>
        <v>22-29</v>
      </c>
      <c r="AM143" s="10" t="str">
        <f t="shared" si="37"/>
        <v>moyen</v>
      </c>
      <c r="AN143" s="10" t="s">
        <v>2839</v>
      </c>
      <c r="AO143" s="10" t="str">
        <f t="shared" si="38"/>
        <v>Faible</v>
      </c>
    </row>
    <row r="144" spans="1:41">
      <c r="A144" t="s">
        <v>664</v>
      </c>
      <c r="B144" s="2">
        <v>45687</v>
      </c>
      <c r="C144" t="s">
        <v>665</v>
      </c>
      <c r="D144" t="s">
        <v>174</v>
      </c>
      <c r="E144" t="s">
        <v>75</v>
      </c>
      <c r="F144" t="s">
        <v>44</v>
      </c>
      <c r="G144">
        <v>1</v>
      </c>
      <c r="H144" s="4">
        <v>780</v>
      </c>
      <c r="I144" s="3">
        <v>0</v>
      </c>
      <c r="J144" t="s">
        <v>63</v>
      </c>
      <c r="K144" t="s">
        <v>46</v>
      </c>
      <c r="L144" t="s">
        <v>666</v>
      </c>
      <c r="M144" t="s">
        <v>123</v>
      </c>
      <c r="N144" t="s">
        <v>101</v>
      </c>
      <c r="O144" t="s">
        <v>177</v>
      </c>
      <c r="P144" t="s">
        <v>103</v>
      </c>
      <c r="Q144" t="s">
        <v>114</v>
      </c>
      <c r="R144" t="s">
        <v>83</v>
      </c>
      <c r="S144" t="s">
        <v>69</v>
      </c>
      <c r="T144" t="s">
        <v>55</v>
      </c>
      <c r="U144" s="5">
        <v>50</v>
      </c>
      <c r="V144" s="5" t="s">
        <v>56</v>
      </c>
      <c r="W144" s="5">
        <v>33</v>
      </c>
      <c r="X144" s="5">
        <v>4.8</v>
      </c>
      <c r="Y144" s="5">
        <v>8</v>
      </c>
      <c r="Z144" s="5" t="s">
        <v>71</v>
      </c>
      <c r="AA144" s="6">
        <v>468</v>
      </c>
      <c r="AB144" s="8">
        <f t="shared" si="26"/>
        <v>780</v>
      </c>
      <c r="AC144" s="8">
        <f t="shared" si="27"/>
        <v>0</v>
      </c>
      <c r="AD144" s="8">
        <f t="shared" si="28"/>
        <v>780</v>
      </c>
      <c r="AE144" s="8">
        <f t="shared" si="29"/>
        <v>468</v>
      </c>
      <c r="AF144" s="8">
        <f t="shared" si="30"/>
        <v>312</v>
      </c>
      <c r="AG144" s="9">
        <f t="shared" si="31"/>
        <v>0.4</v>
      </c>
      <c r="AH144" s="10">
        <f t="shared" si="32"/>
        <v>2025</v>
      </c>
      <c r="AI144" s="10">
        <f t="shared" si="33"/>
        <v>1</v>
      </c>
      <c r="AJ144" s="10" t="str">
        <f t="shared" si="34"/>
        <v>2025-01</v>
      </c>
      <c r="AK144" s="10" t="str">
        <f t="shared" si="35"/>
        <v>T1</v>
      </c>
      <c r="AL144" s="10" t="str">
        <f t="shared" si="36"/>
        <v>50+</v>
      </c>
      <c r="AM144" s="10" t="str">
        <f t="shared" si="37"/>
        <v>faible</v>
      </c>
      <c r="AN144" s="10" t="s">
        <v>2837</v>
      </c>
      <c r="AO144" s="10" t="str">
        <f t="shared" si="38"/>
        <v>Moyenne</v>
      </c>
    </row>
    <row r="145" spans="1:41">
      <c r="A145" t="s">
        <v>667</v>
      </c>
      <c r="B145" s="2">
        <v>45727</v>
      </c>
      <c r="C145" t="s">
        <v>232</v>
      </c>
      <c r="D145" t="s">
        <v>333</v>
      </c>
      <c r="E145" t="s">
        <v>207</v>
      </c>
      <c r="F145" t="s">
        <v>323</v>
      </c>
      <c r="G145">
        <v>2</v>
      </c>
      <c r="H145" s="4">
        <v>65</v>
      </c>
      <c r="I145" s="3">
        <v>0.05</v>
      </c>
      <c r="J145" t="s">
        <v>90</v>
      </c>
      <c r="K145" t="s">
        <v>46</v>
      </c>
      <c r="L145" t="s">
        <v>234</v>
      </c>
      <c r="M145" t="s">
        <v>54</v>
      </c>
      <c r="N145" t="s">
        <v>101</v>
      </c>
      <c r="O145" t="s">
        <v>336</v>
      </c>
      <c r="P145" t="s">
        <v>51</v>
      </c>
      <c r="Q145" t="s">
        <v>52</v>
      </c>
      <c r="R145" t="s">
        <v>210</v>
      </c>
      <c r="S145" t="s">
        <v>79</v>
      </c>
      <c r="T145" t="s">
        <v>325</v>
      </c>
      <c r="U145" s="5">
        <v>33</v>
      </c>
      <c r="V145" s="5" t="s">
        <v>56</v>
      </c>
      <c r="W145" s="5">
        <v>33</v>
      </c>
      <c r="X145" s="5">
        <v>5.5</v>
      </c>
      <c r="Y145" s="5">
        <v>6</v>
      </c>
      <c r="Z145" s="5" t="s">
        <v>94</v>
      </c>
      <c r="AA145" s="6">
        <v>47.45</v>
      </c>
      <c r="AB145" s="8">
        <f t="shared" si="26"/>
        <v>130</v>
      </c>
      <c r="AC145" s="8">
        <f t="shared" si="27"/>
        <v>6.5</v>
      </c>
      <c r="AD145" s="8">
        <f t="shared" si="28"/>
        <v>123.5</v>
      </c>
      <c r="AE145" s="8">
        <f t="shared" si="29"/>
        <v>94.9</v>
      </c>
      <c r="AF145" s="8">
        <f t="shared" si="30"/>
        <v>28.599999999999994</v>
      </c>
      <c r="AG145" s="9">
        <f t="shared" si="31"/>
        <v>0.231578947368421</v>
      </c>
      <c r="AH145" s="10">
        <f t="shared" si="32"/>
        <v>2025</v>
      </c>
      <c r="AI145" s="10">
        <f t="shared" si="33"/>
        <v>3</v>
      </c>
      <c r="AJ145" s="10" t="str">
        <f t="shared" si="34"/>
        <v>2025-03</v>
      </c>
      <c r="AK145" s="10" t="str">
        <f t="shared" si="35"/>
        <v>T1</v>
      </c>
      <c r="AL145" s="10" t="str">
        <f t="shared" si="36"/>
        <v>30-39</v>
      </c>
      <c r="AM145" s="10" t="str">
        <f t="shared" si="37"/>
        <v>moyen</v>
      </c>
      <c r="AN145" s="10" t="s">
        <v>2839</v>
      </c>
      <c r="AO145" s="10" t="str">
        <f t="shared" si="38"/>
        <v>Faible</v>
      </c>
    </row>
    <row r="146" spans="1:41">
      <c r="A146" t="s">
        <v>668</v>
      </c>
      <c r="B146" s="2">
        <v>45931</v>
      </c>
      <c r="C146" t="s">
        <v>669</v>
      </c>
      <c r="D146" t="s">
        <v>138</v>
      </c>
      <c r="E146" t="s">
        <v>129</v>
      </c>
      <c r="F146" t="s">
        <v>182</v>
      </c>
      <c r="G146">
        <v>4</v>
      </c>
      <c r="H146" s="4">
        <v>120</v>
      </c>
      <c r="I146" s="3">
        <v>0</v>
      </c>
      <c r="J146" t="s">
        <v>90</v>
      </c>
      <c r="K146" t="s">
        <v>46</v>
      </c>
      <c r="L146" t="s">
        <v>670</v>
      </c>
      <c r="M146" t="s">
        <v>69</v>
      </c>
      <c r="N146" t="s">
        <v>112</v>
      </c>
      <c r="O146" t="s">
        <v>142</v>
      </c>
      <c r="P146" t="s">
        <v>51</v>
      </c>
      <c r="Q146" t="s">
        <v>143</v>
      </c>
      <c r="R146" t="s">
        <v>134</v>
      </c>
      <c r="S146" t="s">
        <v>123</v>
      </c>
      <c r="T146" t="s">
        <v>185</v>
      </c>
      <c r="U146" s="5">
        <v>53</v>
      </c>
      <c r="V146" s="5" t="s">
        <v>85</v>
      </c>
      <c r="W146" s="5">
        <v>66</v>
      </c>
      <c r="X146" s="5">
        <v>5.7</v>
      </c>
      <c r="Y146" s="5">
        <v>6</v>
      </c>
      <c r="Z146" s="5" t="s">
        <v>94</v>
      </c>
      <c r="AA146" s="6">
        <v>73.2</v>
      </c>
      <c r="AB146" s="8">
        <f t="shared" si="26"/>
        <v>480</v>
      </c>
      <c r="AC146" s="8">
        <f t="shared" si="27"/>
        <v>0</v>
      </c>
      <c r="AD146" s="8">
        <f t="shared" si="28"/>
        <v>480</v>
      </c>
      <c r="AE146" s="8">
        <f t="shared" si="29"/>
        <v>292.8</v>
      </c>
      <c r="AF146" s="8">
        <f t="shared" si="30"/>
        <v>187.2</v>
      </c>
      <c r="AG146" s="9">
        <f t="shared" si="31"/>
        <v>0.38999999999999996</v>
      </c>
      <c r="AH146" s="10">
        <f t="shared" si="32"/>
        <v>2025</v>
      </c>
      <c r="AI146" s="10">
        <f t="shared" si="33"/>
        <v>10</v>
      </c>
      <c r="AJ146" s="10" t="str">
        <f t="shared" si="34"/>
        <v>2025-10</v>
      </c>
      <c r="AK146" s="10" t="str">
        <f t="shared" si="35"/>
        <v>T4</v>
      </c>
      <c r="AL146" s="10" t="str">
        <f t="shared" si="36"/>
        <v>50+</v>
      </c>
      <c r="AM146" s="10" t="str">
        <f t="shared" si="37"/>
        <v>moyen</v>
      </c>
      <c r="AN146" s="10" t="s">
        <v>2839</v>
      </c>
      <c r="AO146" s="10" t="str">
        <f t="shared" si="38"/>
        <v>Faible</v>
      </c>
    </row>
    <row r="147" spans="1:41">
      <c r="A147" t="s">
        <v>671</v>
      </c>
      <c r="B147" s="2">
        <v>45849</v>
      </c>
      <c r="C147" t="s">
        <v>672</v>
      </c>
      <c r="D147" t="s">
        <v>272</v>
      </c>
      <c r="E147" t="s">
        <v>226</v>
      </c>
      <c r="F147" t="s">
        <v>62</v>
      </c>
      <c r="G147">
        <v>10</v>
      </c>
      <c r="H147" s="4">
        <v>420</v>
      </c>
      <c r="I147" s="3">
        <v>0</v>
      </c>
      <c r="J147" t="s">
        <v>45</v>
      </c>
      <c r="K147" t="s">
        <v>46</v>
      </c>
      <c r="L147" t="s">
        <v>673</v>
      </c>
      <c r="M147" t="s">
        <v>54</v>
      </c>
      <c r="N147" t="s">
        <v>101</v>
      </c>
      <c r="O147" t="s">
        <v>274</v>
      </c>
      <c r="P147" t="s">
        <v>133</v>
      </c>
      <c r="Q147" t="s">
        <v>114</v>
      </c>
      <c r="R147" t="s">
        <v>229</v>
      </c>
      <c r="S147" t="s">
        <v>48</v>
      </c>
      <c r="T147" t="s">
        <v>70</v>
      </c>
      <c r="U147" s="5">
        <v>50</v>
      </c>
      <c r="V147" s="5" t="s">
        <v>85</v>
      </c>
      <c r="W147" s="5">
        <v>52</v>
      </c>
      <c r="X147" s="5">
        <v>3.4</v>
      </c>
      <c r="Y147" s="5">
        <v>9</v>
      </c>
      <c r="Z147" s="5" t="s">
        <v>117</v>
      </c>
      <c r="AA147" s="6">
        <v>273</v>
      </c>
      <c r="AB147" s="8">
        <f t="shared" si="26"/>
        <v>4200</v>
      </c>
      <c r="AC147" s="8">
        <f t="shared" si="27"/>
        <v>0</v>
      </c>
      <c r="AD147" s="8">
        <f t="shared" si="28"/>
        <v>4200</v>
      </c>
      <c r="AE147" s="8">
        <f t="shared" si="29"/>
        <v>2730</v>
      </c>
      <c r="AF147" s="8">
        <f t="shared" si="30"/>
        <v>1470</v>
      </c>
      <c r="AG147" s="9">
        <f t="shared" si="31"/>
        <v>0.35</v>
      </c>
      <c r="AH147" s="10">
        <f t="shared" si="32"/>
        <v>2025</v>
      </c>
      <c r="AI147" s="10">
        <f t="shared" si="33"/>
        <v>7</v>
      </c>
      <c r="AJ147" s="10" t="str">
        <f t="shared" si="34"/>
        <v>2025-07</v>
      </c>
      <c r="AK147" s="10" t="str">
        <f t="shared" si="35"/>
        <v>T3</v>
      </c>
      <c r="AL147" s="10" t="str">
        <f t="shared" si="36"/>
        <v>50+</v>
      </c>
      <c r="AM147" s="10" t="str">
        <f t="shared" si="37"/>
        <v>faible</v>
      </c>
      <c r="AN147" s="10" t="s">
        <v>2837</v>
      </c>
      <c r="AO147" s="10" t="str">
        <f t="shared" si="38"/>
        <v>Elevée</v>
      </c>
    </row>
    <row r="148" spans="1:41">
      <c r="A148" t="s">
        <v>674</v>
      </c>
      <c r="B148" s="2">
        <v>45808</v>
      </c>
      <c r="C148" t="s">
        <v>675</v>
      </c>
      <c r="D148" t="s">
        <v>74</v>
      </c>
      <c r="E148" t="s">
        <v>43</v>
      </c>
      <c r="F148" t="s">
        <v>676</v>
      </c>
      <c r="G148">
        <v>1</v>
      </c>
      <c r="H148" s="4">
        <v>95</v>
      </c>
      <c r="I148" s="3">
        <v>0</v>
      </c>
      <c r="J148" t="s">
        <v>63</v>
      </c>
      <c r="K148" t="s">
        <v>46</v>
      </c>
      <c r="L148" t="s">
        <v>677</v>
      </c>
      <c r="M148" t="s">
        <v>79</v>
      </c>
      <c r="N148" t="s">
        <v>255</v>
      </c>
      <c r="O148" t="s">
        <v>81</v>
      </c>
      <c r="P148" t="s">
        <v>82</v>
      </c>
      <c r="Q148" t="s">
        <v>52</v>
      </c>
      <c r="R148" t="s">
        <v>53</v>
      </c>
      <c r="S148" t="s">
        <v>54</v>
      </c>
      <c r="T148" t="s">
        <v>678</v>
      </c>
      <c r="U148" s="5">
        <v>48</v>
      </c>
      <c r="V148" s="5" t="s">
        <v>56</v>
      </c>
      <c r="W148" s="5">
        <v>44</v>
      </c>
      <c r="X148" s="5">
        <v>4.3</v>
      </c>
      <c r="Y148" s="5">
        <v>9</v>
      </c>
      <c r="Z148" s="5" t="s">
        <v>117</v>
      </c>
      <c r="AA148" s="6">
        <v>70.3</v>
      </c>
      <c r="AB148" s="8">
        <f t="shared" si="26"/>
        <v>95</v>
      </c>
      <c r="AC148" s="8">
        <f t="shared" si="27"/>
        <v>0</v>
      </c>
      <c r="AD148" s="8">
        <f t="shared" si="28"/>
        <v>95</v>
      </c>
      <c r="AE148" s="8">
        <f t="shared" si="29"/>
        <v>70.3</v>
      </c>
      <c r="AF148" s="8">
        <f t="shared" si="30"/>
        <v>24.700000000000003</v>
      </c>
      <c r="AG148" s="9">
        <f t="shared" si="31"/>
        <v>0.26</v>
      </c>
      <c r="AH148" s="10">
        <f t="shared" si="32"/>
        <v>2025</v>
      </c>
      <c r="AI148" s="10">
        <f t="shared" si="33"/>
        <v>5</v>
      </c>
      <c r="AJ148" s="10" t="str">
        <f t="shared" si="34"/>
        <v>2025-05</v>
      </c>
      <c r="AK148" s="10" t="str">
        <f t="shared" si="35"/>
        <v>T2</v>
      </c>
      <c r="AL148" s="10" t="str">
        <f t="shared" si="36"/>
        <v>40-49</v>
      </c>
      <c r="AM148" s="10" t="str">
        <f t="shared" si="37"/>
        <v>faible</v>
      </c>
      <c r="AN148" s="10" t="s">
        <v>2837</v>
      </c>
      <c r="AO148" s="10" t="str">
        <f t="shared" si="38"/>
        <v>Faible</v>
      </c>
    </row>
    <row r="149" spans="1:41">
      <c r="A149" t="s">
        <v>679</v>
      </c>
      <c r="B149" s="2">
        <v>45974</v>
      </c>
      <c r="C149" t="s">
        <v>680</v>
      </c>
      <c r="D149" t="s">
        <v>188</v>
      </c>
      <c r="E149" t="s">
        <v>139</v>
      </c>
      <c r="F149" t="s">
        <v>553</v>
      </c>
      <c r="G149">
        <v>5</v>
      </c>
      <c r="H149" s="4">
        <v>350</v>
      </c>
      <c r="I149" s="3">
        <v>0</v>
      </c>
      <c r="J149" t="s">
        <v>77</v>
      </c>
      <c r="K149" t="s">
        <v>46</v>
      </c>
      <c r="L149" t="s">
        <v>681</v>
      </c>
      <c r="M149" t="s">
        <v>54</v>
      </c>
      <c r="N149" t="s">
        <v>49</v>
      </c>
      <c r="O149" t="s">
        <v>192</v>
      </c>
      <c r="P149" t="s">
        <v>51</v>
      </c>
      <c r="Q149" t="s">
        <v>114</v>
      </c>
      <c r="R149" t="s">
        <v>144</v>
      </c>
      <c r="S149" t="s">
        <v>65</v>
      </c>
      <c r="T149" t="s">
        <v>555</v>
      </c>
      <c r="U149" s="5">
        <v>60</v>
      </c>
      <c r="V149" s="5" t="s">
        <v>85</v>
      </c>
      <c r="W149" s="5">
        <v>64</v>
      </c>
      <c r="X149" s="5">
        <v>8.6999999999999993</v>
      </c>
      <c r="Y149" s="5">
        <v>2</v>
      </c>
      <c r="Z149" s="5" t="s">
        <v>94</v>
      </c>
      <c r="AA149" s="6">
        <v>213.5</v>
      </c>
      <c r="AB149" s="8">
        <f t="shared" si="26"/>
        <v>1750</v>
      </c>
      <c r="AC149" s="8">
        <f t="shared" si="27"/>
        <v>0</v>
      </c>
      <c r="AD149" s="8">
        <f t="shared" si="28"/>
        <v>1750</v>
      </c>
      <c r="AE149" s="8">
        <f t="shared" si="29"/>
        <v>1067.5</v>
      </c>
      <c r="AF149" s="8">
        <f t="shared" si="30"/>
        <v>682.5</v>
      </c>
      <c r="AG149" s="9">
        <f t="shared" si="31"/>
        <v>0.39</v>
      </c>
      <c r="AH149" s="10">
        <f t="shared" si="32"/>
        <v>2025</v>
      </c>
      <c r="AI149" s="10">
        <f t="shared" si="33"/>
        <v>11</v>
      </c>
      <c r="AJ149" s="10" t="str">
        <f t="shared" si="34"/>
        <v>2025-11</v>
      </c>
      <c r="AK149" s="10" t="str">
        <f t="shared" si="35"/>
        <v>T4</v>
      </c>
      <c r="AL149" s="10" t="str">
        <f t="shared" si="36"/>
        <v>50+</v>
      </c>
      <c r="AM149" s="10" t="str">
        <f t="shared" si="37"/>
        <v>bon</v>
      </c>
      <c r="AN149" s="10" t="s">
        <v>2838</v>
      </c>
      <c r="AO149" s="10" t="str">
        <f t="shared" si="38"/>
        <v>Elevée</v>
      </c>
    </row>
    <row r="150" spans="1:41">
      <c r="A150" t="s">
        <v>682</v>
      </c>
      <c r="B150" s="2">
        <v>45712</v>
      </c>
      <c r="C150" t="s">
        <v>683</v>
      </c>
      <c r="D150" t="s">
        <v>108</v>
      </c>
      <c r="E150" t="s">
        <v>43</v>
      </c>
      <c r="F150" t="s">
        <v>328</v>
      </c>
      <c r="G150">
        <v>1</v>
      </c>
      <c r="H150" s="4">
        <v>240</v>
      </c>
      <c r="I150" s="3">
        <v>0.08</v>
      </c>
      <c r="J150" t="s">
        <v>45</v>
      </c>
      <c r="K150" t="s">
        <v>46</v>
      </c>
      <c r="L150" t="s">
        <v>684</v>
      </c>
      <c r="M150" t="s">
        <v>69</v>
      </c>
      <c r="N150" t="s">
        <v>112</v>
      </c>
      <c r="O150" t="s">
        <v>113</v>
      </c>
      <c r="P150" t="s">
        <v>82</v>
      </c>
      <c r="Q150" t="s">
        <v>114</v>
      </c>
      <c r="R150" t="s">
        <v>53</v>
      </c>
      <c r="S150" t="s">
        <v>54</v>
      </c>
      <c r="T150" t="s">
        <v>330</v>
      </c>
      <c r="U150" s="5">
        <v>59</v>
      </c>
      <c r="V150" s="5" t="s">
        <v>56</v>
      </c>
      <c r="W150" s="5">
        <v>27</v>
      </c>
      <c r="X150" s="5">
        <v>5.4</v>
      </c>
      <c r="Y150" s="5">
        <v>5</v>
      </c>
      <c r="Z150" s="5" t="s">
        <v>117</v>
      </c>
      <c r="AA150" s="6">
        <v>177.6</v>
      </c>
      <c r="AB150" s="8">
        <f t="shared" si="26"/>
        <v>240</v>
      </c>
      <c r="AC150" s="8">
        <f t="shared" si="27"/>
        <v>19.2</v>
      </c>
      <c r="AD150" s="8">
        <f t="shared" si="28"/>
        <v>220.8</v>
      </c>
      <c r="AE150" s="8">
        <f t="shared" si="29"/>
        <v>177.6</v>
      </c>
      <c r="AF150" s="8">
        <f t="shared" si="30"/>
        <v>43.200000000000017</v>
      </c>
      <c r="AG150" s="9">
        <f t="shared" si="31"/>
        <v>0.19565217391304354</v>
      </c>
      <c r="AH150" s="10">
        <f t="shared" si="32"/>
        <v>2025</v>
      </c>
      <c r="AI150" s="10">
        <f t="shared" si="33"/>
        <v>2</v>
      </c>
      <c r="AJ150" s="10" t="str">
        <f t="shared" si="34"/>
        <v>2025-02</v>
      </c>
      <c r="AK150" s="10" t="str">
        <f t="shared" si="35"/>
        <v>T1</v>
      </c>
      <c r="AL150" s="10" t="str">
        <f t="shared" si="36"/>
        <v>50+</v>
      </c>
      <c r="AM150" s="10" t="str">
        <f t="shared" si="37"/>
        <v>moyen</v>
      </c>
      <c r="AN150" s="10" t="s">
        <v>2839</v>
      </c>
      <c r="AO150" s="10" t="str">
        <f t="shared" si="38"/>
        <v>Faible</v>
      </c>
    </row>
    <row r="151" spans="1:41">
      <c r="A151" t="s">
        <v>685</v>
      </c>
      <c r="B151" s="2">
        <v>45759</v>
      </c>
      <c r="C151" t="s">
        <v>686</v>
      </c>
      <c r="D151" t="s">
        <v>97</v>
      </c>
      <c r="E151" t="s">
        <v>129</v>
      </c>
      <c r="F151" t="s">
        <v>164</v>
      </c>
      <c r="G151">
        <v>1</v>
      </c>
      <c r="H151" s="4">
        <v>520</v>
      </c>
      <c r="I151" s="3">
        <v>0.05</v>
      </c>
      <c r="J151" t="s">
        <v>45</v>
      </c>
      <c r="K151" t="s">
        <v>46</v>
      </c>
      <c r="L151" t="s">
        <v>687</v>
      </c>
      <c r="M151" t="s">
        <v>79</v>
      </c>
      <c r="N151" t="s">
        <v>101</v>
      </c>
      <c r="O151" t="s">
        <v>102</v>
      </c>
      <c r="P151" t="s">
        <v>103</v>
      </c>
      <c r="Q151" t="s">
        <v>52</v>
      </c>
      <c r="R151" t="s">
        <v>134</v>
      </c>
      <c r="S151" t="s">
        <v>123</v>
      </c>
      <c r="T151" t="s">
        <v>168</v>
      </c>
      <c r="U151" s="5">
        <v>30</v>
      </c>
      <c r="V151" s="5" t="s">
        <v>85</v>
      </c>
      <c r="W151" s="5">
        <v>9</v>
      </c>
      <c r="X151" s="5">
        <v>4.9000000000000004</v>
      </c>
      <c r="Y151" s="5">
        <v>7</v>
      </c>
      <c r="Z151" s="5" t="s">
        <v>94</v>
      </c>
      <c r="AA151" s="6">
        <v>348.4</v>
      </c>
      <c r="AB151" s="8">
        <f t="shared" si="26"/>
        <v>520</v>
      </c>
      <c r="AC151" s="8">
        <f t="shared" si="27"/>
        <v>26</v>
      </c>
      <c r="AD151" s="8">
        <f t="shared" si="28"/>
        <v>494</v>
      </c>
      <c r="AE151" s="8">
        <f t="shared" si="29"/>
        <v>348.4</v>
      </c>
      <c r="AF151" s="8">
        <f t="shared" si="30"/>
        <v>145.60000000000002</v>
      </c>
      <c r="AG151" s="9">
        <f t="shared" si="31"/>
        <v>0.29473684210526319</v>
      </c>
      <c r="AH151" s="10">
        <f t="shared" si="32"/>
        <v>2025</v>
      </c>
      <c r="AI151" s="10">
        <f t="shared" si="33"/>
        <v>4</v>
      </c>
      <c r="AJ151" s="10" t="str">
        <f t="shared" si="34"/>
        <v>2025-04</v>
      </c>
      <c r="AK151" s="10" t="str">
        <f t="shared" si="35"/>
        <v>T2</v>
      </c>
      <c r="AL151" s="10" t="str">
        <f t="shared" si="36"/>
        <v>30-39</v>
      </c>
      <c r="AM151" s="10" t="str">
        <f t="shared" si="37"/>
        <v>faible</v>
      </c>
      <c r="AN151" s="10" t="s">
        <v>2837</v>
      </c>
      <c r="AO151" s="10" t="str">
        <f t="shared" si="38"/>
        <v>Faible</v>
      </c>
    </row>
    <row r="152" spans="1:41">
      <c r="A152" t="s">
        <v>688</v>
      </c>
      <c r="B152" s="2">
        <v>45994</v>
      </c>
      <c r="C152" t="s">
        <v>689</v>
      </c>
      <c r="D152" t="s">
        <v>138</v>
      </c>
      <c r="E152" t="s">
        <v>98</v>
      </c>
      <c r="F152" t="s">
        <v>253</v>
      </c>
      <c r="G152">
        <v>1</v>
      </c>
      <c r="H152" s="4">
        <v>120</v>
      </c>
      <c r="I152" s="3">
        <v>0.02</v>
      </c>
      <c r="J152" t="s">
        <v>63</v>
      </c>
      <c r="K152" t="s">
        <v>46</v>
      </c>
      <c r="L152" t="s">
        <v>690</v>
      </c>
      <c r="M152" t="s">
        <v>54</v>
      </c>
      <c r="N152" t="s">
        <v>255</v>
      </c>
      <c r="O152" t="s">
        <v>142</v>
      </c>
      <c r="P152" t="s">
        <v>51</v>
      </c>
      <c r="Q152" t="s">
        <v>143</v>
      </c>
      <c r="R152" t="s">
        <v>104</v>
      </c>
      <c r="S152" t="s">
        <v>79</v>
      </c>
      <c r="T152" t="s">
        <v>256</v>
      </c>
      <c r="U152" s="5">
        <v>53</v>
      </c>
      <c r="V152" s="5" t="s">
        <v>85</v>
      </c>
      <c r="W152" s="5">
        <v>8</v>
      </c>
      <c r="X152" s="5">
        <v>7.8</v>
      </c>
      <c r="Y152" s="5">
        <v>2</v>
      </c>
      <c r="Z152" s="5" t="s">
        <v>57</v>
      </c>
      <c r="AA152" s="6">
        <v>73.2</v>
      </c>
      <c r="AB152" s="8">
        <f t="shared" si="26"/>
        <v>120</v>
      </c>
      <c r="AC152" s="8">
        <f t="shared" si="27"/>
        <v>2.4</v>
      </c>
      <c r="AD152" s="8">
        <f t="shared" si="28"/>
        <v>117.6</v>
      </c>
      <c r="AE152" s="8">
        <f t="shared" si="29"/>
        <v>73.2</v>
      </c>
      <c r="AF152" s="8">
        <f t="shared" si="30"/>
        <v>44.399999999999991</v>
      </c>
      <c r="AG152" s="9">
        <f t="shared" si="31"/>
        <v>0.37755102040816318</v>
      </c>
      <c r="AH152" s="10">
        <f t="shared" si="32"/>
        <v>2025</v>
      </c>
      <c r="AI152" s="10">
        <f t="shared" si="33"/>
        <v>12</v>
      </c>
      <c r="AJ152" s="10" t="str">
        <f t="shared" si="34"/>
        <v>2025-12</v>
      </c>
      <c r="AK152" s="10" t="str">
        <f t="shared" si="35"/>
        <v>T4</v>
      </c>
      <c r="AL152" s="10" t="str">
        <f t="shared" si="36"/>
        <v>50+</v>
      </c>
      <c r="AM152" s="10" t="str">
        <f t="shared" si="37"/>
        <v>bon</v>
      </c>
      <c r="AN152" s="10" t="s">
        <v>2838</v>
      </c>
      <c r="AO152" s="10" t="str">
        <f t="shared" si="38"/>
        <v>Faible</v>
      </c>
    </row>
    <row r="153" spans="1:41">
      <c r="A153" t="s">
        <v>691</v>
      </c>
      <c r="B153" s="2">
        <v>45795</v>
      </c>
      <c r="C153" t="s">
        <v>692</v>
      </c>
      <c r="D153" t="s">
        <v>333</v>
      </c>
      <c r="E153" t="s">
        <v>75</v>
      </c>
      <c r="F153" t="s">
        <v>374</v>
      </c>
      <c r="G153">
        <v>1</v>
      </c>
      <c r="H153" s="4">
        <v>65</v>
      </c>
      <c r="I153" s="3">
        <v>0.02</v>
      </c>
      <c r="J153" t="s">
        <v>63</v>
      </c>
      <c r="K153" t="s">
        <v>46</v>
      </c>
      <c r="L153" t="s">
        <v>693</v>
      </c>
      <c r="M153" t="s">
        <v>54</v>
      </c>
      <c r="N153" t="s">
        <v>80</v>
      </c>
      <c r="O153" t="s">
        <v>336</v>
      </c>
      <c r="P153" t="s">
        <v>51</v>
      </c>
      <c r="Q153" t="s">
        <v>52</v>
      </c>
      <c r="R153" t="s">
        <v>83</v>
      </c>
      <c r="S153" t="s">
        <v>69</v>
      </c>
      <c r="T153" t="s">
        <v>376</v>
      </c>
      <c r="U153" s="5">
        <v>32</v>
      </c>
      <c r="V153" s="5" t="s">
        <v>85</v>
      </c>
      <c r="W153" s="5">
        <v>38</v>
      </c>
      <c r="X153" s="5">
        <v>8</v>
      </c>
      <c r="Y153" s="5">
        <v>2</v>
      </c>
      <c r="Z153" s="5" t="s">
        <v>117</v>
      </c>
      <c r="AA153" s="6">
        <v>47.45</v>
      </c>
      <c r="AB153" s="8">
        <f t="shared" si="26"/>
        <v>65</v>
      </c>
      <c r="AC153" s="8">
        <f t="shared" si="27"/>
        <v>1.3</v>
      </c>
      <c r="AD153" s="8">
        <f t="shared" si="28"/>
        <v>63.7</v>
      </c>
      <c r="AE153" s="8">
        <f t="shared" si="29"/>
        <v>47.45</v>
      </c>
      <c r="AF153" s="8">
        <f t="shared" si="30"/>
        <v>16.25</v>
      </c>
      <c r="AG153" s="9">
        <f t="shared" si="31"/>
        <v>0.25510204081632654</v>
      </c>
      <c r="AH153" s="10">
        <f t="shared" si="32"/>
        <v>2025</v>
      </c>
      <c r="AI153" s="10">
        <f t="shared" si="33"/>
        <v>5</v>
      </c>
      <c r="AJ153" s="10" t="str">
        <f t="shared" si="34"/>
        <v>2025-05</v>
      </c>
      <c r="AK153" s="10" t="str">
        <f t="shared" si="35"/>
        <v>T2</v>
      </c>
      <c r="AL153" s="10" t="str">
        <f t="shared" si="36"/>
        <v>30-39</v>
      </c>
      <c r="AM153" s="10" t="str">
        <f t="shared" si="37"/>
        <v>bon</v>
      </c>
      <c r="AN153" s="10" t="s">
        <v>2838</v>
      </c>
      <c r="AO153" s="10" t="str">
        <f t="shared" si="38"/>
        <v>Faible</v>
      </c>
    </row>
    <row r="154" spans="1:41">
      <c r="A154" t="s">
        <v>694</v>
      </c>
      <c r="B154" s="2">
        <v>46021</v>
      </c>
      <c r="C154" t="s">
        <v>695</v>
      </c>
      <c r="D154" t="s">
        <v>333</v>
      </c>
      <c r="E154" t="s">
        <v>120</v>
      </c>
      <c r="F154" t="s">
        <v>328</v>
      </c>
      <c r="G154">
        <v>1</v>
      </c>
      <c r="H154" s="4">
        <v>65</v>
      </c>
      <c r="I154" s="3">
        <v>0</v>
      </c>
      <c r="J154" t="s">
        <v>77</v>
      </c>
      <c r="K154" t="s">
        <v>46</v>
      </c>
      <c r="L154" t="s">
        <v>696</v>
      </c>
      <c r="M154" t="s">
        <v>69</v>
      </c>
      <c r="N154" t="s">
        <v>101</v>
      </c>
      <c r="O154" t="s">
        <v>336</v>
      </c>
      <c r="P154" t="s">
        <v>51</v>
      </c>
      <c r="Q154" t="s">
        <v>52</v>
      </c>
      <c r="R154" t="s">
        <v>124</v>
      </c>
      <c r="S154" t="s">
        <v>48</v>
      </c>
      <c r="T154" t="s">
        <v>330</v>
      </c>
      <c r="U154" s="5">
        <v>27</v>
      </c>
      <c r="V154" s="5" t="s">
        <v>85</v>
      </c>
      <c r="W154" s="5">
        <v>25</v>
      </c>
      <c r="X154" s="5">
        <v>6</v>
      </c>
      <c r="Y154" s="5">
        <v>6</v>
      </c>
      <c r="Z154" s="5" t="s">
        <v>94</v>
      </c>
      <c r="AA154" s="6">
        <v>47.45</v>
      </c>
      <c r="AB154" s="8">
        <f t="shared" si="26"/>
        <v>65</v>
      </c>
      <c r="AC154" s="8">
        <f t="shared" si="27"/>
        <v>0</v>
      </c>
      <c r="AD154" s="8">
        <f t="shared" si="28"/>
        <v>65</v>
      </c>
      <c r="AE154" s="8">
        <f t="shared" si="29"/>
        <v>47.45</v>
      </c>
      <c r="AF154" s="8">
        <f t="shared" si="30"/>
        <v>17.549999999999997</v>
      </c>
      <c r="AG154" s="9">
        <f t="shared" si="31"/>
        <v>0.26999999999999996</v>
      </c>
      <c r="AH154" s="10">
        <f t="shared" si="32"/>
        <v>2025</v>
      </c>
      <c r="AI154" s="10">
        <f t="shared" si="33"/>
        <v>12</v>
      </c>
      <c r="AJ154" s="10" t="str">
        <f t="shared" si="34"/>
        <v>2025-12</v>
      </c>
      <c r="AK154" s="10" t="str">
        <f t="shared" si="35"/>
        <v>T4</v>
      </c>
      <c r="AL154" s="10" t="str">
        <f t="shared" si="36"/>
        <v>22-29</v>
      </c>
      <c r="AM154" s="10" t="str">
        <f t="shared" si="37"/>
        <v>moyen</v>
      </c>
      <c r="AN154" s="10" t="s">
        <v>2839</v>
      </c>
      <c r="AO154" s="10" t="str">
        <f t="shared" si="38"/>
        <v>Faible</v>
      </c>
    </row>
    <row r="155" spans="1:41">
      <c r="A155" t="s">
        <v>697</v>
      </c>
      <c r="B155" s="2">
        <v>45939</v>
      </c>
      <c r="C155" t="s">
        <v>698</v>
      </c>
      <c r="D155" t="s">
        <v>97</v>
      </c>
      <c r="E155" t="s">
        <v>129</v>
      </c>
      <c r="F155" t="s">
        <v>164</v>
      </c>
      <c r="G155">
        <v>2</v>
      </c>
      <c r="H155" s="4">
        <v>520</v>
      </c>
      <c r="I155" s="3">
        <v>0.08</v>
      </c>
      <c r="J155" t="s">
        <v>45</v>
      </c>
      <c r="K155" t="s">
        <v>46</v>
      </c>
      <c r="L155" t="s">
        <v>699</v>
      </c>
      <c r="M155" t="s">
        <v>69</v>
      </c>
      <c r="N155" t="s">
        <v>112</v>
      </c>
      <c r="O155" t="s">
        <v>102</v>
      </c>
      <c r="P155" t="s">
        <v>103</v>
      </c>
      <c r="Q155" t="s">
        <v>52</v>
      </c>
      <c r="R155" t="s">
        <v>134</v>
      </c>
      <c r="S155" t="s">
        <v>123</v>
      </c>
      <c r="T155" t="s">
        <v>168</v>
      </c>
      <c r="U155" s="5">
        <v>23</v>
      </c>
      <c r="V155" s="5" t="s">
        <v>56</v>
      </c>
      <c r="W155" s="5">
        <v>32</v>
      </c>
      <c r="X155" s="5">
        <v>7.4</v>
      </c>
      <c r="Y155" s="5">
        <v>4</v>
      </c>
      <c r="Z155" s="5" t="s">
        <v>94</v>
      </c>
      <c r="AA155" s="6">
        <v>348.4</v>
      </c>
      <c r="AB155" s="8">
        <f t="shared" si="26"/>
        <v>1040</v>
      </c>
      <c r="AC155" s="8">
        <f t="shared" si="27"/>
        <v>83.2</v>
      </c>
      <c r="AD155" s="8">
        <f t="shared" si="28"/>
        <v>956.8</v>
      </c>
      <c r="AE155" s="8">
        <f t="shared" si="29"/>
        <v>696.8</v>
      </c>
      <c r="AF155" s="8">
        <f t="shared" si="30"/>
        <v>260</v>
      </c>
      <c r="AG155" s="9">
        <f t="shared" si="31"/>
        <v>0.27173913043478259</v>
      </c>
      <c r="AH155" s="10">
        <f t="shared" si="32"/>
        <v>2025</v>
      </c>
      <c r="AI155" s="10">
        <f t="shared" si="33"/>
        <v>10</v>
      </c>
      <c r="AJ155" s="10" t="str">
        <f t="shared" si="34"/>
        <v>2025-10</v>
      </c>
      <c r="AK155" s="10" t="str">
        <f t="shared" si="35"/>
        <v>T4</v>
      </c>
      <c r="AL155" s="10" t="str">
        <f t="shared" si="36"/>
        <v>22-29</v>
      </c>
      <c r="AM155" s="10" t="str">
        <f t="shared" si="37"/>
        <v>bon</v>
      </c>
      <c r="AN155" s="10" t="s">
        <v>2839</v>
      </c>
      <c r="AO155" s="10" t="str">
        <f t="shared" si="38"/>
        <v>Moyenne</v>
      </c>
    </row>
    <row r="156" spans="1:41">
      <c r="A156" t="s">
        <v>700</v>
      </c>
      <c r="B156" s="2">
        <v>45713</v>
      </c>
      <c r="C156" t="s">
        <v>701</v>
      </c>
      <c r="D156" t="s">
        <v>148</v>
      </c>
      <c r="E156" t="s">
        <v>98</v>
      </c>
      <c r="F156" t="s">
        <v>388</v>
      </c>
      <c r="G156">
        <v>4</v>
      </c>
      <c r="H156" s="4">
        <v>110</v>
      </c>
      <c r="I156" s="3">
        <v>0</v>
      </c>
      <c r="J156" t="s">
        <v>45</v>
      </c>
      <c r="K156" t="s">
        <v>46</v>
      </c>
      <c r="L156" t="s">
        <v>702</v>
      </c>
      <c r="M156" t="s">
        <v>79</v>
      </c>
      <c r="N156" t="s">
        <v>112</v>
      </c>
      <c r="O156" t="s">
        <v>151</v>
      </c>
      <c r="P156" t="s">
        <v>103</v>
      </c>
      <c r="Q156" t="s">
        <v>114</v>
      </c>
      <c r="R156" t="s">
        <v>104</v>
      </c>
      <c r="S156" t="s">
        <v>79</v>
      </c>
      <c r="T156" t="s">
        <v>390</v>
      </c>
      <c r="U156" s="5">
        <v>58</v>
      </c>
      <c r="V156" s="5" t="s">
        <v>85</v>
      </c>
      <c r="W156" s="5">
        <v>12</v>
      </c>
      <c r="X156" s="5">
        <v>5.7</v>
      </c>
      <c r="Y156" s="5">
        <v>6</v>
      </c>
      <c r="Z156" s="5" t="s">
        <v>57</v>
      </c>
      <c r="AA156" s="6">
        <v>72.599999999999994</v>
      </c>
      <c r="AB156" s="8">
        <f t="shared" si="26"/>
        <v>440</v>
      </c>
      <c r="AC156" s="8">
        <f t="shared" si="27"/>
        <v>0</v>
      </c>
      <c r="AD156" s="8">
        <f t="shared" si="28"/>
        <v>440</v>
      </c>
      <c r="AE156" s="8">
        <f t="shared" si="29"/>
        <v>290.39999999999998</v>
      </c>
      <c r="AF156" s="8">
        <f t="shared" si="30"/>
        <v>149.60000000000002</v>
      </c>
      <c r="AG156" s="9">
        <f t="shared" si="31"/>
        <v>0.34</v>
      </c>
      <c r="AH156" s="10">
        <f t="shared" si="32"/>
        <v>2025</v>
      </c>
      <c r="AI156" s="10">
        <f t="shared" si="33"/>
        <v>2</v>
      </c>
      <c r="AJ156" s="10" t="str">
        <f t="shared" si="34"/>
        <v>2025-02</v>
      </c>
      <c r="AK156" s="10" t="str">
        <f t="shared" si="35"/>
        <v>T1</v>
      </c>
      <c r="AL156" s="10" t="str">
        <f t="shared" si="36"/>
        <v>50+</v>
      </c>
      <c r="AM156" s="10" t="str">
        <f t="shared" si="37"/>
        <v>moyen</v>
      </c>
      <c r="AN156" s="10" t="s">
        <v>2839</v>
      </c>
      <c r="AO156" s="10" t="str">
        <f t="shared" si="38"/>
        <v>Faible</v>
      </c>
    </row>
    <row r="157" spans="1:41">
      <c r="A157" t="s">
        <v>703</v>
      </c>
      <c r="B157" s="2">
        <v>45833</v>
      </c>
      <c r="C157" t="s">
        <v>704</v>
      </c>
      <c r="D157" t="s">
        <v>162</v>
      </c>
      <c r="E157" t="s">
        <v>219</v>
      </c>
      <c r="F157" t="s">
        <v>140</v>
      </c>
      <c r="G157">
        <v>2</v>
      </c>
      <c r="H157" s="4">
        <v>35</v>
      </c>
      <c r="I157" s="3">
        <v>0.05</v>
      </c>
      <c r="J157" t="s">
        <v>90</v>
      </c>
      <c r="K157" t="s">
        <v>46</v>
      </c>
      <c r="L157" t="s">
        <v>705</v>
      </c>
      <c r="M157" t="s">
        <v>48</v>
      </c>
      <c r="N157" t="s">
        <v>255</v>
      </c>
      <c r="O157" t="s">
        <v>166</v>
      </c>
      <c r="P157" t="s">
        <v>103</v>
      </c>
      <c r="Q157" t="s">
        <v>143</v>
      </c>
      <c r="R157" t="s">
        <v>222</v>
      </c>
      <c r="S157" t="s">
        <v>123</v>
      </c>
      <c r="T157" t="s">
        <v>145</v>
      </c>
      <c r="U157" s="5">
        <v>41</v>
      </c>
      <c r="V157" s="5" t="s">
        <v>56</v>
      </c>
      <c r="W157" s="5">
        <v>12</v>
      </c>
      <c r="X157" s="5">
        <v>6</v>
      </c>
      <c r="Y157" s="5">
        <v>6</v>
      </c>
      <c r="Z157" s="5" t="s">
        <v>71</v>
      </c>
      <c r="AA157" s="6">
        <v>24.15</v>
      </c>
      <c r="AB157" s="8">
        <f t="shared" si="26"/>
        <v>70</v>
      </c>
      <c r="AC157" s="8">
        <f t="shared" si="27"/>
        <v>3.5</v>
      </c>
      <c r="AD157" s="8">
        <f t="shared" si="28"/>
        <v>66.5</v>
      </c>
      <c r="AE157" s="8">
        <f t="shared" si="29"/>
        <v>48.3</v>
      </c>
      <c r="AF157" s="8">
        <f t="shared" si="30"/>
        <v>18.200000000000003</v>
      </c>
      <c r="AG157" s="9">
        <f t="shared" si="31"/>
        <v>0.27368421052631581</v>
      </c>
      <c r="AH157" s="10">
        <f t="shared" si="32"/>
        <v>2025</v>
      </c>
      <c r="AI157" s="10">
        <f t="shared" si="33"/>
        <v>6</v>
      </c>
      <c r="AJ157" s="10" t="str">
        <f t="shared" si="34"/>
        <v>2025-06</v>
      </c>
      <c r="AK157" s="10" t="str">
        <f t="shared" si="35"/>
        <v>T2</v>
      </c>
      <c r="AL157" s="10" t="str">
        <f t="shared" si="36"/>
        <v>40-49</v>
      </c>
      <c r="AM157" s="10" t="str">
        <f t="shared" si="37"/>
        <v>moyen</v>
      </c>
      <c r="AN157" s="10" t="s">
        <v>2839</v>
      </c>
      <c r="AO157" s="10" t="str">
        <f t="shared" si="38"/>
        <v>Faible</v>
      </c>
    </row>
    <row r="158" spans="1:41">
      <c r="A158" t="s">
        <v>706</v>
      </c>
      <c r="B158" s="2">
        <v>45877</v>
      </c>
      <c r="C158" t="s">
        <v>707</v>
      </c>
      <c r="D158" t="s">
        <v>74</v>
      </c>
      <c r="E158" t="s">
        <v>277</v>
      </c>
      <c r="F158" t="s">
        <v>434</v>
      </c>
      <c r="G158">
        <v>1</v>
      </c>
      <c r="H158" s="4">
        <v>95</v>
      </c>
      <c r="I158" s="3">
        <v>0</v>
      </c>
      <c r="J158" t="s">
        <v>45</v>
      </c>
      <c r="K158" t="s">
        <v>46</v>
      </c>
      <c r="L158" t="s">
        <v>708</v>
      </c>
      <c r="M158" t="s">
        <v>79</v>
      </c>
      <c r="N158" t="s">
        <v>112</v>
      </c>
      <c r="O158" t="s">
        <v>81</v>
      </c>
      <c r="P158" t="s">
        <v>82</v>
      </c>
      <c r="Q158" t="s">
        <v>52</v>
      </c>
      <c r="R158" t="s">
        <v>279</v>
      </c>
      <c r="S158" t="s">
        <v>54</v>
      </c>
      <c r="T158" t="s">
        <v>436</v>
      </c>
      <c r="U158" s="5">
        <v>43</v>
      </c>
      <c r="V158" s="5" t="s">
        <v>85</v>
      </c>
      <c r="W158" s="5">
        <v>23</v>
      </c>
      <c r="X158" s="5">
        <v>5.5</v>
      </c>
      <c r="Y158" s="5">
        <v>6</v>
      </c>
      <c r="Z158" s="5" t="s">
        <v>71</v>
      </c>
      <c r="AA158" s="6">
        <v>70.3</v>
      </c>
      <c r="AB158" s="8">
        <f t="shared" si="26"/>
        <v>95</v>
      </c>
      <c r="AC158" s="8">
        <f t="shared" si="27"/>
        <v>0</v>
      </c>
      <c r="AD158" s="8">
        <f t="shared" si="28"/>
        <v>95</v>
      </c>
      <c r="AE158" s="8">
        <f t="shared" si="29"/>
        <v>70.3</v>
      </c>
      <c r="AF158" s="8">
        <f t="shared" si="30"/>
        <v>24.700000000000003</v>
      </c>
      <c r="AG158" s="9">
        <f t="shared" si="31"/>
        <v>0.26</v>
      </c>
      <c r="AH158" s="10">
        <f t="shared" si="32"/>
        <v>2025</v>
      </c>
      <c r="AI158" s="10">
        <f t="shared" si="33"/>
        <v>8</v>
      </c>
      <c r="AJ158" s="10" t="str">
        <f t="shared" si="34"/>
        <v>2025-08</v>
      </c>
      <c r="AK158" s="10" t="str">
        <f t="shared" si="35"/>
        <v>T3</v>
      </c>
      <c r="AL158" s="10" t="str">
        <f t="shared" si="36"/>
        <v>40-49</v>
      </c>
      <c r="AM158" s="10" t="str">
        <f t="shared" si="37"/>
        <v>moyen</v>
      </c>
      <c r="AN158" s="10" t="s">
        <v>2839</v>
      </c>
      <c r="AO158" s="10" t="str">
        <f t="shared" si="38"/>
        <v>Faible</v>
      </c>
    </row>
    <row r="159" spans="1:41">
      <c r="A159" t="s">
        <v>709</v>
      </c>
      <c r="B159" s="2">
        <v>45877</v>
      </c>
      <c r="C159" t="s">
        <v>710</v>
      </c>
      <c r="D159" t="s">
        <v>340</v>
      </c>
      <c r="E159" t="s">
        <v>163</v>
      </c>
      <c r="F159" t="s">
        <v>424</v>
      </c>
      <c r="G159">
        <v>1</v>
      </c>
      <c r="H159" s="4">
        <v>22</v>
      </c>
      <c r="I159" s="3">
        <v>0.08</v>
      </c>
      <c r="J159" t="s">
        <v>90</v>
      </c>
      <c r="K159" t="s">
        <v>46</v>
      </c>
      <c r="L159" t="s">
        <v>711</v>
      </c>
      <c r="M159" t="s">
        <v>69</v>
      </c>
      <c r="N159" t="s">
        <v>255</v>
      </c>
      <c r="O159" t="s">
        <v>342</v>
      </c>
      <c r="P159" t="s">
        <v>103</v>
      </c>
      <c r="Q159" t="s">
        <v>143</v>
      </c>
      <c r="R159" t="s">
        <v>167</v>
      </c>
      <c r="S159" t="s">
        <v>123</v>
      </c>
      <c r="T159" t="s">
        <v>426</v>
      </c>
      <c r="U159" s="5">
        <v>33</v>
      </c>
      <c r="V159" s="5" t="s">
        <v>85</v>
      </c>
      <c r="W159" s="5">
        <v>50</v>
      </c>
      <c r="X159" s="5">
        <v>3.1</v>
      </c>
      <c r="Y159" s="5">
        <v>9</v>
      </c>
      <c r="Z159" s="5" t="s">
        <v>94</v>
      </c>
      <c r="AA159" s="6">
        <v>14.96</v>
      </c>
      <c r="AB159" s="8">
        <f t="shared" si="26"/>
        <v>22</v>
      </c>
      <c r="AC159" s="8">
        <f t="shared" si="27"/>
        <v>1.76</v>
      </c>
      <c r="AD159" s="8">
        <f t="shared" si="28"/>
        <v>20.239999999999998</v>
      </c>
      <c r="AE159" s="8">
        <f t="shared" si="29"/>
        <v>14.96</v>
      </c>
      <c r="AF159" s="8">
        <f t="shared" si="30"/>
        <v>5.2799999999999976</v>
      </c>
      <c r="AG159" s="9">
        <f t="shared" si="31"/>
        <v>0.26086956521739119</v>
      </c>
      <c r="AH159" s="10">
        <f t="shared" si="32"/>
        <v>2025</v>
      </c>
      <c r="AI159" s="10">
        <f t="shared" si="33"/>
        <v>8</v>
      </c>
      <c r="AJ159" s="10" t="str">
        <f t="shared" si="34"/>
        <v>2025-08</v>
      </c>
      <c r="AK159" s="10" t="str">
        <f t="shared" si="35"/>
        <v>T3</v>
      </c>
      <c r="AL159" s="10" t="str">
        <f t="shared" si="36"/>
        <v>30-39</v>
      </c>
      <c r="AM159" s="10" t="str">
        <f t="shared" si="37"/>
        <v>faible</v>
      </c>
      <c r="AN159" s="10" t="s">
        <v>2837</v>
      </c>
      <c r="AO159" s="10" t="str">
        <f t="shared" si="38"/>
        <v>Faible</v>
      </c>
    </row>
    <row r="160" spans="1:41">
      <c r="A160" t="s">
        <v>712</v>
      </c>
      <c r="B160" s="2">
        <v>45960</v>
      </c>
      <c r="C160" t="s">
        <v>713</v>
      </c>
      <c r="D160" t="s">
        <v>128</v>
      </c>
      <c r="E160" t="s">
        <v>88</v>
      </c>
      <c r="F160" t="s">
        <v>302</v>
      </c>
      <c r="G160">
        <v>3</v>
      </c>
      <c r="H160" s="4">
        <v>190</v>
      </c>
      <c r="I160" s="3">
        <v>0</v>
      </c>
      <c r="J160" t="s">
        <v>45</v>
      </c>
      <c r="K160" t="s">
        <v>46</v>
      </c>
      <c r="L160" t="s">
        <v>714</v>
      </c>
      <c r="M160" t="s">
        <v>69</v>
      </c>
      <c r="N160" t="s">
        <v>112</v>
      </c>
      <c r="O160" t="s">
        <v>132</v>
      </c>
      <c r="P160" t="s">
        <v>133</v>
      </c>
      <c r="Q160" t="s">
        <v>52</v>
      </c>
      <c r="R160" t="s">
        <v>92</v>
      </c>
      <c r="S160" t="s">
        <v>48</v>
      </c>
      <c r="T160" t="s">
        <v>304</v>
      </c>
      <c r="U160" s="5">
        <v>47</v>
      </c>
      <c r="V160" s="5" t="s">
        <v>56</v>
      </c>
      <c r="W160" s="5">
        <v>5</v>
      </c>
      <c r="X160" s="5">
        <v>8.1999999999999993</v>
      </c>
      <c r="Y160" s="5">
        <v>1</v>
      </c>
      <c r="Z160" s="5" t="s">
        <v>94</v>
      </c>
      <c r="AA160" s="6">
        <v>148.19999999999999</v>
      </c>
      <c r="AB160" s="8">
        <f t="shared" si="26"/>
        <v>570</v>
      </c>
      <c r="AC160" s="8">
        <f t="shared" si="27"/>
        <v>0</v>
      </c>
      <c r="AD160" s="8">
        <f t="shared" si="28"/>
        <v>570</v>
      </c>
      <c r="AE160" s="8">
        <f t="shared" si="29"/>
        <v>444.59999999999997</v>
      </c>
      <c r="AF160" s="8">
        <f t="shared" si="30"/>
        <v>125.40000000000003</v>
      </c>
      <c r="AG160" s="9">
        <f t="shared" si="31"/>
        <v>0.22000000000000006</v>
      </c>
      <c r="AH160" s="10">
        <f t="shared" si="32"/>
        <v>2025</v>
      </c>
      <c r="AI160" s="10">
        <f t="shared" si="33"/>
        <v>10</v>
      </c>
      <c r="AJ160" s="10" t="str">
        <f t="shared" si="34"/>
        <v>2025-10</v>
      </c>
      <c r="AK160" s="10" t="str">
        <f t="shared" si="35"/>
        <v>T4</v>
      </c>
      <c r="AL160" s="10" t="str">
        <f t="shared" si="36"/>
        <v>40-49</v>
      </c>
      <c r="AM160" s="10" t="str">
        <f t="shared" si="37"/>
        <v>bon</v>
      </c>
      <c r="AN160" s="10" t="s">
        <v>2838</v>
      </c>
      <c r="AO160" s="10" t="str">
        <f t="shared" si="38"/>
        <v>Moyenne</v>
      </c>
    </row>
    <row r="161" spans="1:41">
      <c r="A161" t="s">
        <v>715</v>
      </c>
      <c r="B161" s="2">
        <v>45732</v>
      </c>
      <c r="C161" t="s">
        <v>716</v>
      </c>
      <c r="D161" t="s">
        <v>188</v>
      </c>
      <c r="E161" t="s">
        <v>109</v>
      </c>
      <c r="F161" t="s">
        <v>202</v>
      </c>
      <c r="G161">
        <v>2</v>
      </c>
      <c r="H161" s="4">
        <v>350</v>
      </c>
      <c r="I161" s="3">
        <v>0.05</v>
      </c>
      <c r="J161" t="s">
        <v>45</v>
      </c>
      <c r="K161" t="s">
        <v>46</v>
      </c>
      <c r="L161" t="s">
        <v>717</v>
      </c>
      <c r="M161" t="s">
        <v>48</v>
      </c>
      <c r="N161" t="s">
        <v>101</v>
      </c>
      <c r="O161" t="s">
        <v>192</v>
      </c>
      <c r="P161" t="s">
        <v>51</v>
      </c>
      <c r="Q161" t="s">
        <v>114</v>
      </c>
      <c r="R161" t="s">
        <v>115</v>
      </c>
      <c r="S161" t="s">
        <v>65</v>
      </c>
      <c r="T161" t="s">
        <v>204</v>
      </c>
      <c r="U161" s="5">
        <v>29</v>
      </c>
      <c r="V161" s="5" t="s">
        <v>56</v>
      </c>
      <c r="W161" s="5">
        <v>14</v>
      </c>
      <c r="X161" s="5">
        <v>3.1</v>
      </c>
      <c r="Y161" s="5">
        <v>9</v>
      </c>
      <c r="Z161" s="5" t="s">
        <v>71</v>
      </c>
      <c r="AA161" s="6">
        <v>213.5</v>
      </c>
      <c r="AB161" s="8">
        <f t="shared" si="26"/>
        <v>700</v>
      </c>
      <c r="AC161" s="8">
        <f t="shared" si="27"/>
        <v>35</v>
      </c>
      <c r="AD161" s="8">
        <f t="shared" si="28"/>
        <v>665</v>
      </c>
      <c r="AE161" s="8">
        <f t="shared" si="29"/>
        <v>427</v>
      </c>
      <c r="AF161" s="8">
        <f t="shared" si="30"/>
        <v>238</v>
      </c>
      <c r="AG161" s="9">
        <f t="shared" si="31"/>
        <v>0.35789473684210527</v>
      </c>
      <c r="AH161" s="10">
        <f t="shared" si="32"/>
        <v>2025</v>
      </c>
      <c r="AI161" s="10">
        <f t="shared" si="33"/>
        <v>3</v>
      </c>
      <c r="AJ161" s="10" t="str">
        <f t="shared" si="34"/>
        <v>2025-03</v>
      </c>
      <c r="AK161" s="10" t="str">
        <f t="shared" si="35"/>
        <v>T1</v>
      </c>
      <c r="AL161" s="10" t="str">
        <f t="shared" si="36"/>
        <v>22-29</v>
      </c>
      <c r="AM161" s="10" t="str">
        <f t="shared" si="37"/>
        <v>faible</v>
      </c>
      <c r="AN161" s="10" t="s">
        <v>2837</v>
      </c>
      <c r="AO161" s="10" t="str">
        <f t="shared" si="38"/>
        <v>Moyenne</v>
      </c>
    </row>
    <row r="162" spans="1:41">
      <c r="A162" t="s">
        <v>718</v>
      </c>
      <c r="B162" s="2">
        <v>45814</v>
      </c>
      <c r="C162" t="s">
        <v>719</v>
      </c>
      <c r="D162" t="s">
        <v>148</v>
      </c>
      <c r="E162" t="s">
        <v>129</v>
      </c>
      <c r="F162" t="s">
        <v>297</v>
      </c>
      <c r="G162">
        <v>4</v>
      </c>
      <c r="H162" s="4">
        <v>110</v>
      </c>
      <c r="I162" s="3">
        <v>0</v>
      </c>
      <c r="J162" t="s">
        <v>45</v>
      </c>
      <c r="K162" t="s">
        <v>46</v>
      </c>
      <c r="L162" t="s">
        <v>720</v>
      </c>
      <c r="M162" t="s">
        <v>123</v>
      </c>
      <c r="N162" t="s">
        <v>80</v>
      </c>
      <c r="O162" t="s">
        <v>151</v>
      </c>
      <c r="P162" t="s">
        <v>103</v>
      </c>
      <c r="Q162" t="s">
        <v>114</v>
      </c>
      <c r="R162" t="s">
        <v>134</v>
      </c>
      <c r="S162" t="s">
        <v>123</v>
      </c>
      <c r="T162" t="s">
        <v>299</v>
      </c>
      <c r="U162" s="5">
        <v>31</v>
      </c>
      <c r="V162" s="5" t="s">
        <v>85</v>
      </c>
      <c r="W162" s="5">
        <v>44</v>
      </c>
      <c r="X162" s="5">
        <v>5.7</v>
      </c>
      <c r="Y162" s="5">
        <v>6</v>
      </c>
      <c r="Z162" s="5" t="s">
        <v>117</v>
      </c>
      <c r="AA162" s="6">
        <v>72.599999999999994</v>
      </c>
      <c r="AB162" s="8">
        <f t="shared" si="26"/>
        <v>440</v>
      </c>
      <c r="AC162" s="8">
        <f t="shared" si="27"/>
        <v>0</v>
      </c>
      <c r="AD162" s="8">
        <f t="shared" si="28"/>
        <v>440</v>
      </c>
      <c r="AE162" s="8">
        <f t="shared" si="29"/>
        <v>290.39999999999998</v>
      </c>
      <c r="AF162" s="8">
        <f t="shared" si="30"/>
        <v>149.60000000000002</v>
      </c>
      <c r="AG162" s="9">
        <f t="shared" si="31"/>
        <v>0.34</v>
      </c>
      <c r="AH162" s="10">
        <f t="shared" si="32"/>
        <v>2025</v>
      </c>
      <c r="AI162" s="10">
        <f t="shared" si="33"/>
        <v>6</v>
      </c>
      <c r="AJ162" s="10" t="str">
        <f t="shared" si="34"/>
        <v>2025-06</v>
      </c>
      <c r="AK162" s="10" t="str">
        <f t="shared" si="35"/>
        <v>T2</v>
      </c>
      <c r="AL162" s="10" t="str">
        <f t="shared" si="36"/>
        <v>30-39</v>
      </c>
      <c r="AM162" s="10" t="str">
        <f t="shared" si="37"/>
        <v>moyen</v>
      </c>
      <c r="AN162" s="10" t="s">
        <v>2839</v>
      </c>
      <c r="AO162" s="10" t="str">
        <f t="shared" si="38"/>
        <v>Faible</v>
      </c>
    </row>
    <row r="163" spans="1:41">
      <c r="A163" t="s">
        <v>721</v>
      </c>
      <c r="B163" s="2">
        <v>45987</v>
      </c>
      <c r="C163" t="s">
        <v>722</v>
      </c>
      <c r="D163" t="s">
        <v>188</v>
      </c>
      <c r="E163" t="s">
        <v>207</v>
      </c>
      <c r="F163" t="s">
        <v>190</v>
      </c>
      <c r="G163">
        <v>1</v>
      </c>
      <c r="H163" s="4">
        <v>350</v>
      </c>
      <c r="I163" s="3">
        <v>0</v>
      </c>
      <c r="J163" t="s">
        <v>77</v>
      </c>
      <c r="K163" t="s">
        <v>46</v>
      </c>
      <c r="L163" t="s">
        <v>723</v>
      </c>
      <c r="M163" t="s">
        <v>123</v>
      </c>
      <c r="N163" t="s">
        <v>112</v>
      </c>
      <c r="O163" t="s">
        <v>192</v>
      </c>
      <c r="P163" t="s">
        <v>51</v>
      </c>
      <c r="Q163" t="s">
        <v>114</v>
      </c>
      <c r="R163" t="s">
        <v>210</v>
      </c>
      <c r="S163" t="s">
        <v>79</v>
      </c>
      <c r="T163" t="s">
        <v>194</v>
      </c>
      <c r="U163" s="5">
        <v>30</v>
      </c>
      <c r="V163" s="5" t="s">
        <v>85</v>
      </c>
      <c r="W163" s="5">
        <v>35</v>
      </c>
      <c r="X163" s="5">
        <v>8.8000000000000007</v>
      </c>
      <c r="Y163" s="5">
        <v>1</v>
      </c>
      <c r="Z163" s="5" t="s">
        <v>94</v>
      </c>
      <c r="AA163" s="6">
        <v>213.5</v>
      </c>
      <c r="AB163" s="8">
        <f t="shared" si="26"/>
        <v>350</v>
      </c>
      <c r="AC163" s="8">
        <f t="shared" si="27"/>
        <v>0</v>
      </c>
      <c r="AD163" s="8">
        <f t="shared" si="28"/>
        <v>350</v>
      </c>
      <c r="AE163" s="8">
        <f t="shared" si="29"/>
        <v>213.5</v>
      </c>
      <c r="AF163" s="8">
        <f t="shared" si="30"/>
        <v>136.5</v>
      </c>
      <c r="AG163" s="9">
        <f t="shared" si="31"/>
        <v>0.39</v>
      </c>
      <c r="AH163" s="10">
        <f t="shared" si="32"/>
        <v>2025</v>
      </c>
      <c r="AI163" s="10">
        <f t="shared" si="33"/>
        <v>11</v>
      </c>
      <c r="AJ163" s="10" t="str">
        <f t="shared" si="34"/>
        <v>2025-11</v>
      </c>
      <c r="AK163" s="10" t="str">
        <f t="shared" si="35"/>
        <v>T4</v>
      </c>
      <c r="AL163" s="10" t="str">
        <f t="shared" si="36"/>
        <v>30-39</v>
      </c>
      <c r="AM163" s="10" t="str">
        <f t="shared" si="37"/>
        <v>bon</v>
      </c>
      <c r="AN163" s="10" t="s">
        <v>2838</v>
      </c>
      <c r="AO163" s="10" t="str">
        <f t="shared" si="38"/>
        <v>Faible</v>
      </c>
    </row>
    <row r="164" spans="1:41">
      <c r="A164" t="s">
        <v>724</v>
      </c>
      <c r="B164" s="2">
        <v>45682</v>
      </c>
      <c r="C164" t="s">
        <v>725</v>
      </c>
      <c r="D164" t="s">
        <v>333</v>
      </c>
      <c r="E164" t="s">
        <v>163</v>
      </c>
      <c r="F164" t="s">
        <v>361</v>
      </c>
      <c r="G164">
        <v>1</v>
      </c>
      <c r="H164" s="4">
        <v>65</v>
      </c>
      <c r="I164" s="3">
        <v>0</v>
      </c>
      <c r="J164" t="s">
        <v>90</v>
      </c>
      <c r="K164" t="s">
        <v>46</v>
      </c>
      <c r="L164" t="s">
        <v>726</v>
      </c>
      <c r="M164" t="s">
        <v>48</v>
      </c>
      <c r="N164" t="s">
        <v>80</v>
      </c>
      <c r="O164" t="s">
        <v>336</v>
      </c>
      <c r="P164" t="s">
        <v>51</v>
      </c>
      <c r="Q164" t="s">
        <v>52</v>
      </c>
      <c r="R164" t="s">
        <v>167</v>
      </c>
      <c r="S164" t="s">
        <v>123</v>
      </c>
      <c r="T164" t="s">
        <v>363</v>
      </c>
      <c r="U164" s="5">
        <v>47</v>
      </c>
      <c r="V164" s="5" t="s">
        <v>56</v>
      </c>
      <c r="W164" s="5">
        <v>33</v>
      </c>
      <c r="X164" s="5">
        <v>8.6</v>
      </c>
      <c r="Y164" s="5">
        <v>1</v>
      </c>
      <c r="Z164" s="5" t="s">
        <v>94</v>
      </c>
      <c r="AA164" s="6">
        <v>47.45</v>
      </c>
      <c r="AB164" s="8">
        <f t="shared" si="26"/>
        <v>65</v>
      </c>
      <c r="AC164" s="8">
        <f t="shared" si="27"/>
        <v>0</v>
      </c>
      <c r="AD164" s="8">
        <f t="shared" si="28"/>
        <v>65</v>
      </c>
      <c r="AE164" s="8">
        <f t="shared" si="29"/>
        <v>47.45</v>
      </c>
      <c r="AF164" s="8">
        <f t="shared" si="30"/>
        <v>17.549999999999997</v>
      </c>
      <c r="AG164" s="9">
        <f t="shared" si="31"/>
        <v>0.26999999999999996</v>
      </c>
      <c r="AH164" s="10">
        <f t="shared" si="32"/>
        <v>2025</v>
      </c>
      <c r="AI164" s="10">
        <f t="shared" si="33"/>
        <v>1</v>
      </c>
      <c r="AJ164" s="10" t="str">
        <f t="shared" si="34"/>
        <v>2025-01</v>
      </c>
      <c r="AK164" s="10" t="str">
        <f t="shared" si="35"/>
        <v>T1</v>
      </c>
      <c r="AL164" s="10" t="str">
        <f t="shared" si="36"/>
        <v>40-49</v>
      </c>
      <c r="AM164" s="10" t="str">
        <f t="shared" si="37"/>
        <v>bon</v>
      </c>
      <c r="AN164" s="10" t="s">
        <v>2838</v>
      </c>
      <c r="AO164" s="10" t="str">
        <f t="shared" si="38"/>
        <v>Faible</v>
      </c>
    </row>
    <row r="165" spans="1:41">
      <c r="A165" t="s">
        <v>727</v>
      </c>
      <c r="B165" s="2">
        <v>45801</v>
      </c>
      <c r="C165" t="s">
        <v>728</v>
      </c>
      <c r="D165" t="s">
        <v>181</v>
      </c>
      <c r="E165" t="s">
        <v>43</v>
      </c>
      <c r="F165" t="s">
        <v>676</v>
      </c>
      <c r="G165">
        <v>6</v>
      </c>
      <c r="H165" s="4">
        <v>145</v>
      </c>
      <c r="I165" s="3">
        <v>0</v>
      </c>
      <c r="J165" t="s">
        <v>63</v>
      </c>
      <c r="K165" t="s">
        <v>46</v>
      </c>
      <c r="L165" t="s">
        <v>729</v>
      </c>
      <c r="M165" t="s">
        <v>123</v>
      </c>
      <c r="N165" t="s">
        <v>101</v>
      </c>
      <c r="O165" t="s">
        <v>184</v>
      </c>
      <c r="P165" t="s">
        <v>103</v>
      </c>
      <c r="Q165" t="s">
        <v>52</v>
      </c>
      <c r="R165" t="s">
        <v>53</v>
      </c>
      <c r="S165" t="s">
        <v>54</v>
      </c>
      <c r="T165" t="s">
        <v>678</v>
      </c>
      <c r="U165" s="5">
        <v>40</v>
      </c>
      <c r="V165" s="5" t="s">
        <v>85</v>
      </c>
      <c r="W165" s="5">
        <v>72</v>
      </c>
      <c r="X165" s="5">
        <v>8.6</v>
      </c>
      <c r="Y165" s="5">
        <v>1</v>
      </c>
      <c r="Z165" s="5" t="s">
        <v>94</v>
      </c>
      <c r="AA165" s="6">
        <v>97.15</v>
      </c>
      <c r="AB165" s="8">
        <f t="shared" si="26"/>
        <v>870</v>
      </c>
      <c r="AC165" s="8">
        <f t="shared" si="27"/>
        <v>0</v>
      </c>
      <c r="AD165" s="8">
        <f t="shared" si="28"/>
        <v>870</v>
      </c>
      <c r="AE165" s="8">
        <f t="shared" si="29"/>
        <v>582.90000000000009</v>
      </c>
      <c r="AF165" s="8">
        <f t="shared" si="30"/>
        <v>287.09999999999991</v>
      </c>
      <c r="AG165" s="9">
        <f t="shared" si="31"/>
        <v>0.3299999999999999</v>
      </c>
      <c r="AH165" s="10">
        <f t="shared" si="32"/>
        <v>2025</v>
      </c>
      <c r="AI165" s="10">
        <f t="shared" si="33"/>
        <v>5</v>
      </c>
      <c r="AJ165" s="10" t="str">
        <f t="shared" si="34"/>
        <v>2025-05</v>
      </c>
      <c r="AK165" s="10" t="str">
        <f t="shared" si="35"/>
        <v>T2</v>
      </c>
      <c r="AL165" s="10" t="str">
        <f t="shared" si="36"/>
        <v>40-49</v>
      </c>
      <c r="AM165" s="10" t="str">
        <f t="shared" si="37"/>
        <v>bon</v>
      </c>
      <c r="AN165" s="10" t="s">
        <v>2838</v>
      </c>
      <c r="AO165" s="10" t="str">
        <f t="shared" si="38"/>
        <v>Moyenne</v>
      </c>
    </row>
    <row r="166" spans="1:41">
      <c r="A166" t="s">
        <v>730</v>
      </c>
      <c r="B166" s="2">
        <v>45715</v>
      </c>
      <c r="C166" t="s">
        <v>731</v>
      </c>
      <c r="D166" t="s">
        <v>60</v>
      </c>
      <c r="E166" t="s">
        <v>189</v>
      </c>
      <c r="F166" t="s">
        <v>220</v>
      </c>
      <c r="G166">
        <v>1</v>
      </c>
      <c r="H166" s="4">
        <v>180</v>
      </c>
      <c r="I166" s="3">
        <v>0</v>
      </c>
      <c r="J166" t="s">
        <v>45</v>
      </c>
      <c r="K166" t="s">
        <v>46</v>
      </c>
      <c r="L166" t="s">
        <v>732</v>
      </c>
      <c r="M166" t="s">
        <v>69</v>
      </c>
      <c r="N166" t="s">
        <v>112</v>
      </c>
      <c r="O166" t="s">
        <v>66</v>
      </c>
      <c r="P166" t="s">
        <v>67</v>
      </c>
      <c r="Q166" t="s">
        <v>52</v>
      </c>
      <c r="R166" t="s">
        <v>193</v>
      </c>
      <c r="S166" t="s">
        <v>79</v>
      </c>
      <c r="T166" t="s">
        <v>223</v>
      </c>
      <c r="U166" s="5">
        <v>38</v>
      </c>
      <c r="V166" s="5" t="s">
        <v>85</v>
      </c>
      <c r="W166" s="5">
        <v>14</v>
      </c>
      <c r="X166" s="5">
        <v>3.6</v>
      </c>
      <c r="Y166" s="5">
        <v>9</v>
      </c>
      <c r="Z166" s="5" t="s">
        <v>94</v>
      </c>
      <c r="AA166" s="6">
        <v>129.6</v>
      </c>
      <c r="AB166" s="8">
        <f t="shared" si="26"/>
        <v>180</v>
      </c>
      <c r="AC166" s="8">
        <f t="shared" si="27"/>
        <v>0</v>
      </c>
      <c r="AD166" s="8">
        <f t="shared" si="28"/>
        <v>180</v>
      </c>
      <c r="AE166" s="8">
        <f t="shared" si="29"/>
        <v>129.6</v>
      </c>
      <c r="AF166" s="8">
        <f t="shared" si="30"/>
        <v>50.400000000000006</v>
      </c>
      <c r="AG166" s="9">
        <f t="shared" si="31"/>
        <v>0.28000000000000003</v>
      </c>
      <c r="AH166" s="10">
        <f t="shared" si="32"/>
        <v>2025</v>
      </c>
      <c r="AI166" s="10">
        <f t="shared" si="33"/>
        <v>2</v>
      </c>
      <c r="AJ166" s="10" t="str">
        <f t="shared" si="34"/>
        <v>2025-02</v>
      </c>
      <c r="AK166" s="10" t="str">
        <f t="shared" si="35"/>
        <v>T1</v>
      </c>
      <c r="AL166" s="10" t="str">
        <f t="shared" si="36"/>
        <v>30-39</v>
      </c>
      <c r="AM166" s="10" t="str">
        <f t="shared" si="37"/>
        <v>faible</v>
      </c>
      <c r="AN166" s="10" t="s">
        <v>2837</v>
      </c>
      <c r="AO166" s="10" t="str">
        <f t="shared" si="38"/>
        <v>Faible</v>
      </c>
    </row>
    <row r="167" spans="1:41">
      <c r="A167" t="s">
        <v>733</v>
      </c>
      <c r="B167" s="2">
        <v>45799</v>
      </c>
      <c r="C167" t="s">
        <v>734</v>
      </c>
      <c r="D167" t="s">
        <v>60</v>
      </c>
      <c r="E167" t="s">
        <v>163</v>
      </c>
      <c r="F167" t="s">
        <v>292</v>
      </c>
      <c r="G167">
        <v>1</v>
      </c>
      <c r="H167" s="4">
        <v>180</v>
      </c>
      <c r="I167" s="3">
        <v>0.02</v>
      </c>
      <c r="J167" t="s">
        <v>90</v>
      </c>
      <c r="K167" t="s">
        <v>46</v>
      </c>
      <c r="L167" t="s">
        <v>735</v>
      </c>
      <c r="M167" t="s">
        <v>123</v>
      </c>
      <c r="N167" t="s">
        <v>80</v>
      </c>
      <c r="O167" t="s">
        <v>66</v>
      </c>
      <c r="P167" t="s">
        <v>67</v>
      </c>
      <c r="Q167" t="s">
        <v>52</v>
      </c>
      <c r="R167" t="s">
        <v>167</v>
      </c>
      <c r="S167" t="s">
        <v>123</v>
      </c>
      <c r="T167" t="s">
        <v>294</v>
      </c>
      <c r="U167" s="5">
        <v>53</v>
      </c>
      <c r="V167" s="5" t="s">
        <v>85</v>
      </c>
      <c r="W167" s="5">
        <v>30</v>
      </c>
      <c r="X167" s="5">
        <v>5.3</v>
      </c>
      <c r="Y167" s="5">
        <v>6</v>
      </c>
      <c r="Z167" s="5" t="s">
        <v>57</v>
      </c>
      <c r="AA167" s="6">
        <v>129.6</v>
      </c>
      <c r="AB167" s="8">
        <f t="shared" si="26"/>
        <v>180</v>
      </c>
      <c r="AC167" s="8">
        <f t="shared" si="27"/>
        <v>3.6</v>
      </c>
      <c r="AD167" s="8">
        <f t="shared" si="28"/>
        <v>176.4</v>
      </c>
      <c r="AE167" s="8">
        <f t="shared" si="29"/>
        <v>129.6</v>
      </c>
      <c r="AF167" s="8">
        <f t="shared" si="30"/>
        <v>46.800000000000011</v>
      </c>
      <c r="AG167" s="9">
        <f t="shared" si="31"/>
        <v>0.26530612244897966</v>
      </c>
      <c r="AH167" s="10">
        <f t="shared" si="32"/>
        <v>2025</v>
      </c>
      <c r="AI167" s="10">
        <f t="shared" si="33"/>
        <v>5</v>
      </c>
      <c r="AJ167" s="10" t="str">
        <f t="shared" si="34"/>
        <v>2025-05</v>
      </c>
      <c r="AK167" s="10" t="str">
        <f t="shared" si="35"/>
        <v>T2</v>
      </c>
      <c r="AL167" s="10" t="str">
        <f t="shared" si="36"/>
        <v>50+</v>
      </c>
      <c r="AM167" s="10" t="str">
        <f t="shared" si="37"/>
        <v>moyen</v>
      </c>
      <c r="AN167" s="10" t="s">
        <v>2839</v>
      </c>
      <c r="AO167" s="10" t="str">
        <f t="shared" si="38"/>
        <v>Faible</v>
      </c>
    </row>
    <row r="168" spans="1:41">
      <c r="A168" t="s">
        <v>736</v>
      </c>
      <c r="B168" s="2">
        <v>45900</v>
      </c>
      <c r="C168" t="s">
        <v>737</v>
      </c>
      <c r="D168" t="s">
        <v>108</v>
      </c>
      <c r="E168" t="s">
        <v>43</v>
      </c>
      <c r="F168" t="s">
        <v>99</v>
      </c>
      <c r="G168">
        <v>20</v>
      </c>
      <c r="H168" s="4">
        <v>240</v>
      </c>
      <c r="I168" s="3">
        <v>0</v>
      </c>
      <c r="J168" t="s">
        <v>45</v>
      </c>
      <c r="K168" t="s">
        <v>46</v>
      </c>
      <c r="L168" t="s">
        <v>738</v>
      </c>
      <c r="M168" t="s">
        <v>48</v>
      </c>
      <c r="N168" t="s">
        <v>101</v>
      </c>
      <c r="O168" t="s">
        <v>113</v>
      </c>
      <c r="P168" t="s">
        <v>82</v>
      </c>
      <c r="Q168" t="s">
        <v>114</v>
      </c>
      <c r="R168" t="s">
        <v>53</v>
      </c>
      <c r="S168" t="s">
        <v>54</v>
      </c>
      <c r="T168" t="s">
        <v>105</v>
      </c>
      <c r="U168" s="5">
        <v>54</v>
      </c>
      <c r="V168" s="5" t="s">
        <v>56</v>
      </c>
      <c r="W168" s="5">
        <v>44</v>
      </c>
      <c r="X168" s="5">
        <v>5.6</v>
      </c>
      <c r="Y168" s="5">
        <v>7</v>
      </c>
      <c r="Z168" s="5" t="s">
        <v>57</v>
      </c>
      <c r="AA168" s="6">
        <v>177.6</v>
      </c>
      <c r="AB168" s="8">
        <f t="shared" si="26"/>
        <v>4800</v>
      </c>
      <c r="AC168" s="8">
        <f t="shared" si="27"/>
        <v>0</v>
      </c>
      <c r="AD168" s="8">
        <f t="shared" si="28"/>
        <v>4800</v>
      </c>
      <c r="AE168" s="8">
        <f t="shared" si="29"/>
        <v>3552</v>
      </c>
      <c r="AF168" s="8">
        <f t="shared" si="30"/>
        <v>1248</v>
      </c>
      <c r="AG168" s="9">
        <f t="shared" si="31"/>
        <v>0.26</v>
      </c>
      <c r="AH168" s="10">
        <f t="shared" si="32"/>
        <v>2025</v>
      </c>
      <c r="AI168" s="10">
        <f t="shared" si="33"/>
        <v>8</v>
      </c>
      <c r="AJ168" s="10" t="str">
        <f t="shared" si="34"/>
        <v>2025-08</v>
      </c>
      <c r="AK168" s="10" t="str">
        <f t="shared" si="35"/>
        <v>T3</v>
      </c>
      <c r="AL168" s="10" t="str">
        <f t="shared" si="36"/>
        <v>50+</v>
      </c>
      <c r="AM168" s="10" t="str">
        <f t="shared" si="37"/>
        <v>moyen</v>
      </c>
      <c r="AN168" s="10" t="s">
        <v>2837</v>
      </c>
      <c r="AO168" s="10" t="str">
        <f t="shared" si="38"/>
        <v>Elevée</v>
      </c>
    </row>
    <row r="169" spans="1:41">
      <c r="A169" t="s">
        <v>739</v>
      </c>
      <c r="B169" s="2">
        <v>45787</v>
      </c>
      <c r="C169" t="s">
        <v>740</v>
      </c>
      <c r="D169" t="s">
        <v>333</v>
      </c>
      <c r="E169" t="s">
        <v>61</v>
      </c>
      <c r="F169" t="s">
        <v>502</v>
      </c>
      <c r="G169">
        <v>5</v>
      </c>
      <c r="H169" s="4">
        <v>65</v>
      </c>
      <c r="I169" s="3">
        <v>0.1</v>
      </c>
      <c r="J169" t="s">
        <v>77</v>
      </c>
      <c r="K169" t="s">
        <v>46</v>
      </c>
      <c r="L169" t="s">
        <v>741</v>
      </c>
      <c r="M169" t="s">
        <v>54</v>
      </c>
      <c r="N169" t="s">
        <v>255</v>
      </c>
      <c r="O169" t="s">
        <v>336</v>
      </c>
      <c r="P169" t="s">
        <v>51</v>
      </c>
      <c r="Q169" t="s">
        <v>52</v>
      </c>
      <c r="R169" t="s">
        <v>68</v>
      </c>
      <c r="S169" t="s">
        <v>69</v>
      </c>
      <c r="T169" t="s">
        <v>504</v>
      </c>
      <c r="U169" s="5">
        <v>60</v>
      </c>
      <c r="V169" s="5" t="s">
        <v>85</v>
      </c>
      <c r="W169" s="5">
        <v>55</v>
      </c>
      <c r="X169" s="5">
        <v>8.4</v>
      </c>
      <c r="Y169" s="5">
        <v>1</v>
      </c>
      <c r="Z169" s="5" t="s">
        <v>71</v>
      </c>
      <c r="AA169" s="6">
        <v>47.45</v>
      </c>
      <c r="AB169" s="8">
        <f t="shared" si="26"/>
        <v>325</v>
      </c>
      <c r="AC169" s="8">
        <f t="shared" si="27"/>
        <v>32.5</v>
      </c>
      <c r="AD169" s="8">
        <f t="shared" si="28"/>
        <v>292.5</v>
      </c>
      <c r="AE169" s="8">
        <f t="shared" si="29"/>
        <v>237.25</v>
      </c>
      <c r="AF169" s="8">
        <f t="shared" si="30"/>
        <v>55.25</v>
      </c>
      <c r="AG169" s="9">
        <f t="shared" si="31"/>
        <v>0.18888888888888888</v>
      </c>
      <c r="AH169" s="10">
        <f t="shared" si="32"/>
        <v>2025</v>
      </c>
      <c r="AI169" s="10">
        <f t="shared" si="33"/>
        <v>5</v>
      </c>
      <c r="AJ169" s="10" t="str">
        <f t="shared" si="34"/>
        <v>2025-05</v>
      </c>
      <c r="AK169" s="10" t="str">
        <f t="shared" si="35"/>
        <v>T2</v>
      </c>
      <c r="AL169" s="10" t="str">
        <f t="shared" si="36"/>
        <v>50+</v>
      </c>
      <c r="AM169" s="10" t="str">
        <f t="shared" si="37"/>
        <v>bon</v>
      </c>
      <c r="AN169" s="10" t="s">
        <v>2838</v>
      </c>
      <c r="AO169" s="10" t="str">
        <f t="shared" si="38"/>
        <v>Faible</v>
      </c>
    </row>
    <row r="170" spans="1:41">
      <c r="A170" t="s">
        <v>742</v>
      </c>
      <c r="B170" s="2">
        <v>45905</v>
      </c>
      <c r="C170" t="s">
        <v>743</v>
      </c>
      <c r="D170" t="s">
        <v>97</v>
      </c>
      <c r="E170" t="s">
        <v>129</v>
      </c>
      <c r="F170" t="s">
        <v>282</v>
      </c>
      <c r="G170">
        <v>2</v>
      </c>
      <c r="H170" s="4">
        <v>520</v>
      </c>
      <c r="I170" s="3">
        <v>0.05</v>
      </c>
      <c r="J170" t="s">
        <v>90</v>
      </c>
      <c r="K170" t="s">
        <v>46</v>
      </c>
      <c r="L170" t="s">
        <v>744</v>
      </c>
      <c r="M170" t="s">
        <v>69</v>
      </c>
      <c r="N170" t="s">
        <v>101</v>
      </c>
      <c r="O170" t="s">
        <v>102</v>
      </c>
      <c r="P170" t="s">
        <v>103</v>
      </c>
      <c r="Q170" t="s">
        <v>52</v>
      </c>
      <c r="R170" t="s">
        <v>134</v>
      </c>
      <c r="S170" t="s">
        <v>123</v>
      </c>
      <c r="T170" t="s">
        <v>284</v>
      </c>
      <c r="U170" s="5">
        <v>41</v>
      </c>
      <c r="V170" s="5" t="s">
        <v>56</v>
      </c>
      <c r="W170" s="5">
        <v>36</v>
      </c>
      <c r="X170" s="5">
        <v>5</v>
      </c>
      <c r="Y170" s="5">
        <v>8</v>
      </c>
      <c r="Z170" s="5" t="s">
        <v>57</v>
      </c>
      <c r="AA170" s="6">
        <v>348.4</v>
      </c>
      <c r="AB170" s="8">
        <f t="shared" si="26"/>
        <v>1040</v>
      </c>
      <c r="AC170" s="8">
        <f t="shared" si="27"/>
        <v>52</v>
      </c>
      <c r="AD170" s="8">
        <f t="shared" si="28"/>
        <v>988</v>
      </c>
      <c r="AE170" s="8">
        <f t="shared" si="29"/>
        <v>696.8</v>
      </c>
      <c r="AF170" s="8">
        <f t="shared" si="30"/>
        <v>291.20000000000005</v>
      </c>
      <c r="AG170" s="9">
        <f t="shared" si="31"/>
        <v>0.29473684210526319</v>
      </c>
      <c r="AH170" s="10">
        <f t="shared" si="32"/>
        <v>2025</v>
      </c>
      <c r="AI170" s="10">
        <f t="shared" si="33"/>
        <v>9</v>
      </c>
      <c r="AJ170" s="10" t="str">
        <f t="shared" si="34"/>
        <v>2025-09</v>
      </c>
      <c r="AK170" s="10" t="str">
        <f t="shared" si="35"/>
        <v>T3</v>
      </c>
      <c r="AL170" s="10" t="str">
        <f t="shared" si="36"/>
        <v>40-49</v>
      </c>
      <c r="AM170" s="10" t="str">
        <f t="shared" si="37"/>
        <v>moyen</v>
      </c>
      <c r="AN170" s="10" t="s">
        <v>2837</v>
      </c>
      <c r="AO170" s="10" t="str">
        <f t="shared" si="38"/>
        <v>Moyenne</v>
      </c>
    </row>
    <row r="171" spans="1:41">
      <c r="A171" t="s">
        <v>745</v>
      </c>
      <c r="B171" s="2">
        <v>45947</v>
      </c>
      <c r="C171" t="s">
        <v>746</v>
      </c>
      <c r="D171" t="s">
        <v>42</v>
      </c>
      <c r="E171" t="s">
        <v>43</v>
      </c>
      <c r="F171" t="s">
        <v>413</v>
      </c>
      <c r="G171">
        <v>1</v>
      </c>
      <c r="H171" s="4">
        <v>260</v>
      </c>
      <c r="I171" s="3">
        <v>0.08</v>
      </c>
      <c r="J171" t="s">
        <v>45</v>
      </c>
      <c r="K171" t="s">
        <v>46</v>
      </c>
      <c r="L171" t="s">
        <v>747</v>
      </c>
      <c r="M171" t="s">
        <v>54</v>
      </c>
      <c r="N171" t="s">
        <v>80</v>
      </c>
      <c r="O171" t="s">
        <v>50</v>
      </c>
      <c r="P171" t="s">
        <v>51</v>
      </c>
      <c r="Q171" t="s">
        <v>52</v>
      </c>
      <c r="R171" t="s">
        <v>53</v>
      </c>
      <c r="S171" t="s">
        <v>54</v>
      </c>
      <c r="T171" t="s">
        <v>415</v>
      </c>
      <c r="U171" s="5">
        <v>56</v>
      </c>
      <c r="V171" s="5" t="s">
        <v>85</v>
      </c>
      <c r="W171" s="5">
        <v>33</v>
      </c>
      <c r="X171" s="5">
        <v>4.0999999999999996</v>
      </c>
      <c r="Y171" s="5">
        <v>7</v>
      </c>
      <c r="Z171" s="5" t="s">
        <v>71</v>
      </c>
      <c r="AA171" s="6">
        <v>189.8</v>
      </c>
      <c r="AB171" s="8">
        <f t="shared" si="26"/>
        <v>260</v>
      </c>
      <c r="AC171" s="8">
        <f t="shared" si="27"/>
        <v>20.8</v>
      </c>
      <c r="AD171" s="8">
        <f t="shared" si="28"/>
        <v>239.2</v>
      </c>
      <c r="AE171" s="8">
        <f t="shared" si="29"/>
        <v>189.8</v>
      </c>
      <c r="AF171" s="8">
        <f t="shared" si="30"/>
        <v>49.399999999999977</v>
      </c>
      <c r="AG171" s="9">
        <f t="shared" si="31"/>
        <v>0.2065217391304347</v>
      </c>
      <c r="AH171" s="10">
        <f t="shared" si="32"/>
        <v>2025</v>
      </c>
      <c r="AI171" s="10">
        <f t="shared" si="33"/>
        <v>10</v>
      </c>
      <c r="AJ171" s="10" t="str">
        <f t="shared" si="34"/>
        <v>2025-10</v>
      </c>
      <c r="AK171" s="10" t="str">
        <f t="shared" si="35"/>
        <v>T4</v>
      </c>
      <c r="AL171" s="10" t="str">
        <f t="shared" si="36"/>
        <v>50+</v>
      </c>
      <c r="AM171" s="10" t="str">
        <f t="shared" si="37"/>
        <v>faible</v>
      </c>
      <c r="AN171" s="10" t="s">
        <v>2837</v>
      </c>
      <c r="AO171" s="10" t="str">
        <f t="shared" si="38"/>
        <v>Faible</v>
      </c>
    </row>
    <row r="172" spans="1:41">
      <c r="A172" t="s">
        <v>748</v>
      </c>
      <c r="B172" s="2">
        <v>45920</v>
      </c>
      <c r="C172" t="s">
        <v>749</v>
      </c>
      <c r="D172" t="s">
        <v>272</v>
      </c>
      <c r="E172" t="s">
        <v>61</v>
      </c>
      <c r="F172" t="s">
        <v>548</v>
      </c>
      <c r="G172">
        <v>10</v>
      </c>
      <c r="H172" s="4">
        <v>420</v>
      </c>
      <c r="I172" s="3">
        <v>0</v>
      </c>
      <c r="J172" t="s">
        <v>63</v>
      </c>
      <c r="K172" t="s">
        <v>46</v>
      </c>
      <c r="L172" t="s">
        <v>750</v>
      </c>
      <c r="M172" t="s">
        <v>54</v>
      </c>
      <c r="N172" t="s">
        <v>49</v>
      </c>
      <c r="O172" t="s">
        <v>274</v>
      </c>
      <c r="P172" t="s">
        <v>133</v>
      </c>
      <c r="Q172" t="s">
        <v>114</v>
      </c>
      <c r="R172" t="s">
        <v>68</v>
      </c>
      <c r="S172" t="s">
        <v>69</v>
      </c>
      <c r="T172" t="s">
        <v>550</v>
      </c>
      <c r="U172" s="5">
        <v>37</v>
      </c>
      <c r="V172" s="5" t="s">
        <v>85</v>
      </c>
      <c r="W172" s="5">
        <v>4</v>
      </c>
      <c r="X172" s="5">
        <v>4.9000000000000004</v>
      </c>
      <c r="Y172" s="5">
        <v>7</v>
      </c>
      <c r="Z172" s="5" t="s">
        <v>71</v>
      </c>
      <c r="AA172" s="6">
        <v>273</v>
      </c>
      <c r="AB172" s="8">
        <f t="shared" si="26"/>
        <v>4200</v>
      </c>
      <c r="AC172" s="8">
        <f t="shared" si="27"/>
        <v>0</v>
      </c>
      <c r="AD172" s="8">
        <f t="shared" si="28"/>
        <v>4200</v>
      </c>
      <c r="AE172" s="8">
        <f t="shared" si="29"/>
        <v>2730</v>
      </c>
      <c r="AF172" s="8">
        <f t="shared" si="30"/>
        <v>1470</v>
      </c>
      <c r="AG172" s="9">
        <f t="shared" si="31"/>
        <v>0.35</v>
      </c>
      <c r="AH172" s="10">
        <f t="shared" si="32"/>
        <v>2025</v>
      </c>
      <c r="AI172" s="10">
        <f t="shared" si="33"/>
        <v>9</v>
      </c>
      <c r="AJ172" s="10" t="str">
        <f t="shared" si="34"/>
        <v>2025-09</v>
      </c>
      <c r="AK172" s="10" t="str">
        <f t="shared" si="35"/>
        <v>T3</v>
      </c>
      <c r="AL172" s="10" t="str">
        <f t="shared" si="36"/>
        <v>30-39</v>
      </c>
      <c r="AM172" s="10" t="str">
        <f t="shared" si="37"/>
        <v>faible</v>
      </c>
      <c r="AN172" s="10" t="s">
        <v>2837</v>
      </c>
      <c r="AO172" s="10" t="str">
        <f t="shared" si="38"/>
        <v>Elevée</v>
      </c>
    </row>
    <row r="173" spans="1:41">
      <c r="A173" t="s">
        <v>751</v>
      </c>
      <c r="B173" s="2">
        <v>45797</v>
      </c>
      <c r="C173" t="s">
        <v>752</v>
      </c>
      <c r="D173" t="s">
        <v>148</v>
      </c>
      <c r="E173" t="s">
        <v>226</v>
      </c>
      <c r="F173" t="s">
        <v>396</v>
      </c>
      <c r="G173">
        <v>1</v>
      </c>
      <c r="H173" s="4">
        <v>110</v>
      </c>
      <c r="I173" s="3">
        <v>0</v>
      </c>
      <c r="J173" t="s">
        <v>45</v>
      </c>
      <c r="K173" t="s">
        <v>46</v>
      </c>
      <c r="L173" t="s">
        <v>753</v>
      </c>
      <c r="M173" t="s">
        <v>65</v>
      </c>
      <c r="N173" t="s">
        <v>101</v>
      </c>
      <c r="O173" t="s">
        <v>151</v>
      </c>
      <c r="P173" t="s">
        <v>103</v>
      </c>
      <c r="Q173" t="s">
        <v>114</v>
      </c>
      <c r="R173" t="s">
        <v>229</v>
      </c>
      <c r="S173" t="s">
        <v>48</v>
      </c>
      <c r="T173" t="s">
        <v>398</v>
      </c>
      <c r="U173" s="5">
        <v>27</v>
      </c>
      <c r="V173" s="5" t="s">
        <v>56</v>
      </c>
      <c r="W173" s="5">
        <v>15</v>
      </c>
      <c r="X173" s="5">
        <v>8.8000000000000007</v>
      </c>
      <c r="Y173" s="5">
        <v>1</v>
      </c>
      <c r="Z173" s="5" t="s">
        <v>57</v>
      </c>
      <c r="AA173" s="6">
        <v>72.599999999999994</v>
      </c>
      <c r="AB173" s="8">
        <f t="shared" si="26"/>
        <v>110</v>
      </c>
      <c r="AC173" s="8">
        <f t="shared" si="27"/>
        <v>0</v>
      </c>
      <c r="AD173" s="8">
        <f t="shared" si="28"/>
        <v>110</v>
      </c>
      <c r="AE173" s="8">
        <f t="shared" si="29"/>
        <v>72.599999999999994</v>
      </c>
      <c r="AF173" s="8">
        <f t="shared" si="30"/>
        <v>37.400000000000006</v>
      </c>
      <c r="AG173" s="9">
        <f t="shared" si="31"/>
        <v>0.34</v>
      </c>
      <c r="AH173" s="10">
        <f t="shared" si="32"/>
        <v>2025</v>
      </c>
      <c r="AI173" s="10">
        <f t="shared" si="33"/>
        <v>5</v>
      </c>
      <c r="AJ173" s="10" t="str">
        <f t="shared" si="34"/>
        <v>2025-05</v>
      </c>
      <c r="AK173" s="10" t="str">
        <f t="shared" si="35"/>
        <v>T2</v>
      </c>
      <c r="AL173" s="10" t="str">
        <f t="shared" si="36"/>
        <v>22-29</v>
      </c>
      <c r="AM173" s="10" t="str">
        <f t="shared" si="37"/>
        <v>bon</v>
      </c>
      <c r="AN173" s="10" t="s">
        <v>2838</v>
      </c>
      <c r="AO173" s="10" t="str">
        <f t="shared" si="38"/>
        <v>Faible</v>
      </c>
    </row>
    <row r="174" spans="1:41">
      <c r="A174" t="s">
        <v>754</v>
      </c>
      <c r="B174" s="2">
        <v>45926</v>
      </c>
      <c r="C174" t="s">
        <v>686</v>
      </c>
      <c r="D174" t="s">
        <v>155</v>
      </c>
      <c r="E174" t="s">
        <v>207</v>
      </c>
      <c r="F174" t="s">
        <v>502</v>
      </c>
      <c r="G174">
        <v>1</v>
      </c>
      <c r="H174" s="4">
        <v>48</v>
      </c>
      <c r="I174" s="3">
        <v>0.1</v>
      </c>
      <c r="J174" t="s">
        <v>45</v>
      </c>
      <c r="K174" t="s">
        <v>46</v>
      </c>
      <c r="L174" t="s">
        <v>687</v>
      </c>
      <c r="M174" t="s">
        <v>79</v>
      </c>
      <c r="N174" t="s">
        <v>101</v>
      </c>
      <c r="O174" t="s">
        <v>158</v>
      </c>
      <c r="P174" t="s">
        <v>51</v>
      </c>
      <c r="Q174" t="s">
        <v>143</v>
      </c>
      <c r="R174" t="s">
        <v>210</v>
      </c>
      <c r="S174" t="s">
        <v>79</v>
      </c>
      <c r="T174" t="s">
        <v>504</v>
      </c>
      <c r="U174" s="5">
        <v>30</v>
      </c>
      <c r="V174" s="5" t="s">
        <v>85</v>
      </c>
      <c r="W174" s="5">
        <v>9</v>
      </c>
      <c r="X174" s="5">
        <v>3.4</v>
      </c>
      <c r="Y174" s="5">
        <v>9</v>
      </c>
      <c r="Z174" s="5" t="s">
        <v>117</v>
      </c>
      <c r="AA174" s="6">
        <v>37.44</v>
      </c>
      <c r="AB174" s="8">
        <f t="shared" si="26"/>
        <v>48</v>
      </c>
      <c r="AC174" s="8">
        <f t="shared" si="27"/>
        <v>4.8000000000000007</v>
      </c>
      <c r="AD174" s="8">
        <f t="shared" si="28"/>
        <v>43.2</v>
      </c>
      <c r="AE174" s="8">
        <f t="shared" si="29"/>
        <v>37.44</v>
      </c>
      <c r="AF174" s="8">
        <f t="shared" si="30"/>
        <v>5.7600000000000051</v>
      </c>
      <c r="AG174" s="9">
        <f t="shared" si="31"/>
        <v>0.13333333333333344</v>
      </c>
      <c r="AH174" s="10">
        <f t="shared" si="32"/>
        <v>2025</v>
      </c>
      <c r="AI174" s="10">
        <f t="shared" si="33"/>
        <v>9</v>
      </c>
      <c r="AJ174" s="10" t="str">
        <f t="shared" si="34"/>
        <v>2025-09</v>
      </c>
      <c r="AK174" s="10" t="str">
        <f t="shared" si="35"/>
        <v>T3</v>
      </c>
      <c r="AL174" s="10" t="str">
        <f t="shared" si="36"/>
        <v>30-39</v>
      </c>
      <c r="AM174" s="10" t="str">
        <f t="shared" si="37"/>
        <v>faible</v>
      </c>
      <c r="AN174" s="10" t="s">
        <v>2837</v>
      </c>
      <c r="AO174" s="10" t="str">
        <f t="shared" si="38"/>
        <v>Faible</v>
      </c>
    </row>
    <row r="175" spans="1:41">
      <c r="A175" t="s">
        <v>755</v>
      </c>
      <c r="B175" s="2">
        <v>45681</v>
      </c>
      <c r="C175" t="s">
        <v>756</v>
      </c>
      <c r="D175" t="s">
        <v>97</v>
      </c>
      <c r="E175" t="s">
        <v>75</v>
      </c>
      <c r="F175" t="s">
        <v>156</v>
      </c>
      <c r="G175">
        <v>3</v>
      </c>
      <c r="H175" s="4">
        <v>520</v>
      </c>
      <c r="I175" s="3">
        <v>0</v>
      </c>
      <c r="J175" t="s">
        <v>90</v>
      </c>
      <c r="K175" t="s">
        <v>46</v>
      </c>
      <c r="L175" t="s">
        <v>757</v>
      </c>
      <c r="M175" t="s">
        <v>69</v>
      </c>
      <c r="N175" t="s">
        <v>49</v>
      </c>
      <c r="O175" t="s">
        <v>102</v>
      </c>
      <c r="P175" t="s">
        <v>103</v>
      </c>
      <c r="Q175" t="s">
        <v>52</v>
      </c>
      <c r="R175" t="s">
        <v>83</v>
      </c>
      <c r="S175" t="s">
        <v>69</v>
      </c>
      <c r="T175" t="s">
        <v>159</v>
      </c>
      <c r="U175" s="5">
        <v>48</v>
      </c>
      <c r="V175" s="5" t="s">
        <v>56</v>
      </c>
      <c r="W175" s="5">
        <v>27</v>
      </c>
      <c r="X175" s="5">
        <v>8.1999999999999993</v>
      </c>
      <c r="Y175" s="5">
        <v>1</v>
      </c>
      <c r="Z175" s="5" t="s">
        <v>57</v>
      </c>
      <c r="AA175" s="6">
        <v>348.4</v>
      </c>
      <c r="AB175" s="8">
        <f t="shared" si="26"/>
        <v>1560</v>
      </c>
      <c r="AC175" s="8">
        <f t="shared" si="27"/>
        <v>0</v>
      </c>
      <c r="AD175" s="8">
        <f t="shared" si="28"/>
        <v>1560</v>
      </c>
      <c r="AE175" s="8">
        <f t="shared" si="29"/>
        <v>1045.1999999999998</v>
      </c>
      <c r="AF175" s="8">
        <f t="shared" si="30"/>
        <v>514.80000000000018</v>
      </c>
      <c r="AG175" s="9">
        <f t="shared" si="31"/>
        <v>0.33000000000000013</v>
      </c>
      <c r="AH175" s="10">
        <f t="shared" si="32"/>
        <v>2025</v>
      </c>
      <c r="AI175" s="10">
        <f t="shared" si="33"/>
        <v>1</v>
      </c>
      <c r="AJ175" s="10" t="str">
        <f t="shared" si="34"/>
        <v>2025-01</v>
      </c>
      <c r="AK175" s="10" t="str">
        <f t="shared" si="35"/>
        <v>T1</v>
      </c>
      <c r="AL175" s="10" t="str">
        <f t="shared" si="36"/>
        <v>40-49</v>
      </c>
      <c r="AM175" s="10" t="str">
        <f t="shared" si="37"/>
        <v>bon</v>
      </c>
      <c r="AN175" s="10" t="s">
        <v>2838</v>
      </c>
      <c r="AO175" s="10" t="str">
        <f t="shared" si="38"/>
        <v>Elevée</v>
      </c>
    </row>
    <row r="176" spans="1:41">
      <c r="A176" t="s">
        <v>758</v>
      </c>
      <c r="B176" s="2">
        <v>45684</v>
      </c>
      <c r="C176" t="s">
        <v>759</v>
      </c>
      <c r="D176" t="s">
        <v>42</v>
      </c>
      <c r="E176" t="s">
        <v>109</v>
      </c>
      <c r="F176" t="s">
        <v>548</v>
      </c>
      <c r="G176">
        <v>3</v>
      </c>
      <c r="H176" s="4">
        <v>260</v>
      </c>
      <c r="I176" s="3">
        <v>0</v>
      </c>
      <c r="J176" t="s">
        <v>45</v>
      </c>
      <c r="K176" t="s">
        <v>46</v>
      </c>
      <c r="L176" t="s">
        <v>760</v>
      </c>
      <c r="M176" t="s">
        <v>69</v>
      </c>
      <c r="N176" t="s">
        <v>112</v>
      </c>
      <c r="O176" t="s">
        <v>50</v>
      </c>
      <c r="P176" t="s">
        <v>51</v>
      </c>
      <c r="Q176" t="s">
        <v>52</v>
      </c>
      <c r="R176" t="s">
        <v>115</v>
      </c>
      <c r="S176" t="s">
        <v>65</v>
      </c>
      <c r="T176" t="s">
        <v>550</v>
      </c>
      <c r="U176" s="5">
        <v>32</v>
      </c>
      <c r="V176" s="5" t="s">
        <v>85</v>
      </c>
      <c r="W176" s="5">
        <v>43</v>
      </c>
      <c r="X176" s="5">
        <v>5.8</v>
      </c>
      <c r="Y176" s="5">
        <v>6</v>
      </c>
      <c r="Z176" s="5" t="s">
        <v>94</v>
      </c>
      <c r="AA176" s="6">
        <v>189.8</v>
      </c>
      <c r="AB176" s="8">
        <f t="shared" si="26"/>
        <v>780</v>
      </c>
      <c r="AC176" s="8">
        <f t="shared" si="27"/>
        <v>0</v>
      </c>
      <c r="AD176" s="8">
        <f t="shared" si="28"/>
        <v>780</v>
      </c>
      <c r="AE176" s="8">
        <f t="shared" si="29"/>
        <v>569.40000000000009</v>
      </c>
      <c r="AF176" s="8">
        <f t="shared" si="30"/>
        <v>210.59999999999991</v>
      </c>
      <c r="AG176" s="9">
        <f t="shared" si="31"/>
        <v>0.26999999999999991</v>
      </c>
      <c r="AH176" s="10">
        <f t="shared" si="32"/>
        <v>2025</v>
      </c>
      <c r="AI176" s="10">
        <f t="shared" si="33"/>
        <v>1</v>
      </c>
      <c r="AJ176" s="10" t="str">
        <f t="shared" si="34"/>
        <v>2025-01</v>
      </c>
      <c r="AK176" s="10" t="str">
        <f t="shared" si="35"/>
        <v>T1</v>
      </c>
      <c r="AL176" s="10" t="str">
        <f t="shared" si="36"/>
        <v>30-39</v>
      </c>
      <c r="AM176" s="10" t="str">
        <f t="shared" si="37"/>
        <v>moyen</v>
      </c>
      <c r="AN176" s="10" t="s">
        <v>2839</v>
      </c>
      <c r="AO176" s="10" t="str">
        <f t="shared" si="38"/>
        <v>Moyenne</v>
      </c>
    </row>
    <row r="177" spans="1:41">
      <c r="A177" t="s">
        <v>761</v>
      </c>
      <c r="B177" s="2">
        <v>45700</v>
      </c>
      <c r="C177" t="s">
        <v>762</v>
      </c>
      <c r="D177" t="s">
        <v>60</v>
      </c>
      <c r="E177" t="s">
        <v>315</v>
      </c>
      <c r="F177" t="s">
        <v>361</v>
      </c>
      <c r="G177">
        <v>10</v>
      </c>
      <c r="H177" s="4">
        <v>180</v>
      </c>
      <c r="I177" s="3">
        <v>0.05</v>
      </c>
      <c r="J177" t="s">
        <v>77</v>
      </c>
      <c r="K177" t="s">
        <v>46</v>
      </c>
      <c r="L177" t="s">
        <v>763</v>
      </c>
      <c r="M177" t="s">
        <v>69</v>
      </c>
      <c r="N177" t="s">
        <v>49</v>
      </c>
      <c r="O177" t="s">
        <v>66</v>
      </c>
      <c r="P177" t="s">
        <v>67</v>
      </c>
      <c r="Q177" t="s">
        <v>52</v>
      </c>
      <c r="R177" t="s">
        <v>317</v>
      </c>
      <c r="S177" t="s">
        <v>69</v>
      </c>
      <c r="T177" t="s">
        <v>363</v>
      </c>
      <c r="U177" s="5">
        <v>24</v>
      </c>
      <c r="V177" s="5" t="s">
        <v>85</v>
      </c>
      <c r="W177" s="5">
        <v>45</v>
      </c>
      <c r="X177" s="5">
        <v>7</v>
      </c>
      <c r="Y177" s="5">
        <v>3</v>
      </c>
      <c r="Z177" s="5" t="s">
        <v>94</v>
      </c>
      <c r="AA177" s="6">
        <v>129.6</v>
      </c>
      <c r="AB177" s="8">
        <f t="shared" si="26"/>
        <v>1800</v>
      </c>
      <c r="AC177" s="8">
        <f t="shared" si="27"/>
        <v>90</v>
      </c>
      <c r="AD177" s="8">
        <f t="shared" si="28"/>
        <v>1710</v>
      </c>
      <c r="AE177" s="8">
        <f t="shared" si="29"/>
        <v>1296</v>
      </c>
      <c r="AF177" s="8">
        <f t="shared" si="30"/>
        <v>414</v>
      </c>
      <c r="AG177" s="9">
        <f t="shared" si="31"/>
        <v>0.24210526315789474</v>
      </c>
      <c r="AH177" s="10">
        <f t="shared" si="32"/>
        <v>2025</v>
      </c>
      <c r="AI177" s="10">
        <f t="shared" si="33"/>
        <v>2</v>
      </c>
      <c r="AJ177" s="10" t="str">
        <f t="shared" si="34"/>
        <v>2025-02</v>
      </c>
      <c r="AK177" s="10" t="str">
        <f t="shared" si="35"/>
        <v>T1</v>
      </c>
      <c r="AL177" s="10" t="str">
        <f t="shared" si="36"/>
        <v>22-29</v>
      </c>
      <c r="AM177" s="10" t="str">
        <f t="shared" si="37"/>
        <v>bon</v>
      </c>
      <c r="AN177" s="10" t="s">
        <v>2838</v>
      </c>
      <c r="AO177" s="10" t="str">
        <f t="shared" si="38"/>
        <v>Elevée</v>
      </c>
    </row>
    <row r="178" spans="1:41">
      <c r="A178" t="s">
        <v>764</v>
      </c>
      <c r="B178" s="2">
        <v>45978</v>
      </c>
      <c r="C178" t="s">
        <v>765</v>
      </c>
      <c r="D178" t="s">
        <v>74</v>
      </c>
      <c r="E178" t="s">
        <v>189</v>
      </c>
      <c r="F178" t="s">
        <v>197</v>
      </c>
      <c r="G178">
        <v>4</v>
      </c>
      <c r="H178" s="4">
        <v>95</v>
      </c>
      <c r="I178" s="3">
        <v>0.1</v>
      </c>
      <c r="J178" t="s">
        <v>77</v>
      </c>
      <c r="K178" t="s">
        <v>46</v>
      </c>
      <c r="L178" t="s">
        <v>766</v>
      </c>
      <c r="M178" t="s">
        <v>123</v>
      </c>
      <c r="N178" t="s">
        <v>80</v>
      </c>
      <c r="O178" t="s">
        <v>81</v>
      </c>
      <c r="P178" t="s">
        <v>82</v>
      </c>
      <c r="Q178" t="s">
        <v>52</v>
      </c>
      <c r="R178" t="s">
        <v>193</v>
      </c>
      <c r="S178" t="s">
        <v>79</v>
      </c>
      <c r="T178" t="s">
        <v>199</v>
      </c>
      <c r="U178" s="5">
        <v>37</v>
      </c>
      <c r="V178" s="5" t="s">
        <v>85</v>
      </c>
      <c r="W178" s="5">
        <v>53</v>
      </c>
      <c r="X178" s="5">
        <v>7.1</v>
      </c>
      <c r="Y178" s="5">
        <v>4</v>
      </c>
      <c r="Z178" s="5" t="s">
        <v>94</v>
      </c>
      <c r="AA178" s="6">
        <v>70.3</v>
      </c>
      <c r="AB178" s="8">
        <f t="shared" si="26"/>
        <v>380</v>
      </c>
      <c r="AC178" s="8">
        <f t="shared" si="27"/>
        <v>38</v>
      </c>
      <c r="AD178" s="8">
        <f t="shared" si="28"/>
        <v>342</v>
      </c>
      <c r="AE178" s="8">
        <f t="shared" si="29"/>
        <v>281.2</v>
      </c>
      <c r="AF178" s="8">
        <f t="shared" si="30"/>
        <v>60.800000000000011</v>
      </c>
      <c r="AG178" s="9">
        <f t="shared" si="31"/>
        <v>0.17777777777777781</v>
      </c>
      <c r="AH178" s="10">
        <f t="shared" si="32"/>
        <v>2025</v>
      </c>
      <c r="AI178" s="10">
        <f t="shared" si="33"/>
        <v>11</v>
      </c>
      <c r="AJ178" s="10" t="str">
        <f t="shared" si="34"/>
        <v>2025-11</v>
      </c>
      <c r="AK178" s="10" t="str">
        <f t="shared" si="35"/>
        <v>T4</v>
      </c>
      <c r="AL178" s="10" t="str">
        <f t="shared" si="36"/>
        <v>30-39</v>
      </c>
      <c r="AM178" s="10" t="str">
        <f t="shared" si="37"/>
        <v>bon</v>
      </c>
      <c r="AN178" s="10" t="s">
        <v>2839</v>
      </c>
      <c r="AO178" s="10" t="str">
        <f t="shared" si="38"/>
        <v>Faible</v>
      </c>
    </row>
    <row r="179" spans="1:41">
      <c r="A179" t="s">
        <v>767</v>
      </c>
      <c r="B179" s="2">
        <v>45933</v>
      </c>
      <c r="C179" t="s">
        <v>768</v>
      </c>
      <c r="D179" t="s">
        <v>128</v>
      </c>
      <c r="E179" t="s">
        <v>109</v>
      </c>
      <c r="F179" t="s">
        <v>287</v>
      </c>
      <c r="G179">
        <v>3</v>
      </c>
      <c r="H179" s="4">
        <v>190</v>
      </c>
      <c r="I179" s="3">
        <v>0.1</v>
      </c>
      <c r="J179" t="s">
        <v>90</v>
      </c>
      <c r="K179" t="s">
        <v>46</v>
      </c>
      <c r="L179" t="s">
        <v>769</v>
      </c>
      <c r="M179" t="s">
        <v>69</v>
      </c>
      <c r="N179" t="s">
        <v>101</v>
      </c>
      <c r="O179" t="s">
        <v>132</v>
      </c>
      <c r="P179" t="s">
        <v>133</v>
      </c>
      <c r="Q179" t="s">
        <v>52</v>
      </c>
      <c r="R179" t="s">
        <v>115</v>
      </c>
      <c r="S179" t="s">
        <v>65</v>
      </c>
      <c r="T179" t="s">
        <v>289</v>
      </c>
      <c r="U179" s="5">
        <v>22</v>
      </c>
      <c r="V179" s="5" t="s">
        <v>85</v>
      </c>
      <c r="W179" s="5">
        <v>34</v>
      </c>
      <c r="X179" s="5">
        <v>6.4</v>
      </c>
      <c r="Y179" s="5">
        <v>4</v>
      </c>
      <c r="Z179" s="5" t="s">
        <v>94</v>
      </c>
      <c r="AA179" s="6">
        <v>148.19999999999999</v>
      </c>
      <c r="AB179" s="8">
        <f t="shared" si="26"/>
        <v>570</v>
      </c>
      <c r="AC179" s="8">
        <f t="shared" si="27"/>
        <v>57</v>
      </c>
      <c r="AD179" s="8">
        <f t="shared" si="28"/>
        <v>513</v>
      </c>
      <c r="AE179" s="8">
        <f t="shared" si="29"/>
        <v>444.59999999999997</v>
      </c>
      <c r="AF179" s="8">
        <f t="shared" si="30"/>
        <v>68.400000000000034</v>
      </c>
      <c r="AG179" s="9">
        <f t="shared" si="31"/>
        <v>0.13333333333333339</v>
      </c>
      <c r="AH179" s="10">
        <f t="shared" si="32"/>
        <v>2025</v>
      </c>
      <c r="AI179" s="10">
        <f t="shared" si="33"/>
        <v>10</v>
      </c>
      <c r="AJ179" s="10" t="str">
        <f t="shared" si="34"/>
        <v>2025-10</v>
      </c>
      <c r="AK179" s="10" t="str">
        <f t="shared" si="35"/>
        <v>T4</v>
      </c>
      <c r="AL179" s="10" t="str">
        <f t="shared" si="36"/>
        <v>22-29</v>
      </c>
      <c r="AM179" s="10" t="str">
        <f t="shared" si="37"/>
        <v>moyen</v>
      </c>
      <c r="AN179" s="10" t="s">
        <v>2839</v>
      </c>
      <c r="AO179" s="10" t="str">
        <f t="shared" si="38"/>
        <v>Moyenne</v>
      </c>
    </row>
    <row r="180" spans="1:41">
      <c r="A180" t="s">
        <v>770</v>
      </c>
      <c r="B180" s="2">
        <v>45884</v>
      </c>
      <c r="C180" t="s">
        <v>771</v>
      </c>
      <c r="D180" t="s">
        <v>340</v>
      </c>
      <c r="E180" t="s">
        <v>61</v>
      </c>
      <c r="F180" t="s">
        <v>429</v>
      </c>
      <c r="G180">
        <v>1</v>
      </c>
      <c r="H180" s="4">
        <v>22</v>
      </c>
      <c r="I180" s="3">
        <v>0</v>
      </c>
      <c r="J180" t="s">
        <v>45</v>
      </c>
      <c r="K180" t="s">
        <v>46</v>
      </c>
      <c r="L180" t="s">
        <v>772</v>
      </c>
      <c r="M180" t="s">
        <v>123</v>
      </c>
      <c r="N180" t="s">
        <v>80</v>
      </c>
      <c r="O180" t="s">
        <v>342</v>
      </c>
      <c r="P180" t="s">
        <v>103</v>
      </c>
      <c r="Q180" t="s">
        <v>143</v>
      </c>
      <c r="R180" t="s">
        <v>68</v>
      </c>
      <c r="S180" t="s">
        <v>69</v>
      </c>
      <c r="T180" t="s">
        <v>431</v>
      </c>
      <c r="U180" s="5">
        <v>60</v>
      </c>
      <c r="V180" s="5" t="s">
        <v>85</v>
      </c>
      <c r="W180" s="5">
        <v>7</v>
      </c>
      <c r="X180" s="5">
        <v>3.3</v>
      </c>
      <c r="Y180" s="5">
        <v>9</v>
      </c>
      <c r="Z180" s="5" t="s">
        <v>57</v>
      </c>
      <c r="AA180" s="6">
        <v>14.96</v>
      </c>
      <c r="AB180" s="8">
        <f t="shared" si="26"/>
        <v>22</v>
      </c>
      <c r="AC180" s="8">
        <f t="shared" si="27"/>
        <v>0</v>
      </c>
      <c r="AD180" s="8">
        <f t="shared" si="28"/>
        <v>22</v>
      </c>
      <c r="AE180" s="8">
        <f t="shared" si="29"/>
        <v>14.96</v>
      </c>
      <c r="AF180" s="8">
        <f t="shared" si="30"/>
        <v>7.0399999999999991</v>
      </c>
      <c r="AG180" s="9">
        <f t="shared" si="31"/>
        <v>0.31999999999999995</v>
      </c>
      <c r="AH180" s="10">
        <f t="shared" si="32"/>
        <v>2025</v>
      </c>
      <c r="AI180" s="10">
        <f t="shared" si="33"/>
        <v>8</v>
      </c>
      <c r="AJ180" s="10" t="str">
        <f t="shared" si="34"/>
        <v>2025-08</v>
      </c>
      <c r="AK180" s="10" t="str">
        <f t="shared" si="35"/>
        <v>T3</v>
      </c>
      <c r="AL180" s="10" t="str">
        <f t="shared" si="36"/>
        <v>50+</v>
      </c>
      <c r="AM180" s="10" t="str">
        <f t="shared" si="37"/>
        <v>faible</v>
      </c>
      <c r="AN180" s="10" t="s">
        <v>2837</v>
      </c>
      <c r="AO180" s="10" t="str">
        <f t="shared" si="38"/>
        <v>Faible</v>
      </c>
    </row>
    <row r="181" spans="1:41">
      <c r="A181" t="s">
        <v>773</v>
      </c>
      <c r="B181" s="2">
        <v>45880</v>
      </c>
      <c r="C181" t="s">
        <v>96</v>
      </c>
      <c r="D181" t="s">
        <v>42</v>
      </c>
      <c r="E181" t="s">
        <v>139</v>
      </c>
      <c r="F181" t="s">
        <v>156</v>
      </c>
      <c r="G181">
        <v>2</v>
      </c>
      <c r="H181" s="4">
        <v>260</v>
      </c>
      <c r="I181" s="3">
        <v>0.02</v>
      </c>
      <c r="J181" t="s">
        <v>90</v>
      </c>
      <c r="K181" t="s">
        <v>46</v>
      </c>
      <c r="L181" t="s">
        <v>100</v>
      </c>
      <c r="M181" t="s">
        <v>54</v>
      </c>
      <c r="N181" t="s">
        <v>101</v>
      </c>
      <c r="O181" t="s">
        <v>50</v>
      </c>
      <c r="P181" t="s">
        <v>51</v>
      </c>
      <c r="Q181" t="s">
        <v>52</v>
      </c>
      <c r="R181" t="s">
        <v>144</v>
      </c>
      <c r="S181" t="s">
        <v>65</v>
      </c>
      <c r="T181" t="s">
        <v>159</v>
      </c>
      <c r="U181" s="5">
        <v>25</v>
      </c>
      <c r="V181" s="5" t="s">
        <v>56</v>
      </c>
      <c r="W181" s="5">
        <v>49</v>
      </c>
      <c r="X181" s="5">
        <v>4.0999999999999996</v>
      </c>
      <c r="Y181" s="5">
        <v>7</v>
      </c>
      <c r="Z181" s="5" t="s">
        <v>117</v>
      </c>
      <c r="AA181" s="6">
        <v>189.8</v>
      </c>
      <c r="AB181" s="8">
        <f t="shared" si="26"/>
        <v>520</v>
      </c>
      <c r="AC181" s="8">
        <f t="shared" si="27"/>
        <v>10.4</v>
      </c>
      <c r="AD181" s="8">
        <f t="shared" si="28"/>
        <v>509.6</v>
      </c>
      <c r="AE181" s="8">
        <f t="shared" si="29"/>
        <v>379.6</v>
      </c>
      <c r="AF181" s="8">
        <f t="shared" si="30"/>
        <v>130</v>
      </c>
      <c r="AG181" s="9">
        <f t="shared" si="31"/>
        <v>0.25510204081632654</v>
      </c>
      <c r="AH181" s="10">
        <f t="shared" si="32"/>
        <v>2025</v>
      </c>
      <c r="AI181" s="10">
        <f t="shared" si="33"/>
        <v>8</v>
      </c>
      <c r="AJ181" s="10" t="str">
        <f t="shared" si="34"/>
        <v>2025-08</v>
      </c>
      <c r="AK181" s="10" t="str">
        <f t="shared" si="35"/>
        <v>T3</v>
      </c>
      <c r="AL181" s="10" t="str">
        <f t="shared" si="36"/>
        <v>22-29</v>
      </c>
      <c r="AM181" s="10" t="str">
        <f t="shared" si="37"/>
        <v>faible</v>
      </c>
      <c r="AN181" s="10" t="s">
        <v>2837</v>
      </c>
      <c r="AO181" s="10" t="str">
        <f t="shared" si="38"/>
        <v>Moyenne</v>
      </c>
    </row>
    <row r="182" spans="1:41">
      <c r="A182" t="s">
        <v>774</v>
      </c>
      <c r="B182" s="2">
        <v>45949</v>
      </c>
      <c r="C182" t="s">
        <v>775</v>
      </c>
      <c r="D182" t="s">
        <v>128</v>
      </c>
      <c r="E182" t="s">
        <v>75</v>
      </c>
      <c r="F182" t="s">
        <v>202</v>
      </c>
      <c r="G182">
        <v>2</v>
      </c>
      <c r="H182" s="4">
        <v>190</v>
      </c>
      <c r="I182" s="3">
        <v>0.08</v>
      </c>
      <c r="J182" t="s">
        <v>45</v>
      </c>
      <c r="K182" t="s">
        <v>46</v>
      </c>
      <c r="L182" t="s">
        <v>776</v>
      </c>
      <c r="M182" t="s">
        <v>48</v>
      </c>
      <c r="N182" t="s">
        <v>255</v>
      </c>
      <c r="O182" t="s">
        <v>132</v>
      </c>
      <c r="P182" t="s">
        <v>133</v>
      </c>
      <c r="Q182" t="s">
        <v>52</v>
      </c>
      <c r="R182" t="s">
        <v>83</v>
      </c>
      <c r="S182" t="s">
        <v>69</v>
      </c>
      <c r="T182" t="s">
        <v>204</v>
      </c>
      <c r="U182" s="5">
        <v>24</v>
      </c>
      <c r="V182" s="5" t="s">
        <v>56</v>
      </c>
      <c r="W182" s="5">
        <v>48</v>
      </c>
      <c r="X182" s="5">
        <v>6</v>
      </c>
      <c r="Y182" s="5">
        <v>6</v>
      </c>
      <c r="Z182" s="5" t="s">
        <v>94</v>
      </c>
      <c r="AA182" s="6">
        <v>148.19999999999999</v>
      </c>
      <c r="AB182" s="8">
        <f t="shared" si="26"/>
        <v>380</v>
      </c>
      <c r="AC182" s="8">
        <f t="shared" si="27"/>
        <v>30.400000000000002</v>
      </c>
      <c r="AD182" s="8">
        <f t="shared" si="28"/>
        <v>349.6</v>
      </c>
      <c r="AE182" s="8">
        <f t="shared" si="29"/>
        <v>296.39999999999998</v>
      </c>
      <c r="AF182" s="8">
        <f t="shared" si="30"/>
        <v>53.200000000000045</v>
      </c>
      <c r="AG182" s="9">
        <f t="shared" si="31"/>
        <v>0.15217391304347838</v>
      </c>
      <c r="AH182" s="10">
        <f t="shared" si="32"/>
        <v>2025</v>
      </c>
      <c r="AI182" s="10">
        <f t="shared" si="33"/>
        <v>10</v>
      </c>
      <c r="AJ182" s="10" t="str">
        <f t="shared" si="34"/>
        <v>2025-10</v>
      </c>
      <c r="AK182" s="10" t="str">
        <f t="shared" si="35"/>
        <v>T4</v>
      </c>
      <c r="AL182" s="10" t="str">
        <f t="shared" si="36"/>
        <v>22-29</v>
      </c>
      <c r="AM182" s="10" t="str">
        <f t="shared" si="37"/>
        <v>moyen</v>
      </c>
      <c r="AN182" s="10" t="s">
        <v>2839</v>
      </c>
      <c r="AO182" s="10" t="str">
        <f t="shared" si="38"/>
        <v>Faible</v>
      </c>
    </row>
    <row r="183" spans="1:41">
      <c r="A183" t="s">
        <v>777</v>
      </c>
      <c r="B183" s="2">
        <v>45748</v>
      </c>
      <c r="C183" t="s">
        <v>778</v>
      </c>
      <c r="D183" t="s">
        <v>74</v>
      </c>
      <c r="E183" t="s">
        <v>75</v>
      </c>
      <c r="F183" t="s">
        <v>779</v>
      </c>
      <c r="G183">
        <v>4</v>
      </c>
      <c r="H183" s="4">
        <v>95</v>
      </c>
      <c r="I183" s="3">
        <v>0.08</v>
      </c>
      <c r="J183" t="s">
        <v>45</v>
      </c>
      <c r="K183" t="s">
        <v>46</v>
      </c>
      <c r="L183" t="s">
        <v>780</v>
      </c>
      <c r="M183" t="s">
        <v>69</v>
      </c>
      <c r="N183" t="s">
        <v>112</v>
      </c>
      <c r="O183" t="s">
        <v>81</v>
      </c>
      <c r="P183" t="s">
        <v>82</v>
      </c>
      <c r="Q183" t="s">
        <v>52</v>
      </c>
      <c r="R183" t="s">
        <v>83</v>
      </c>
      <c r="S183" t="s">
        <v>69</v>
      </c>
      <c r="T183" t="s">
        <v>781</v>
      </c>
      <c r="U183" s="5">
        <v>49</v>
      </c>
      <c r="V183" s="5" t="s">
        <v>85</v>
      </c>
      <c r="W183" s="5">
        <v>51</v>
      </c>
      <c r="X183" s="5">
        <v>8.8000000000000007</v>
      </c>
      <c r="Y183" s="5">
        <v>1</v>
      </c>
      <c r="Z183" s="5" t="s">
        <v>94</v>
      </c>
      <c r="AA183" s="6">
        <v>70.3</v>
      </c>
      <c r="AB183" s="8">
        <f t="shared" si="26"/>
        <v>380</v>
      </c>
      <c r="AC183" s="8">
        <f t="shared" si="27"/>
        <v>30.400000000000002</v>
      </c>
      <c r="AD183" s="8">
        <f t="shared" si="28"/>
        <v>349.6</v>
      </c>
      <c r="AE183" s="8">
        <f t="shared" si="29"/>
        <v>281.2</v>
      </c>
      <c r="AF183" s="8">
        <f t="shared" si="30"/>
        <v>68.400000000000034</v>
      </c>
      <c r="AG183" s="9">
        <f t="shared" si="31"/>
        <v>0.19565217391304357</v>
      </c>
      <c r="AH183" s="10">
        <f t="shared" si="32"/>
        <v>2025</v>
      </c>
      <c r="AI183" s="10">
        <f t="shared" si="33"/>
        <v>4</v>
      </c>
      <c r="AJ183" s="10" t="str">
        <f t="shared" si="34"/>
        <v>2025-04</v>
      </c>
      <c r="AK183" s="10" t="str">
        <f t="shared" si="35"/>
        <v>T2</v>
      </c>
      <c r="AL183" s="10" t="str">
        <f t="shared" si="36"/>
        <v>40-49</v>
      </c>
      <c r="AM183" s="10" t="str">
        <f t="shared" si="37"/>
        <v>bon</v>
      </c>
      <c r="AN183" s="10" t="s">
        <v>2838</v>
      </c>
      <c r="AO183" s="10" t="str">
        <f t="shared" si="38"/>
        <v>Faible</v>
      </c>
    </row>
    <row r="184" spans="1:41">
      <c r="A184" t="s">
        <v>782</v>
      </c>
      <c r="B184" s="2">
        <v>45988</v>
      </c>
      <c r="C184" t="s">
        <v>783</v>
      </c>
      <c r="D184" t="s">
        <v>333</v>
      </c>
      <c r="E184" t="s">
        <v>163</v>
      </c>
      <c r="F184" t="s">
        <v>233</v>
      </c>
      <c r="G184">
        <v>10</v>
      </c>
      <c r="H184" s="4">
        <v>65</v>
      </c>
      <c r="I184" s="3">
        <v>0</v>
      </c>
      <c r="J184" t="s">
        <v>45</v>
      </c>
      <c r="K184" t="s">
        <v>46</v>
      </c>
      <c r="L184" t="s">
        <v>784</v>
      </c>
      <c r="M184" t="s">
        <v>69</v>
      </c>
      <c r="N184" t="s">
        <v>112</v>
      </c>
      <c r="O184" t="s">
        <v>336</v>
      </c>
      <c r="P184" t="s">
        <v>51</v>
      </c>
      <c r="Q184" t="s">
        <v>52</v>
      </c>
      <c r="R184" t="s">
        <v>167</v>
      </c>
      <c r="S184" t="s">
        <v>123</v>
      </c>
      <c r="T184" t="s">
        <v>235</v>
      </c>
      <c r="U184" s="5">
        <v>37</v>
      </c>
      <c r="V184" s="5" t="s">
        <v>85</v>
      </c>
      <c r="W184" s="5">
        <v>71</v>
      </c>
      <c r="X184" s="5">
        <v>7.4</v>
      </c>
      <c r="Y184" s="5">
        <v>4</v>
      </c>
      <c r="Z184" s="5" t="s">
        <v>71</v>
      </c>
      <c r="AA184" s="6">
        <v>47.45</v>
      </c>
      <c r="AB184" s="8">
        <f t="shared" si="26"/>
        <v>650</v>
      </c>
      <c r="AC184" s="8">
        <f t="shared" si="27"/>
        <v>0</v>
      </c>
      <c r="AD184" s="8">
        <f t="shared" si="28"/>
        <v>650</v>
      </c>
      <c r="AE184" s="8">
        <f t="shared" si="29"/>
        <v>474.5</v>
      </c>
      <c r="AF184" s="8">
        <f t="shared" si="30"/>
        <v>175.5</v>
      </c>
      <c r="AG184" s="9">
        <f t="shared" si="31"/>
        <v>0.27</v>
      </c>
      <c r="AH184" s="10">
        <f t="shared" si="32"/>
        <v>2025</v>
      </c>
      <c r="AI184" s="10">
        <f t="shared" si="33"/>
        <v>11</v>
      </c>
      <c r="AJ184" s="10" t="str">
        <f t="shared" si="34"/>
        <v>2025-11</v>
      </c>
      <c r="AK184" s="10" t="str">
        <f t="shared" si="35"/>
        <v>T4</v>
      </c>
      <c r="AL184" s="10" t="str">
        <f t="shared" si="36"/>
        <v>30-39</v>
      </c>
      <c r="AM184" s="10" t="str">
        <f t="shared" si="37"/>
        <v>bon</v>
      </c>
      <c r="AN184" s="10" t="s">
        <v>2839</v>
      </c>
      <c r="AO184" s="10" t="str">
        <f t="shared" si="38"/>
        <v>Moyenne</v>
      </c>
    </row>
    <row r="185" spans="1:41">
      <c r="A185" t="s">
        <v>785</v>
      </c>
      <c r="B185" s="2">
        <v>45668</v>
      </c>
      <c r="C185" t="s">
        <v>354</v>
      </c>
      <c r="D185" t="s">
        <v>97</v>
      </c>
      <c r="E185" t="s">
        <v>226</v>
      </c>
      <c r="F185" t="s">
        <v>310</v>
      </c>
      <c r="G185">
        <v>1</v>
      </c>
      <c r="H185" s="4">
        <v>520</v>
      </c>
      <c r="I185" s="3">
        <v>0</v>
      </c>
      <c r="J185" t="s">
        <v>90</v>
      </c>
      <c r="K185" t="s">
        <v>46</v>
      </c>
      <c r="L185" t="s">
        <v>355</v>
      </c>
      <c r="M185" t="s">
        <v>48</v>
      </c>
      <c r="N185" t="s">
        <v>80</v>
      </c>
      <c r="O185" t="s">
        <v>102</v>
      </c>
      <c r="P185" t="s">
        <v>103</v>
      </c>
      <c r="Q185" t="s">
        <v>52</v>
      </c>
      <c r="R185" t="s">
        <v>229</v>
      </c>
      <c r="S185" t="s">
        <v>48</v>
      </c>
      <c r="T185" t="s">
        <v>312</v>
      </c>
      <c r="U185" s="5">
        <v>52</v>
      </c>
      <c r="V185" s="5" t="s">
        <v>56</v>
      </c>
      <c r="W185" s="5">
        <v>69</v>
      </c>
      <c r="X185" s="5">
        <v>4.3</v>
      </c>
      <c r="Y185" s="5">
        <v>9</v>
      </c>
      <c r="Z185" s="5" t="s">
        <v>57</v>
      </c>
      <c r="AA185" s="6">
        <v>348.4</v>
      </c>
      <c r="AB185" s="8">
        <f t="shared" si="26"/>
        <v>520</v>
      </c>
      <c r="AC185" s="8">
        <f t="shared" si="27"/>
        <v>0</v>
      </c>
      <c r="AD185" s="8">
        <f t="shared" si="28"/>
        <v>520</v>
      </c>
      <c r="AE185" s="8">
        <f t="shared" si="29"/>
        <v>348.4</v>
      </c>
      <c r="AF185" s="8">
        <f t="shared" si="30"/>
        <v>171.60000000000002</v>
      </c>
      <c r="AG185" s="9">
        <f t="shared" si="31"/>
        <v>0.33000000000000007</v>
      </c>
      <c r="AH185" s="10">
        <f t="shared" si="32"/>
        <v>2025</v>
      </c>
      <c r="AI185" s="10">
        <f t="shared" si="33"/>
        <v>1</v>
      </c>
      <c r="AJ185" s="10" t="str">
        <f t="shared" si="34"/>
        <v>2025-01</v>
      </c>
      <c r="AK185" s="10" t="str">
        <f t="shared" si="35"/>
        <v>T1</v>
      </c>
      <c r="AL185" s="10" t="str">
        <f t="shared" si="36"/>
        <v>50+</v>
      </c>
      <c r="AM185" s="10" t="str">
        <f t="shared" si="37"/>
        <v>faible</v>
      </c>
      <c r="AN185" s="10" t="s">
        <v>2837</v>
      </c>
      <c r="AO185" s="10" t="str">
        <f t="shared" si="38"/>
        <v>Moyenne</v>
      </c>
    </row>
    <row r="186" spans="1:41">
      <c r="A186" t="s">
        <v>786</v>
      </c>
      <c r="B186" s="2">
        <v>45965</v>
      </c>
      <c r="C186" t="s">
        <v>787</v>
      </c>
      <c r="D186" t="s">
        <v>340</v>
      </c>
      <c r="E186" t="s">
        <v>98</v>
      </c>
      <c r="F186" t="s">
        <v>243</v>
      </c>
      <c r="G186">
        <v>1</v>
      </c>
      <c r="H186" s="4">
        <v>22</v>
      </c>
      <c r="I186" s="3">
        <v>0</v>
      </c>
      <c r="J186" t="s">
        <v>90</v>
      </c>
      <c r="K186" t="s">
        <v>46</v>
      </c>
      <c r="L186" t="s">
        <v>788</v>
      </c>
      <c r="M186" t="s">
        <v>79</v>
      </c>
      <c r="N186" t="s">
        <v>49</v>
      </c>
      <c r="O186" t="s">
        <v>342</v>
      </c>
      <c r="P186" t="s">
        <v>103</v>
      </c>
      <c r="Q186" t="s">
        <v>143</v>
      </c>
      <c r="R186" t="s">
        <v>104</v>
      </c>
      <c r="S186" t="s">
        <v>79</v>
      </c>
      <c r="T186" t="s">
        <v>245</v>
      </c>
      <c r="U186" s="5">
        <v>28</v>
      </c>
      <c r="V186" s="5" t="s">
        <v>56</v>
      </c>
      <c r="W186" s="5">
        <v>49</v>
      </c>
      <c r="X186" s="5">
        <v>4.9000000000000004</v>
      </c>
      <c r="Y186" s="5">
        <v>6</v>
      </c>
      <c r="Z186" s="5" t="s">
        <v>57</v>
      </c>
      <c r="AA186" s="6">
        <v>14.96</v>
      </c>
      <c r="AB186" s="8">
        <f t="shared" si="26"/>
        <v>22</v>
      </c>
      <c r="AC186" s="8">
        <f t="shared" si="27"/>
        <v>0</v>
      </c>
      <c r="AD186" s="8">
        <f t="shared" si="28"/>
        <v>22</v>
      </c>
      <c r="AE186" s="8">
        <f t="shared" si="29"/>
        <v>14.96</v>
      </c>
      <c r="AF186" s="8">
        <f t="shared" si="30"/>
        <v>7.0399999999999991</v>
      </c>
      <c r="AG186" s="9">
        <f t="shared" si="31"/>
        <v>0.31999999999999995</v>
      </c>
      <c r="AH186" s="10">
        <f t="shared" si="32"/>
        <v>2025</v>
      </c>
      <c r="AI186" s="10">
        <f t="shared" si="33"/>
        <v>11</v>
      </c>
      <c r="AJ186" s="10" t="str">
        <f t="shared" si="34"/>
        <v>2025-11</v>
      </c>
      <c r="AK186" s="10" t="str">
        <f t="shared" si="35"/>
        <v>T4</v>
      </c>
      <c r="AL186" s="10" t="str">
        <f t="shared" si="36"/>
        <v>22-29</v>
      </c>
      <c r="AM186" s="10" t="str">
        <f t="shared" si="37"/>
        <v>faible</v>
      </c>
      <c r="AN186" s="10" t="s">
        <v>2839</v>
      </c>
      <c r="AO186" s="10" t="str">
        <f t="shared" si="38"/>
        <v>Faible</v>
      </c>
    </row>
    <row r="187" spans="1:41">
      <c r="A187" t="s">
        <v>789</v>
      </c>
      <c r="B187" s="2">
        <v>45903</v>
      </c>
      <c r="C187" t="s">
        <v>790</v>
      </c>
      <c r="D187" t="s">
        <v>174</v>
      </c>
      <c r="E187" t="s">
        <v>88</v>
      </c>
      <c r="F187" t="s">
        <v>248</v>
      </c>
      <c r="G187">
        <v>4</v>
      </c>
      <c r="H187" s="4">
        <v>780</v>
      </c>
      <c r="I187" s="3">
        <v>0.02</v>
      </c>
      <c r="J187" t="s">
        <v>45</v>
      </c>
      <c r="K187" t="s">
        <v>46</v>
      </c>
      <c r="L187" t="s">
        <v>791</v>
      </c>
      <c r="M187" t="s">
        <v>123</v>
      </c>
      <c r="N187" t="s">
        <v>80</v>
      </c>
      <c r="O187" t="s">
        <v>177</v>
      </c>
      <c r="P187" t="s">
        <v>103</v>
      </c>
      <c r="Q187" t="s">
        <v>114</v>
      </c>
      <c r="R187" t="s">
        <v>92</v>
      </c>
      <c r="S187" t="s">
        <v>48</v>
      </c>
      <c r="T187" t="s">
        <v>250</v>
      </c>
      <c r="U187" s="5">
        <v>41</v>
      </c>
      <c r="V187" s="5" t="s">
        <v>56</v>
      </c>
      <c r="W187" s="5">
        <v>70</v>
      </c>
      <c r="X187" s="5">
        <v>7.2</v>
      </c>
      <c r="Y187" s="5">
        <v>2</v>
      </c>
      <c r="Z187" s="5" t="s">
        <v>117</v>
      </c>
      <c r="AA187" s="6">
        <v>468</v>
      </c>
      <c r="AB187" s="8">
        <f t="shared" si="26"/>
        <v>3120</v>
      </c>
      <c r="AC187" s="8">
        <f t="shared" si="27"/>
        <v>62.4</v>
      </c>
      <c r="AD187" s="8">
        <f t="shared" si="28"/>
        <v>3057.6</v>
      </c>
      <c r="AE187" s="8">
        <f t="shared" si="29"/>
        <v>1872</v>
      </c>
      <c r="AF187" s="8">
        <f t="shared" si="30"/>
        <v>1185.5999999999999</v>
      </c>
      <c r="AG187" s="9">
        <f t="shared" si="31"/>
        <v>0.38775510204081631</v>
      </c>
      <c r="AH187" s="10">
        <f t="shared" si="32"/>
        <v>2025</v>
      </c>
      <c r="AI187" s="10">
        <f t="shared" si="33"/>
        <v>9</v>
      </c>
      <c r="AJ187" s="10" t="str">
        <f t="shared" si="34"/>
        <v>2025-09</v>
      </c>
      <c r="AK187" s="10" t="str">
        <f t="shared" si="35"/>
        <v>T3</v>
      </c>
      <c r="AL187" s="10" t="str">
        <f t="shared" si="36"/>
        <v>40-49</v>
      </c>
      <c r="AM187" s="10" t="str">
        <f t="shared" si="37"/>
        <v>bon</v>
      </c>
      <c r="AN187" s="10" t="s">
        <v>2838</v>
      </c>
      <c r="AO187" s="10" t="str">
        <f t="shared" si="38"/>
        <v>Elevée</v>
      </c>
    </row>
    <row r="188" spans="1:41">
      <c r="A188" t="s">
        <v>792</v>
      </c>
      <c r="B188" s="2">
        <v>45936</v>
      </c>
      <c r="C188" t="s">
        <v>793</v>
      </c>
      <c r="D188" t="s">
        <v>42</v>
      </c>
      <c r="E188" t="s">
        <v>163</v>
      </c>
      <c r="F188" t="s">
        <v>197</v>
      </c>
      <c r="G188">
        <v>3</v>
      </c>
      <c r="H188" s="4">
        <v>260</v>
      </c>
      <c r="I188" s="3">
        <v>0.08</v>
      </c>
      <c r="J188" t="s">
        <v>90</v>
      </c>
      <c r="K188" t="s">
        <v>46</v>
      </c>
      <c r="L188" t="s">
        <v>794</v>
      </c>
      <c r="M188" t="s">
        <v>54</v>
      </c>
      <c r="N188" t="s">
        <v>101</v>
      </c>
      <c r="O188" t="s">
        <v>50</v>
      </c>
      <c r="P188" t="s">
        <v>51</v>
      </c>
      <c r="Q188" t="s">
        <v>52</v>
      </c>
      <c r="R188" t="s">
        <v>167</v>
      </c>
      <c r="S188" t="s">
        <v>123</v>
      </c>
      <c r="T188" t="s">
        <v>199</v>
      </c>
      <c r="U188" s="5">
        <v>42</v>
      </c>
      <c r="V188" s="5" t="s">
        <v>56</v>
      </c>
      <c r="W188" s="5">
        <v>13</v>
      </c>
      <c r="X188" s="5">
        <v>6.6</v>
      </c>
      <c r="Y188" s="5">
        <v>3</v>
      </c>
      <c r="Z188" s="5" t="s">
        <v>117</v>
      </c>
      <c r="AA188" s="6">
        <v>189.8</v>
      </c>
      <c r="AB188" s="8">
        <f t="shared" si="26"/>
        <v>780</v>
      </c>
      <c r="AC188" s="8">
        <f t="shared" si="27"/>
        <v>62.4</v>
      </c>
      <c r="AD188" s="8">
        <f t="shared" si="28"/>
        <v>717.6</v>
      </c>
      <c r="AE188" s="8">
        <f t="shared" si="29"/>
        <v>569.40000000000009</v>
      </c>
      <c r="AF188" s="8">
        <f t="shared" si="30"/>
        <v>148.19999999999993</v>
      </c>
      <c r="AG188" s="9">
        <f t="shared" si="31"/>
        <v>0.20652173913043467</v>
      </c>
      <c r="AH188" s="10">
        <f t="shared" si="32"/>
        <v>2025</v>
      </c>
      <c r="AI188" s="10">
        <f t="shared" si="33"/>
        <v>10</v>
      </c>
      <c r="AJ188" s="10" t="str">
        <f t="shared" si="34"/>
        <v>2025-10</v>
      </c>
      <c r="AK188" s="10" t="str">
        <f t="shared" si="35"/>
        <v>T4</v>
      </c>
      <c r="AL188" s="10" t="str">
        <f t="shared" si="36"/>
        <v>40-49</v>
      </c>
      <c r="AM188" s="10" t="str">
        <f t="shared" si="37"/>
        <v>moyen</v>
      </c>
      <c r="AN188" s="10" t="s">
        <v>2838</v>
      </c>
      <c r="AO188" s="10" t="str">
        <f t="shared" si="38"/>
        <v>Moyenne</v>
      </c>
    </row>
    <row r="189" spans="1:41">
      <c r="A189" t="s">
        <v>795</v>
      </c>
      <c r="B189" s="2">
        <v>45710</v>
      </c>
      <c r="C189" t="s">
        <v>409</v>
      </c>
      <c r="D189" t="s">
        <v>97</v>
      </c>
      <c r="E189" t="s">
        <v>61</v>
      </c>
      <c r="F189" t="s">
        <v>350</v>
      </c>
      <c r="G189">
        <v>2</v>
      </c>
      <c r="H189" s="4">
        <v>520</v>
      </c>
      <c r="I189" s="3">
        <v>0.1</v>
      </c>
      <c r="J189" t="s">
        <v>63</v>
      </c>
      <c r="K189" t="s">
        <v>46</v>
      </c>
      <c r="L189" t="s">
        <v>410</v>
      </c>
      <c r="M189" t="s">
        <v>79</v>
      </c>
      <c r="N189" t="s">
        <v>101</v>
      </c>
      <c r="O189" t="s">
        <v>102</v>
      </c>
      <c r="P189" t="s">
        <v>103</v>
      </c>
      <c r="Q189" t="s">
        <v>52</v>
      </c>
      <c r="R189" t="s">
        <v>68</v>
      </c>
      <c r="S189" t="s">
        <v>69</v>
      </c>
      <c r="T189" t="s">
        <v>352</v>
      </c>
      <c r="U189" s="5">
        <v>40</v>
      </c>
      <c r="V189" s="5" t="s">
        <v>85</v>
      </c>
      <c r="W189" s="5">
        <v>53</v>
      </c>
      <c r="X189" s="5">
        <v>8.3000000000000007</v>
      </c>
      <c r="Y189" s="5">
        <v>2</v>
      </c>
      <c r="Z189" s="5" t="s">
        <v>94</v>
      </c>
      <c r="AA189" s="6">
        <v>348.4</v>
      </c>
      <c r="AB189" s="8">
        <f t="shared" si="26"/>
        <v>1040</v>
      </c>
      <c r="AC189" s="8">
        <f t="shared" si="27"/>
        <v>104</v>
      </c>
      <c r="AD189" s="8">
        <f t="shared" si="28"/>
        <v>936</v>
      </c>
      <c r="AE189" s="8">
        <f t="shared" si="29"/>
        <v>696.8</v>
      </c>
      <c r="AF189" s="8">
        <f t="shared" si="30"/>
        <v>239.20000000000005</v>
      </c>
      <c r="AG189" s="9">
        <f t="shared" si="31"/>
        <v>0.25555555555555559</v>
      </c>
      <c r="AH189" s="10">
        <f t="shared" si="32"/>
        <v>2025</v>
      </c>
      <c r="AI189" s="10">
        <f t="shared" si="33"/>
        <v>2</v>
      </c>
      <c r="AJ189" s="10" t="str">
        <f t="shared" si="34"/>
        <v>2025-02</v>
      </c>
      <c r="AK189" s="10" t="str">
        <f t="shared" si="35"/>
        <v>T1</v>
      </c>
      <c r="AL189" s="10" t="str">
        <f t="shared" si="36"/>
        <v>40-49</v>
      </c>
      <c r="AM189" s="10" t="str">
        <f t="shared" si="37"/>
        <v>bon</v>
      </c>
      <c r="AN189" s="10" t="s">
        <v>2838</v>
      </c>
      <c r="AO189" s="10" t="str">
        <f t="shared" si="38"/>
        <v>Moyenne</v>
      </c>
    </row>
    <row r="190" spans="1:41">
      <c r="A190" t="s">
        <v>796</v>
      </c>
      <c r="B190" s="2">
        <v>45855</v>
      </c>
      <c r="C190" t="s">
        <v>797</v>
      </c>
      <c r="D190" t="s">
        <v>138</v>
      </c>
      <c r="E190" t="s">
        <v>163</v>
      </c>
      <c r="F190" t="s">
        <v>190</v>
      </c>
      <c r="G190">
        <v>1</v>
      </c>
      <c r="H190" s="4">
        <v>120</v>
      </c>
      <c r="I190" s="3">
        <v>0.08</v>
      </c>
      <c r="J190" t="s">
        <v>77</v>
      </c>
      <c r="K190" t="s">
        <v>46</v>
      </c>
      <c r="L190" t="s">
        <v>798</v>
      </c>
      <c r="M190" t="s">
        <v>123</v>
      </c>
      <c r="N190" t="s">
        <v>101</v>
      </c>
      <c r="O190" t="s">
        <v>142</v>
      </c>
      <c r="P190" t="s">
        <v>51</v>
      </c>
      <c r="Q190" t="s">
        <v>143</v>
      </c>
      <c r="R190" t="s">
        <v>167</v>
      </c>
      <c r="S190" t="s">
        <v>123</v>
      </c>
      <c r="T190" t="s">
        <v>194</v>
      </c>
      <c r="U190" s="5">
        <v>39</v>
      </c>
      <c r="V190" s="5" t="s">
        <v>85</v>
      </c>
      <c r="W190" s="5">
        <v>15</v>
      </c>
      <c r="X190" s="5">
        <v>7.3</v>
      </c>
      <c r="Y190" s="5">
        <v>3</v>
      </c>
      <c r="Z190" s="5" t="s">
        <v>57</v>
      </c>
      <c r="AA190" s="6">
        <v>73.2</v>
      </c>
      <c r="AB190" s="8">
        <f t="shared" si="26"/>
        <v>120</v>
      </c>
      <c r="AC190" s="8">
        <f t="shared" si="27"/>
        <v>9.6</v>
      </c>
      <c r="AD190" s="8">
        <f t="shared" si="28"/>
        <v>110.4</v>
      </c>
      <c r="AE190" s="8">
        <f t="shared" si="29"/>
        <v>73.2</v>
      </c>
      <c r="AF190" s="8">
        <f t="shared" si="30"/>
        <v>37.200000000000003</v>
      </c>
      <c r="AG190" s="9">
        <f t="shared" si="31"/>
        <v>0.33695652173913043</v>
      </c>
      <c r="AH190" s="10">
        <f t="shared" si="32"/>
        <v>2025</v>
      </c>
      <c r="AI190" s="10">
        <f t="shared" si="33"/>
        <v>7</v>
      </c>
      <c r="AJ190" s="10" t="str">
        <f t="shared" si="34"/>
        <v>2025-07</v>
      </c>
      <c r="AK190" s="10" t="str">
        <f t="shared" si="35"/>
        <v>T3</v>
      </c>
      <c r="AL190" s="10" t="str">
        <f t="shared" si="36"/>
        <v>30-39</v>
      </c>
      <c r="AM190" s="10" t="str">
        <f t="shared" si="37"/>
        <v>bon</v>
      </c>
      <c r="AN190" s="10" t="s">
        <v>2838</v>
      </c>
      <c r="AO190" s="10" t="str">
        <f t="shared" si="38"/>
        <v>Faible</v>
      </c>
    </row>
    <row r="191" spans="1:41">
      <c r="A191" t="s">
        <v>799</v>
      </c>
      <c r="B191" s="2">
        <v>45714</v>
      </c>
      <c r="C191" t="s">
        <v>800</v>
      </c>
      <c r="D191" t="s">
        <v>97</v>
      </c>
      <c r="E191" t="s">
        <v>277</v>
      </c>
      <c r="F191" t="s">
        <v>62</v>
      </c>
      <c r="G191">
        <v>1</v>
      </c>
      <c r="H191" s="4">
        <v>520</v>
      </c>
      <c r="I191" s="3">
        <v>0</v>
      </c>
      <c r="J191" t="s">
        <v>77</v>
      </c>
      <c r="K191" t="s">
        <v>46</v>
      </c>
      <c r="L191" t="s">
        <v>801</v>
      </c>
      <c r="M191" t="s">
        <v>123</v>
      </c>
      <c r="N191" t="s">
        <v>49</v>
      </c>
      <c r="O191" t="s">
        <v>102</v>
      </c>
      <c r="P191" t="s">
        <v>103</v>
      </c>
      <c r="Q191" t="s">
        <v>52</v>
      </c>
      <c r="R191" t="s">
        <v>279</v>
      </c>
      <c r="S191" t="s">
        <v>54</v>
      </c>
      <c r="T191" t="s">
        <v>70</v>
      </c>
      <c r="U191" s="5">
        <v>52</v>
      </c>
      <c r="V191" s="5" t="s">
        <v>85</v>
      </c>
      <c r="W191" s="5">
        <v>36</v>
      </c>
      <c r="X191" s="5">
        <v>6</v>
      </c>
      <c r="Y191" s="5">
        <v>4</v>
      </c>
      <c r="Z191" s="5" t="s">
        <v>117</v>
      </c>
      <c r="AA191" s="6">
        <v>348.4</v>
      </c>
      <c r="AB191" s="8">
        <f t="shared" si="26"/>
        <v>520</v>
      </c>
      <c r="AC191" s="8">
        <f t="shared" si="27"/>
        <v>0</v>
      </c>
      <c r="AD191" s="8">
        <f t="shared" si="28"/>
        <v>520</v>
      </c>
      <c r="AE191" s="8">
        <f t="shared" si="29"/>
        <v>348.4</v>
      </c>
      <c r="AF191" s="8">
        <f t="shared" si="30"/>
        <v>171.60000000000002</v>
      </c>
      <c r="AG191" s="9">
        <f t="shared" si="31"/>
        <v>0.33000000000000007</v>
      </c>
      <c r="AH191" s="10">
        <f t="shared" si="32"/>
        <v>2025</v>
      </c>
      <c r="AI191" s="10">
        <f t="shared" si="33"/>
        <v>2</v>
      </c>
      <c r="AJ191" s="10" t="str">
        <f t="shared" si="34"/>
        <v>2025-02</v>
      </c>
      <c r="AK191" s="10" t="str">
        <f t="shared" si="35"/>
        <v>T1</v>
      </c>
      <c r="AL191" s="10" t="str">
        <f t="shared" si="36"/>
        <v>50+</v>
      </c>
      <c r="AM191" s="10" t="str">
        <f t="shared" si="37"/>
        <v>moyen</v>
      </c>
      <c r="AN191" s="10" t="s">
        <v>2839</v>
      </c>
      <c r="AO191" s="10" t="str">
        <f t="shared" si="38"/>
        <v>Moyenne</v>
      </c>
    </row>
    <row r="192" spans="1:41">
      <c r="A192" t="s">
        <v>802</v>
      </c>
      <c r="B192" s="2">
        <v>45701</v>
      </c>
      <c r="C192" t="s">
        <v>803</v>
      </c>
      <c r="D192" t="s">
        <v>97</v>
      </c>
      <c r="E192" t="s">
        <v>315</v>
      </c>
      <c r="F192" t="s">
        <v>323</v>
      </c>
      <c r="G192">
        <v>5</v>
      </c>
      <c r="H192" s="4">
        <v>520</v>
      </c>
      <c r="I192" s="3">
        <v>0.05</v>
      </c>
      <c r="J192" t="s">
        <v>45</v>
      </c>
      <c r="K192" t="s">
        <v>46</v>
      </c>
      <c r="L192" t="s">
        <v>804</v>
      </c>
      <c r="M192" t="s">
        <v>65</v>
      </c>
      <c r="N192" t="s">
        <v>80</v>
      </c>
      <c r="O192" t="s">
        <v>102</v>
      </c>
      <c r="P192" t="s">
        <v>103</v>
      </c>
      <c r="Q192" t="s">
        <v>52</v>
      </c>
      <c r="R192" t="s">
        <v>317</v>
      </c>
      <c r="S192" t="s">
        <v>69</v>
      </c>
      <c r="T192" t="s">
        <v>325</v>
      </c>
      <c r="U192" s="5">
        <v>22</v>
      </c>
      <c r="V192" s="5" t="s">
        <v>85</v>
      </c>
      <c r="W192" s="5">
        <v>19</v>
      </c>
      <c r="X192" s="5">
        <v>5</v>
      </c>
      <c r="Y192" s="5">
        <v>8</v>
      </c>
      <c r="Z192" s="5" t="s">
        <v>117</v>
      </c>
      <c r="AA192" s="6">
        <v>348.4</v>
      </c>
      <c r="AB192" s="8">
        <f t="shared" si="26"/>
        <v>2600</v>
      </c>
      <c r="AC192" s="8">
        <f t="shared" si="27"/>
        <v>130</v>
      </c>
      <c r="AD192" s="8">
        <f t="shared" si="28"/>
        <v>2470</v>
      </c>
      <c r="AE192" s="8">
        <f t="shared" si="29"/>
        <v>1742</v>
      </c>
      <c r="AF192" s="8">
        <f t="shared" si="30"/>
        <v>728</v>
      </c>
      <c r="AG192" s="9">
        <f t="shared" si="31"/>
        <v>0.29473684210526313</v>
      </c>
      <c r="AH192" s="10">
        <f t="shared" si="32"/>
        <v>2025</v>
      </c>
      <c r="AI192" s="10">
        <f t="shared" si="33"/>
        <v>2</v>
      </c>
      <c r="AJ192" s="10" t="str">
        <f t="shared" si="34"/>
        <v>2025-02</v>
      </c>
      <c r="AK192" s="10" t="str">
        <f t="shared" si="35"/>
        <v>T1</v>
      </c>
      <c r="AL192" s="10" t="str">
        <f t="shared" si="36"/>
        <v>22-29</v>
      </c>
      <c r="AM192" s="10" t="str">
        <f t="shared" si="37"/>
        <v>moyen</v>
      </c>
      <c r="AN192" s="10" t="s">
        <v>2837</v>
      </c>
      <c r="AO192" s="10" t="str">
        <f t="shared" si="38"/>
        <v>Elevée</v>
      </c>
    </row>
    <row r="193" spans="1:41">
      <c r="A193" t="s">
        <v>805</v>
      </c>
      <c r="B193" s="2">
        <v>45875</v>
      </c>
      <c r="C193" t="s">
        <v>806</v>
      </c>
      <c r="D193" t="s">
        <v>108</v>
      </c>
      <c r="E193" t="s">
        <v>75</v>
      </c>
      <c r="F193" t="s">
        <v>140</v>
      </c>
      <c r="G193">
        <v>1</v>
      </c>
      <c r="H193" s="4">
        <v>240</v>
      </c>
      <c r="I193" s="3">
        <v>0.08</v>
      </c>
      <c r="J193" t="s">
        <v>77</v>
      </c>
      <c r="K193" t="s">
        <v>46</v>
      </c>
      <c r="L193" t="s">
        <v>807</v>
      </c>
      <c r="M193" t="s">
        <v>54</v>
      </c>
      <c r="N193" t="s">
        <v>255</v>
      </c>
      <c r="O193" t="s">
        <v>113</v>
      </c>
      <c r="P193" t="s">
        <v>82</v>
      </c>
      <c r="Q193" t="s">
        <v>114</v>
      </c>
      <c r="R193" t="s">
        <v>83</v>
      </c>
      <c r="S193" t="s">
        <v>69</v>
      </c>
      <c r="T193" t="s">
        <v>145</v>
      </c>
      <c r="U193" s="5">
        <v>53</v>
      </c>
      <c r="V193" s="5" t="s">
        <v>85</v>
      </c>
      <c r="W193" s="5">
        <v>56</v>
      </c>
      <c r="X193" s="5">
        <v>6.4</v>
      </c>
      <c r="Y193" s="5">
        <v>4</v>
      </c>
      <c r="Z193" s="5" t="s">
        <v>94</v>
      </c>
      <c r="AA193" s="6">
        <v>177.6</v>
      </c>
      <c r="AB193" s="8">
        <f t="shared" si="26"/>
        <v>240</v>
      </c>
      <c r="AC193" s="8">
        <f t="shared" si="27"/>
        <v>19.2</v>
      </c>
      <c r="AD193" s="8">
        <f t="shared" si="28"/>
        <v>220.8</v>
      </c>
      <c r="AE193" s="8">
        <f t="shared" si="29"/>
        <v>177.6</v>
      </c>
      <c r="AF193" s="8">
        <f t="shared" si="30"/>
        <v>43.200000000000017</v>
      </c>
      <c r="AG193" s="9">
        <f t="shared" si="31"/>
        <v>0.19565217391304354</v>
      </c>
      <c r="AH193" s="10">
        <f t="shared" si="32"/>
        <v>2025</v>
      </c>
      <c r="AI193" s="10">
        <f t="shared" si="33"/>
        <v>8</v>
      </c>
      <c r="AJ193" s="10" t="str">
        <f t="shared" si="34"/>
        <v>2025-08</v>
      </c>
      <c r="AK193" s="10" t="str">
        <f t="shared" si="35"/>
        <v>T3</v>
      </c>
      <c r="AL193" s="10" t="str">
        <f t="shared" si="36"/>
        <v>50+</v>
      </c>
      <c r="AM193" s="10" t="str">
        <f t="shared" si="37"/>
        <v>moyen</v>
      </c>
      <c r="AN193" s="10" t="s">
        <v>2839</v>
      </c>
      <c r="AO193" s="10" t="str">
        <f t="shared" si="38"/>
        <v>Faible</v>
      </c>
    </row>
    <row r="194" spans="1:41">
      <c r="A194" t="s">
        <v>808</v>
      </c>
      <c r="B194" s="2">
        <v>45913</v>
      </c>
      <c r="C194" t="s">
        <v>809</v>
      </c>
      <c r="D194" t="s">
        <v>60</v>
      </c>
      <c r="E194" t="s">
        <v>345</v>
      </c>
      <c r="F194" t="s">
        <v>467</v>
      </c>
      <c r="G194">
        <v>3</v>
      </c>
      <c r="H194" s="4">
        <v>180</v>
      </c>
      <c r="I194" s="3">
        <v>0</v>
      </c>
      <c r="J194" t="s">
        <v>90</v>
      </c>
      <c r="K194" t="s">
        <v>46</v>
      </c>
      <c r="L194" t="s">
        <v>810</v>
      </c>
      <c r="M194" t="s">
        <v>123</v>
      </c>
      <c r="N194" t="s">
        <v>112</v>
      </c>
      <c r="O194" t="s">
        <v>66</v>
      </c>
      <c r="P194" t="s">
        <v>67</v>
      </c>
      <c r="Q194" t="s">
        <v>52</v>
      </c>
      <c r="R194" t="s">
        <v>347</v>
      </c>
      <c r="S194" t="s">
        <v>54</v>
      </c>
      <c r="T194" t="s">
        <v>469</v>
      </c>
      <c r="U194" s="5">
        <v>52</v>
      </c>
      <c r="V194" s="5" t="s">
        <v>56</v>
      </c>
      <c r="W194" s="5">
        <v>66</v>
      </c>
      <c r="X194" s="5">
        <v>4.9000000000000004</v>
      </c>
      <c r="Y194" s="5">
        <v>6</v>
      </c>
      <c r="Z194" s="5" t="s">
        <v>57</v>
      </c>
      <c r="AA194" s="6">
        <v>129.6</v>
      </c>
      <c r="AB194" s="8">
        <f t="shared" si="26"/>
        <v>540</v>
      </c>
      <c r="AC194" s="8">
        <f t="shared" si="27"/>
        <v>0</v>
      </c>
      <c r="AD194" s="8">
        <f t="shared" si="28"/>
        <v>540</v>
      </c>
      <c r="AE194" s="8">
        <f t="shared" si="29"/>
        <v>388.79999999999995</v>
      </c>
      <c r="AF194" s="8">
        <f t="shared" si="30"/>
        <v>151.20000000000005</v>
      </c>
      <c r="AG194" s="9">
        <f t="shared" si="31"/>
        <v>0.28000000000000008</v>
      </c>
      <c r="AH194" s="10">
        <f t="shared" si="32"/>
        <v>2025</v>
      </c>
      <c r="AI194" s="10">
        <f t="shared" si="33"/>
        <v>9</v>
      </c>
      <c r="AJ194" s="10" t="str">
        <f t="shared" si="34"/>
        <v>2025-09</v>
      </c>
      <c r="AK194" s="10" t="str">
        <f t="shared" si="35"/>
        <v>T3</v>
      </c>
      <c r="AL194" s="10" t="str">
        <f t="shared" si="36"/>
        <v>50+</v>
      </c>
      <c r="AM194" s="10" t="str">
        <f t="shared" si="37"/>
        <v>faible</v>
      </c>
      <c r="AN194" s="10" t="s">
        <v>2839</v>
      </c>
      <c r="AO194" s="10" t="str">
        <f t="shared" si="38"/>
        <v>Moyenne</v>
      </c>
    </row>
    <row r="195" spans="1:41">
      <c r="A195" t="s">
        <v>811</v>
      </c>
      <c r="B195" s="2">
        <v>45857</v>
      </c>
      <c r="C195" t="s">
        <v>812</v>
      </c>
      <c r="D195" t="s">
        <v>42</v>
      </c>
      <c r="E195" t="s">
        <v>189</v>
      </c>
      <c r="F195" t="s">
        <v>813</v>
      </c>
      <c r="G195">
        <v>2</v>
      </c>
      <c r="H195" s="4">
        <v>260</v>
      </c>
      <c r="I195" s="3">
        <v>0.1</v>
      </c>
      <c r="J195" t="s">
        <v>63</v>
      </c>
      <c r="K195" t="s">
        <v>46</v>
      </c>
      <c r="L195" t="s">
        <v>814</v>
      </c>
      <c r="M195" t="s">
        <v>48</v>
      </c>
      <c r="N195" t="s">
        <v>255</v>
      </c>
      <c r="O195" t="s">
        <v>50</v>
      </c>
      <c r="P195" t="s">
        <v>51</v>
      </c>
      <c r="Q195" t="s">
        <v>52</v>
      </c>
      <c r="R195" t="s">
        <v>193</v>
      </c>
      <c r="S195" t="s">
        <v>79</v>
      </c>
      <c r="T195" t="s">
        <v>815</v>
      </c>
      <c r="U195" s="5">
        <v>56</v>
      </c>
      <c r="V195" s="5" t="s">
        <v>56</v>
      </c>
      <c r="W195" s="5">
        <v>46</v>
      </c>
      <c r="X195" s="5">
        <v>5.2</v>
      </c>
      <c r="Y195" s="5">
        <v>7</v>
      </c>
      <c r="Z195" s="5" t="s">
        <v>71</v>
      </c>
      <c r="AA195" s="6">
        <v>189.8</v>
      </c>
      <c r="AB195" s="8">
        <f t="shared" ref="AB195:AB258" si="39">G195*H195</f>
        <v>520</v>
      </c>
      <c r="AC195" s="8">
        <f t="shared" ref="AC195:AC258" si="40">I195*AB195</f>
        <v>52</v>
      </c>
      <c r="AD195" s="8">
        <f t="shared" ref="AD195:AD258" si="41">AB195-AC195</f>
        <v>468</v>
      </c>
      <c r="AE195" s="8">
        <f t="shared" ref="AE195:AE258" si="42">G195*AA195</f>
        <v>379.6</v>
      </c>
      <c r="AF195" s="8">
        <f t="shared" ref="AF195:AF258" si="43">AD195-AE195</f>
        <v>88.399999999999977</v>
      </c>
      <c r="AG195" s="9">
        <f t="shared" ref="AG195:AG258" si="44">IFERROR(AF195/AD195,)</f>
        <v>0.18888888888888883</v>
      </c>
      <c r="AH195" s="10">
        <f t="shared" ref="AH195:AH258" si="45">YEAR(B195)</f>
        <v>2025</v>
      </c>
      <c r="AI195" s="10">
        <f t="shared" ref="AI195:AI258" si="46">MONTH(B195)</f>
        <v>7</v>
      </c>
      <c r="AJ195" s="10" t="str">
        <f t="shared" ref="AJ195:AJ258" si="47">TEXT(B195,"yyyy-mm")</f>
        <v>2025-07</v>
      </c>
      <c r="AK195" s="10" t="str">
        <f t="shared" ref="AK195:AK258" si="48">"T"&amp;ROUNDUP(MONTH(B195)/3,0)</f>
        <v>T3</v>
      </c>
      <c r="AL195" s="10" t="str">
        <f t="shared" ref="AL195:AL258" si="49">IF(U195&lt;30,"22-29",IF(U195&lt;40,"30-39",IF(U195&lt;50,"40-49","50+")))</f>
        <v>50+</v>
      </c>
      <c r="AM195" s="10" t="str">
        <f t="shared" ref="AM195:AM258" si="50">IF(X195&lt;5,"faible",IF(X195&lt;7,"moyen",IF(X195&lt;9,"bon","excellent")))</f>
        <v>moyen</v>
      </c>
      <c r="AN195" s="10" t="s">
        <v>2837</v>
      </c>
      <c r="AO195" s="10" t="str">
        <f t="shared" ref="AO195:AO258" si="51">IF(AD195&gt;=1000,"Elevée",IF(AD195&gt;=500,"Moyenne","Faible"))</f>
        <v>Faible</v>
      </c>
    </row>
    <row r="196" spans="1:41">
      <c r="A196" t="s">
        <v>816</v>
      </c>
      <c r="B196" s="2">
        <v>45704</v>
      </c>
      <c r="C196" t="s">
        <v>817</v>
      </c>
      <c r="D196" t="s">
        <v>333</v>
      </c>
      <c r="E196" t="s">
        <v>109</v>
      </c>
      <c r="F196" t="s">
        <v>813</v>
      </c>
      <c r="G196">
        <v>2</v>
      </c>
      <c r="H196" s="4">
        <v>65</v>
      </c>
      <c r="I196" s="3">
        <v>0</v>
      </c>
      <c r="J196" t="s">
        <v>45</v>
      </c>
      <c r="K196" t="s">
        <v>46</v>
      </c>
      <c r="L196" t="s">
        <v>818</v>
      </c>
      <c r="M196" t="s">
        <v>48</v>
      </c>
      <c r="N196" t="s">
        <v>101</v>
      </c>
      <c r="O196" t="s">
        <v>336</v>
      </c>
      <c r="P196" t="s">
        <v>51</v>
      </c>
      <c r="Q196" t="s">
        <v>52</v>
      </c>
      <c r="R196" t="s">
        <v>115</v>
      </c>
      <c r="S196" t="s">
        <v>65</v>
      </c>
      <c r="T196" t="s">
        <v>815</v>
      </c>
      <c r="U196" s="5">
        <v>30</v>
      </c>
      <c r="V196" s="5" t="s">
        <v>56</v>
      </c>
      <c r="W196" s="5">
        <v>8</v>
      </c>
      <c r="X196" s="5">
        <v>7.4</v>
      </c>
      <c r="Y196" s="5">
        <v>4</v>
      </c>
      <c r="Z196" s="5" t="s">
        <v>71</v>
      </c>
      <c r="AA196" s="6">
        <v>47.45</v>
      </c>
      <c r="AB196" s="8">
        <f t="shared" si="39"/>
        <v>130</v>
      </c>
      <c r="AC196" s="8">
        <f t="shared" si="40"/>
        <v>0</v>
      </c>
      <c r="AD196" s="8">
        <f t="shared" si="41"/>
        <v>130</v>
      </c>
      <c r="AE196" s="8">
        <f t="shared" si="42"/>
        <v>94.9</v>
      </c>
      <c r="AF196" s="8">
        <f t="shared" si="43"/>
        <v>35.099999999999994</v>
      </c>
      <c r="AG196" s="9">
        <f t="shared" si="44"/>
        <v>0.26999999999999996</v>
      </c>
      <c r="AH196" s="10">
        <f t="shared" si="45"/>
        <v>2025</v>
      </c>
      <c r="AI196" s="10">
        <f t="shared" si="46"/>
        <v>2</v>
      </c>
      <c r="AJ196" s="10" t="str">
        <f t="shared" si="47"/>
        <v>2025-02</v>
      </c>
      <c r="AK196" s="10" t="str">
        <f t="shared" si="48"/>
        <v>T1</v>
      </c>
      <c r="AL196" s="10" t="str">
        <f t="shared" si="49"/>
        <v>30-39</v>
      </c>
      <c r="AM196" s="10" t="str">
        <f t="shared" si="50"/>
        <v>bon</v>
      </c>
      <c r="AN196" s="10" t="s">
        <v>2839</v>
      </c>
      <c r="AO196" s="10" t="str">
        <f t="shared" si="51"/>
        <v>Faible</v>
      </c>
    </row>
    <row r="197" spans="1:41">
      <c r="A197" t="s">
        <v>819</v>
      </c>
      <c r="B197" s="2">
        <v>45904</v>
      </c>
      <c r="C197" t="s">
        <v>820</v>
      </c>
      <c r="D197" t="s">
        <v>108</v>
      </c>
      <c r="E197" t="s">
        <v>277</v>
      </c>
      <c r="F197" t="s">
        <v>190</v>
      </c>
      <c r="G197">
        <v>3</v>
      </c>
      <c r="H197" s="4">
        <v>240</v>
      </c>
      <c r="I197" s="3">
        <v>0.02</v>
      </c>
      <c r="J197" t="s">
        <v>77</v>
      </c>
      <c r="K197" t="s">
        <v>46</v>
      </c>
      <c r="L197" t="s">
        <v>821</v>
      </c>
      <c r="M197" t="s">
        <v>123</v>
      </c>
      <c r="N197" t="s">
        <v>112</v>
      </c>
      <c r="O197" t="s">
        <v>113</v>
      </c>
      <c r="P197" t="s">
        <v>82</v>
      </c>
      <c r="Q197" t="s">
        <v>114</v>
      </c>
      <c r="R197" t="s">
        <v>279</v>
      </c>
      <c r="S197" t="s">
        <v>54</v>
      </c>
      <c r="T197" t="s">
        <v>194</v>
      </c>
      <c r="U197" s="5">
        <v>49</v>
      </c>
      <c r="V197" s="5" t="s">
        <v>56</v>
      </c>
      <c r="W197" s="5">
        <v>6</v>
      </c>
      <c r="X197" s="5">
        <v>4.2</v>
      </c>
      <c r="Y197" s="5">
        <v>8</v>
      </c>
      <c r="Z197" s="5" t="s">
        <v>117</v>
      </c>
      <c r="AA197" s="6">
        <v>177.6</v>
      </c>
      <c r="AB197" s="8">
        <f t="shared" si="39"/>
        <v>720</v>
      </c>
      <c r="AC197" s="8">
        <f t="shared" si="40"/>
        <v>14.4</v>
      </c>
      <c r="AD197" s="8">
        <f t="shared" si="41"/>
        <v>705.6</v>
      </c>
      <c r="AE197" s="8">
        <f t="shared" si="42"/>
        <v>532.79999999999995</v>
      </c>
      <c r="AF197" s="8">
        <f t="shared" si="43"/>
        <v>172.80000000000007</v>
      </c>
      <c r="AG197" s="9">
        <f t="shared" si="44"/>
        <v>0.24489795918367355</v>
      </c>
      <c r="AH197" s="10">
        <f t="shared" si="45"/>
        <v>2025</v>
      </c>
      <c r="AI197" s="10">
        <f t="shared" si="46"/>
        <v>9</v>
      </c>
      <c r="AJ197" s="10" t="str">
        <f t="shared" si="47"/>
        <v>2025-09</v>
      </c>
      <c r="AK197" s="10" t="str">
        <f t="shared" si="48"/>
        <v>T3</v>
      </c>
      <c r="AL197" s="10" t="str">
        <f t="shared" si="49"/>
        <v>40-49</v>
      </c>
      <c r="AM197" s="10" t="str">
        <f t="shared" si="50"/>
        <v>faible</v>
      </c>
      <c r="AN197" s="10" t="s">
        <v>2837</v>
      </c>
      <c r="AO197" s="10" t="str">
        <f t="shared" si="51"/>
        <v>Moyenne</v>
      </c>
    </row>
    <row r="198" spans="1:41">
      <c r="A198" t="s">
        <v>822</v>
      </c>
      <c r="B198" s="2">
        <v>45912</v>
      </c>
      <c r="C198" t="s">
        <v>823</v>
      </c>
      <c r="D198" t="s">
        <v>148</v>
      </c>
      <c r="E198" t="s">
        <v>129</v>
      </c>
      <c r="F198" t="s">
        <v>130</v>
      </c>
      <c r="G198">
        <v>3</v>
      </c>
      <c r="H198" s="4">
        <v>110</v>
      </c>
      <c r="I198" s="3">
        <v>0.02</v>
      </c>
      <c r="J198" t="s">
        <v>45</v>
      </c>
      <c r="K198" t="s">
        <v>46</v>
      </c>
      <c r="L198" t="s">
        <v>824</v>
      </c>
      <c r="M198" t="s">
        <v>65</v>
      </c>
      <c r="N198" t="s">
        <v>255</v>
      </c>
      <c r="O198" t="s">
        <v>151</v>
      </c>
      <c r="P198" t="s">
        <v>103</v>
      </c>
      <c r="Q198" t="s">
        <v>114</v>
      </c>
      <c r="R198" t="s">
        <v>134</v>
      </c>
      <c r="S198" t="s">
        <v>123</v>
      </c>
      <c r="T198" t="s">
        <v>135</v>
      </c>
      <c r="U198" s="5">
        <v>32</v>
      </c>
      <c r="V198" s="5" t="s">
        <v>56</v>
      </c>
      <c r="W198" s="5">
        <v>38</v>
      </c>
      <c r="X198" s="5">
        <v>5.2</v>
      </c>
      <c r="Y198" s="5">
        <v>7</v>
      </c>
      <c r="Z198" s="5" t="s">
        <v>117</v>
      </c>
      <c r="AA198" s="6">
        <v>72.599999999999994</v>
      </c>
      <c r="AB198" s="8">
        <f t="shared" si="39"/>
        <v>330</v>
      </c>
      <c r="AC198" s="8">
        <f t="shared" si="40"/>
        <v>6.6000000000000005</v>
      </c>
      <c r="AD198" s="8">
        <f t="shared" si="41"/>
        <v>323.39999999999998</v>
      </c>
      <c r="AE198" s="8">
        <f t="shared" si="42"/>
        <v>217.79999999999998</v>
      </c>
      <c r="AF198" s="8">
        <f t="shared" si="43"/>
        <v>105.6</v>
      </c>
      <c r="AG198" s="9">
        <f t="shared" si="44"/>
        <v>0.32653061224489799</v>
      </c>
      <c r="AH198" s="10">
        <f t="shared" si="45"/>
        <v>2025</v>
      </c>
      <c r="AI198" s="10">
        <f t="shared" si="46"/>
        <v>9</v>
      </c>
      <c r="AJ198" s="10" t="str">
        <f t="shared" si="47"/>
        <v>2025-09</v>
      </c>
      <c r="AK198" s="10" t="str">
        <f t="shared" si="48"/>
        <v>T3</v>
      </c>
      <c r="AL198" s="10" t="str">
        <f t="shared" si="49"/>
        <v>30-39</v>
      </c>
      <c r="AM198" s="10" t="str">
        <f t="shared" si="50"/>
        <v>moyen</v>
      </c>
      <c r="AN198" s="10" t="s">
        <v>2837</v>
      </c>
      <c r="AO198" s="10" t="str">
        <f t="shared" si="51"/>
        <v>Faible</v>
      </c>
    </row>
    <row r="199" spans="1:41">
      <c r="A199" t="s">
        <v>825</v>
      </c>
      <c r="B199" s="2">
        <v>45843</v>
      </c>
      <c r="C199" t="s">
        <v>826</v>
      </c>
      <c r="D199" t="s">
        <v>162</v>
      </c>
      <c r="E199" t="s">
        <v>214</v>
      </c>
      <c r="F199" t="s">
        <v>259</v>
      </c>
      <c r="G199">
        <v>1</v>
      </c>
      <c r="H199" s="4">
        <v>35</v>
      </c>
      <c r="I199" s="3">
        <v>0.1</v>
      </c>
      <c r="J199" t="s">
        <v>90</v>
      </c>
      <c r="K199" t="s">
        <v>46</v>
      </c>
      <c r="L199" t="s">
        <v>827</v>
      </c>
      <c r="M199" t="s">
        <v>79</v>
      </c>
      <c r="N199" t="s">
        <v>112</v>
      </c>
      <c r="O199" t="s">
        <v>166</v>
      </c>
      <c r="P199" t="s">
        <v>103</v>
      </c>
      <c r="Q199" t="s">
        <v>143</v>
      </c>
      <c r="R199" t="s">
        <v>216</v>
      </c>
      <c r="S199" t="s">
        <v>65</v>
      </c>
      <c r="T199" t="s">
        <v>261</v>
      </c>
      <c r="U199" s="5">
        <v>54</v>
      </c>
      <c r="V199" s="5" t="s">
        <v>85</v>
      </c>
      <c r="W199" s="5">
        <v>34</v>
      </c>
      <c r="X199" s="5">
        <v>3.8</v>
      </c>
      <c r="Y199" s="5">
        <v>9</v>
      </c>
      <c r="Z199" s="5" t="s">
        <v>71</v>
      </c>
      <c r="AA199" s="6">
        <v>24.15</v>
      </c>
      <c r="AB199" s="8">
        <f t="shared" si="39"/>
        <v>35</v>
      </c>
      <c r="AC199" s="8">
        <f t="shared" si="40"/>
        <v>3.5</v>
      </c>
      <c r="AD199" s="8">
        <f t="shared" si="41"/>
        <v>31.5</v>
      </c>
      <c r="AE199" s="8">
        <f t="shared" si="42"/>
        <v>24.15</v>
      </c>
      <c r="AF199" s="8">
        <f t="shared" si="43"/>
        <v>7.3500000000000014</v>
      </c>
      <c r="AG199" s="9">
        <f t="shared" si="44"/>
        <v>0.23333333333333336</v>
      </c>
      <c r="AH199" s="10">
        <f t="shared" si="45"/>
        <v>2025</v>
      </c>
      <c r="AI199" s="10">
        <f t="shared" si="46"/>
        <v>7</v>
      </c>
      <c r="AJ199" s="10" t="str">
        <f t="shared" si="47"/>
        <v>2025-07</v>
      </c>
      <c r="AK199" s="10" t="str">
        <f t="shared" si="48"/>
        <v>T3</v>
      </c>
      <c r="AL199" s="10" t="str">
        <f t="shared" si="49"/>
        <v>50+</v>
      </c>
      <c r="AM199" s="10" t="str">
        <f t="shared" si="50"/>
        <v>faible</v>
      </c>
      <c r="AN199" s="10" t="s">
        <v>2837</v>
      </c>
      <c r="AO199" s="10" t="str">
        <f t="shared" si="51"/>
        <v>Faible</v>
      </c>
    </row>
    <row r="200" spans="1:41">
      <c r="A200" t="s">
        <v>828</v>
      </c>
      <c r="B200" s="2">
        <v>45836</v>
      </c>
      <c r="C200" t="s">
        <v>829</v>
      </c>
      <c r="D200" t="s">
        <v>42</v>
      </c>
      <c r="E200" t="s">
        <v>345</v>
      </c>
      <c r="F200" t="s">
        <v>197</v>
      </c>
      <c r="G200">
        <v>2</v>
      </c>
      <c r="H200" s="4">
        <v>260</v>
      </c>
      <c r="I200" s="3">
        <v>0.1</v>
      </c>
      <c r="J200" t="s">
        <v>45</v>
      </c>
      <c r="K200" t="s">
        <v>46</v>
      </c>
      <c r="L200" t="s">
        <v>830</v>
      </c>
      <c r="M200" t="s">
        <v>79</v>
      </c>
      <c r="N200" t="s">
        <v>80</v>
      </c>
      <c r="O200" t="s">
        <v>50</v>
      </c>
      <c r="P200" t="s">
        <v>51</v>
      </c>
      <c r="Q200" t="s">
        <v>52</v>
      </c>
      <c r="R200" t="s">
        <v>347</v>
      </c>
      <c r="S200" t="s">
        <v>54</v>
      </c>
      <c r="T200" t="s">
        <v>199</v>
      </c>
      <c r="U200" s="5">
        <v>42</v>
      </c>
      <c r="V200" s="5" t="s">
        <v>85</v>
      </c>
      <c r="W200" s="5">
        <v>17</v>
      </c>
      <c r="X200" s="5">
        <v>6.6</v>
      </c>
      <c r="Y200" s="5">
        <v>3</v>
      </c>
      <c r="Z200" s="5" t="s">
        <v>57</v>
      </c>
      <c r="AA200" s="6">
        <v>189.8</v>
      </c>
      <c r="AB200" s="8">
        <f t="shared" si="39"/>
        <v>520</v>
      </c>
      <c r="AC200" s="8">
        <f t="shared" si="40"/>
        <v>52</v>
      </c>
      <c r="AD200" s="8">
        <f t="shared" si="41"/>
        <v>468</v>
      </c>
      <c r="AE200" s="8">
        <f t="shared" si="42"/>
        <v>379.6</v>
      </c>
      <c r="AF200" s="8">
        <f t="shared" si="43"/>
        <v>88.399999999999977</v>
      </c>
      <c r="AG200" s="9">
        <f t="shared" si="44"/>
        <v>0.18888888888888883</v>
      </c>
      <c r="AH200" s="10">
        <f t="shared" si="45"/>
        <v>2025</v>
      </c>
      <c r="AI200" s="10">
        <f t="shared" si="46"/>
        <v>6</v>
      </c>
      <c r="AJ200" s="10" t="str">
        <f t="shared" si="47"/>
        <v>2025-06</v>
      </c>
      <c r="AK200" s="10" t="str">
        <f t="shared" si="48"/>
        <v>T2</v>
      </c>
      <c r="AL200" s="10" t="str">
        <f t="shared" si="49"/>
        <v>40-49</v>
      </c>
      <c r="AM200" s="10" t="str">
        <f t="shared" si="50"/>
        <v>moyen</v>
      </c>
      <c r="AN200" s="10" t="s">
        <v>2838</v>
      </c>
      <c r="AO200" s="10" t="str">
        <f t="shared" si="51"/>
        <v>Faible</v>
      </c>
    </row>
    <row r="201" spans="1:41">
      <c r="A201" t="s">
        <v>831</v>
      </c>
      <c r="B201" s="2">
        <v>45875</v>
      </c>
      <c r="C201" t="s">
        <v>832</v>
      </c>
      <c r="D201" t="s">
        <v>148</v>
      </c>
      <c r="E201" t="s">
        <v>120</v>
      </c>
      <c r="F201" t="s">
        <v>182</v>
      </c>
      <c r="G201">
        <v>2</v>
      </c>
      <c r="H201" s="4">
        <v>110</v>
      </c>
      <c r="I201" s="3">
        <v>0.08</v>
      </c>
      <c r="J201" t="s">
        <v>90</v>
      </c>
      <c r="K201" t="s">
        <v>46</v>
      </c>
      <c r="L201" t="s">
        <v>833</v>
      </c>
      <c r="M201" t="s">
        <v>79</v>
      </c>
      <c r="N201" t="s">
        <v>101</v>
      </c>
      <c r="O201" t="s">
        <v>151</v>
      </c>
      <c r="P201" t="s">
        <v>103</v>
      </c>
      <c r="Q201" t="s">
        <v>114</v>
      </c>
      <c r="R201" t="s">
        <v>124</v>
      </c>
      <c r="S201" t="s">
        <v>48</v>
      </c>
      <c r="T201" t="s">
        <v>185</v>
      </c>
      <c r="U201" s="5">
        <v>30</v>
      </c>
      <c r="V201" s="5" t="s">
        <v>56</v>
      </c>
      <c r="W201" s="5">
        <v>35</v>
      </c>
      <c r="X201" s="5">
        <v>4.0999999999999996</v>
      </c>
      <c r="Y201" s="5">
        <v>8</v>
      </c>
      <c r="Z201" s="5" t="s">
        <v>57</v>
      </c>
      <c r="AA201" s="6">
        <v>72.599999999999994</v>
      </c>
      <c r="AB201" s="8">
        <f t="shared" si="39"/>
        <v>220</v>
      </c>
      <c r="AC201" s="8">
        <f t="shared" si="40"/>
        <v>17.600000000000001</v>
      </c>
      <c r="AD201" s="8">
        <f t="shared" si="41"/>
        <v>202.4</v>
      </c>
      <c r="AE201" s="8">
        <f t="shared" si="42"/>
        <v>145.19999999999999</v>
      </c>
      <c r="AF201" s="8">
        <f t="shared" si="43"/>
        <v>57.200000000000017</v>
      </c>
      <c r="AG201" s="9">
        <f t="shared" si="44"/>
        <v>0.282608695652174</v>
      </c>
      <c r="AH201" s="10">
        <f t="shared" si="45"/>
        <v>2025</v>
      </c>
      <c r="AI201" s="10">
        <f t="shared" si="46"/>
        <v>8</v>
      </c>
      <c r="AJ201" s="10" t="str">
        <f t="shared" si="47"/>
        <v>2025-08</v>
      </c>
      <c r="AK201" s="10" t="str">
        <f t="shared" si="48"/>
        <v>T3</v>
      </c>
      <c r="AL201" s="10" t="str">
        <f t="shared" si="49"/>
        <v>30-39</v>
      </c>
      <c r="AM201" s="10" t="str">
        <f t="shared" si="50"/>
        <v>faible</v>
      </c>
      <c r="AN201" s="10" t="s">
        <v>2837</v>
      </c>
      <c r="AO201" s="10" t="str">
        <f t="shared" si="51"/>
        <v>Faible</v>
      </c>
    </row>
    <row r="202" spans="1:41">
      <c r="A202" t="s">
        <v>834</v>
      </c>
      <c r="B202" s="2">
        <v>45733</v>
      </c>
      <c r="C202" t="s">
        <v>835</v>
      </c>
      <c r="D202" t="s">
        <v>272</v>
      </c>
      <c r="E202" t="s">
        <v>75</v>
      </c>
      <c r="F202" t="s">
        <v>287</v>
      </c>
      <c r="G202">
        <v>2</v>
      </c>
      <c r="H202" s="4">
        <v>420</v>
      </c>
      <c r="I202" s="3">
        <v>0</v>
      </c>
      <c r="J202" t="s">
        <v>45</v>
      </c>
      <c r="K202" t="s">
        <v>46</v>
      </c>
      <c r="L202" t="s">
        <v>836</v>
      </c>
      <c r="M202" t="s">
        <v>123</v>
      </c>
      <c r="N202" t="s">
        <v>255</v>
      </c>
      <c r="O202" t="s">
        <v>274</v>
      </c>
      <c r="P202" t="s">
        <v>133</v>
      </c>
      <c r="Q202" t="s">
        <v>114</v>
      </c>
      <c r="R202" t="s">
        <v>83</v>
      </c>
      <c r="S202" t="s">
        <v>69</v>
      </c>
      <c r="T202" t="s">
        <v>289</v>
      </c>
      <c r="U202" s="5">
        <v>33</v>
      </c>
      <c r="V202" s="5" t="s">
        <v>85</v>
      </c>
      <c r="W202" s="5">
        <v>6</v>
      </c>
      <c r="X202" s="5">
        <v>3.1</v>
      </c>
      <c r="Y202" s="5">
        <v>9</v>
      </c>
      <c r="Z202" s="5" t="s">
        <v>94</v>
      </c>
      <c r="AA202" s="6">
        <v>273</v>
      </c>
      <c r="AB202" s="8">
        <f t="shared" si="39"/>
        <v>840</v>
      </c>
      <c r="AC202" s="8">
        <f t="shared" si="40"/>
        <v>0</v>
      </c>
      <c r="AD202" s="8">
        <f t="shared" si="41"/>
        <v>840</v>
      </c>
      <c r="AE202" s="8">
        <f t="shared" si="42"/>
        <v>546</v>
      </c>
      <c r="AF202" s="8">
        <f t="shared" si="43"/>
        <v>294</v>
      </c>
      <c r="AG202" s="9">
        <f t="shared" si="44"/>
        <v>0.35</v>
      </c>
      <c r="AH202" s="10">
        <f t="shared" si="45"/>
        <v>2025</v>
      </c>
      <c r="AI202" s="10">
        <f t="shared" si="46"/>
        <v>3</v>
      </c>
      <c r="AJ202" s="10" t="str">
        <f t="shared" si="47"/>
        <v>2025-03</v>
      </c>
      <c r="AK202" s="10" t="str">
        <f t="shared" si="48"/>
        <v>T1</v>
      </c>
      <c r="AL202" s="10" t="str">
        <f t="shared" si="49"/>
        <v>30-39</v>
      </c>
      <c r="AM202" s="10" t="str">
        <f t="shared" si="50"/>
        <v>faible</v>
      </c>
      <c r="AN202" s="10" t="s">
        <v>2837</v>
      </c>
      <c r="AO202" s="10" t="str">
        <f t="shared" si="51"/>
        <v>Moyenne</v>
      </c>
    </row>
    <row r="203" spans="1:41">
      <c r="A203" t="s">
        <v>837</v>
      </c>
      <c r="B203" s="2">
        <v>45729</v>
      </c>
      <c r="C203" t="s">
        <v>838</v>
      </c>
      <c r="D203" t="s">
        <v>42</v>
      </c>
      <c r="E203" t="s">
        <v>75</v>
      </c>
      <c r="F203" t="s">
        <v>676</v>
      </c>
      <c r="G203">
        <v>4</v>
      </c>
      <c r="H203" s="4">
        <v>260</v>
      </c>
      <c r="I203" s="3">
        <v>0.08</v>
      </c>
      <c r="J203" t="s">
        <v>77</v>
      </c>
      <c r="K203" t="s">
        <v>46</v>
      </c>
      <c r="L203" t="s">
        <v>839</v>
      </c>
      <c r="M203" t="s">
        <v>48</v>
      </c>
      <c r="N203" t="s">
        <v>101</v>
      </c>
      <c r="O203" t="s">
        <v>50</v>
      </c>
      <c r="P203" t="s">
        <v>51</v>
      </c>
      <c r="Q203" t="s">
        <v>52</v>
      </c>
      <c r="R203" t="s">
        <v>83</v>
      </c>
      <c r="S203" t="s">
        <v>69</v>
      </c>
      <c r="T203" t="s">
        <v>678</v>
      </c>
      <c r="U203" s="5">
        <v>30</v>
      </c>
      <c r="V203" s="5" t="s">
        <v>56</v>
      </c>
      <c r="W203" s="5">
        <v>28</v>
      </c>
      <c r="X203" s="5">
        <v>8.1</v>
      </c>
      <c r="Y203" s="5">
        <v>3</v>
      </c>
      <c r="Z203" s="5" t="s">
        <v>57</v>
      </c>
      <c r="AA203" s="6">
        <v>189.8</v>
      </c>
      <c r="AB203" s="8">
        <f t="shared" si="39"/>
        <v>1040</v>
      </c>
      <c r="AC203" s="8">
        <f t="shared" si="40"/>
        <v>83.2</v>
      </c>
      <c r="AD203" s="8">
        <f t="shared" si="41"/>
        <v>956.8</v>
      </c>
      <c r="AE203" s="8">
        <f t="shared" si="42"/>
        <v>759.2</v>
      </c>
      <c r="AF203" s="8">
        <f t="shared" si="43"/>
        <v>197.59999999999991</v>
      </c>
      <c r="AG203" s="9">
        <f t="shared" si="44"/>
        <v>0.2065217391304347</v>
      </c>
      <c r="AH203" s="10">
        <f t="shared" si="45"/>
        <v>2025</v>
      </c>
      <c r="AI203" s="10">
        <f t="shared" si="46"/>
        <v>3</v>
      </c>
      <c r="AJ203" s="10" t="str">
        <f t="shared" si="47"/>
        <v>2025-03</v>
      </c>
      <c r="AK203" s="10" t="str">
        <f t="shared" si="48"/>
        <v>T1</v>
      </c>
      <c r="AL203" s="10" t="str">
        <f t="shared" si="49"/>
        <v>30-39</v>
      </c>
      <c r="AM203" s="10" t="str">
        <f t="shared" si="50"/>
        <v>bon</v>
      </c>
      <c r="AN203" s="10" t="s">
        <v>2838</v>
      </c>
      <c r="AO203" s="10" t="str">
        <f t="shared" si="51"/>
        <v>Moyenne</v>
      </c>
    </row>
    <row r="204" spans="1:41">
      <c r="A204" t="s">
        <v>840</v>
      </c>
      <c r="B204" s="2">
        <v>45714</v>
      </c>
      <c r="C204" t="s">
        <v>841</v>
      </c>
      <c r="D204" t="s">
        <v>155</v>
      </c>
      <c r="E204" t="s">
        <v>120</v>
      </c>
      <c r="F204" t="s">
        <v>350</v>
      </c>
      <c r="G204">
        <v>1</v>
      </c>
      <c r="H204" s="4">
        <v>48</v>
      </c>
      <c r="I204" s="3">
        <v>0.08</v>
      </c>
      <c r="J204" t="s">
        <v>90</v>
      </c>
      <c r="K204" t="s">
        <v>46</v>
      </c>
      <c r="L204" t="s">
        <v>842</v>
      </c>
      <c r="M204" t="s">
        <v>54</v>
      </c>
      <c r="N204" t="s">
        <v>101</v>
      </c>
      <c r="O204" t="s">
        <v>158</v>
      </c>
      <c r="P204" t="s">
        <v>51</v>
      </c>
      <c r="Q204" t="s">
        <v>143</v>
      </c>
      <c r="R204" t="s">
        <v>124</v>
      </c>
      <c r="S204" t="s">
        <v>48</v>
      </c>
      <c r="T204" t="s">
        <v>352</v>
      </c>
      <c r="U204" s="5">
        <v>26</v>
      </c>
      <c r="V204" s="5" t="s">
        <v>56</v>
      </c>
      <c r="W204" s="5">
        <v>20</v>
      </c>
      <c r="X204" s="5">
        <v>3.6</v>
      </c>
      <c r="Y204" s="5">
        <v>9</v>
      </c>
      <c r="Z204" s="5" t="s">
        <v>57</v>
      </c>
      <c r="AA204" s="6">
        <v>37.44</v>
      </c>
      <c r="AB204" s="8">
        <f t="shared" si="39"/>
        <v>48</v>
      </c>
      <c r="AC204" s="8">
        <f t="shared" si="40"/>
        <v>3.84</v>
      </c>
      <c r="AD204" s="8">
        <f t="shared" si="41"/>
        <v>44.16</v>
      </c>
      <c r="AE204" s="8">
        <f t="shared" si="42"/>
        <v>37.44</v>
      </c>
      <c r="AF204" s="8">
        <f t="shared" si="43"/>
        <v>6.7199999999999989</v>
      </c>
      <c r="AG204" s="9">
        <f t="shared" si="44"/>
        <v>0.15217391304347824</v>
      </c>
      <c r="AH204" s="10">
        <f t="shared" si="45"/>
        <v>2025</v>
      </c>
      <c r="AI204" s="10">
        <f t="shared" si="46"/>
        <v>2</v>
      </c>
      <c r="AJ204" s="10" t="str">
        <f t="shared" si="47"/>
        <v>2025-02</v>
      </c>
      <c r="AK204" s="10" t="str">
        <f t="shared" si="48"/>
        <v>T1</v>
      </c>
      <c r="AL204" s="10" t="str">
        <f t="shared" si="49"/>
        <v>22-29</v>
      </c>
      <c r="AM204" s="10" t="str">
        <f t="shared" si="50"/>
        <v>faible</v>
      </c>
      <c r="AN204" s="10" t="s">
        <v>2837</v>
      </c>
      <c r="AO204" s="10" t="str">
        <f t="shared" si="51"/>
        <v>Faible</v>
      </c>
    </row>
    <row r="205" spans="1:41">
      <c r="A205" t="s">
        <v>843</v>
      </c>
      <c r="B205" s="2">
        <v>45686</v>
      </c>
      <c r="C205" t="s">
        <v>610</v>
      </c>
      <c r="D205" t="s">
        <v>181</v>
      </c>
      <c r="E205" t="s">
        <v>226</v>
      </c>
      <c r="F205" t="s">
        <v>267</v>
      </c>
      <c r="G205">
        <v>1</v>
      </c>
      <c r="H205" s="4">
        <v>145</v>
      </c>
      <c r="I205" s="3">
        <v>0</v>
      </c>
      <c r="J205" t="s">
        <v>90</v>
      </c>
      <c r="K205" t="s">
        <v>46</v>
      </c>
      <c r="L205" t="s">
        <v>611</v>
      </c>
      <c r="M205" t="s">
        <v>54</v>
      </c>
      <c r="N205" t="s">
        <v>49</v>
      </c>
      <c r="O205" t="s">
        <v>184</v>
      </c>
      <c r="P205" t="s">
        <v>103</v>
      </c>
      <c r="Q205" t="s">
        <v>52</v>
      </c>
      <c r="R205" t="s">
        <v>229</v>
      </c>
      <c r="S205" t="s">
        <v>48</v>
      </c>
      <c r="T205" t="s">
        <v>269</v>
      </c>
      <c r="U205" s="5">
        <v>38</v>
      </c>
      <c r="V205" s="5" t="s">
        <v>56</v>
      </c>
      <c r="W205" s="5">
        <v>26</v>
      </c>
      <c r="X205" s="5">
        <v>7.3</v>
      </c>
      <c r="Y205" s="5">
        <v>3</v>
      </c>
      <c r="Z205" s="5" t="s">
        <v>57</v>
      </c>
      <c r="AA205" s="6">
        <v>97.15</v>
      </c>
      <c r="AB205" s="8">
        <f t="shared" si="39"/>
        <v>145</v>
      </c>
      <c r="AC205" s="8">
        <f t="shared" si="40"/>
        <v>0</v>
      </c>
      <c r="AD205" s="8">
        <f t="shared" si="41"/>
        <v>145</v>
      </c>
      <c r="AE205" s="8">
        <f t="shared" si="42"/>
        <v>97.15</v>
      </c>
      <c r="AF205" s="8">
        <f t="shared" si="43"/>
        <v>47.849999999999994</v>
      </c>
      <c r="AG205" s="9">
        <f t="shared" si="44"/>
        <v>0.32999999999999996</v>
      </c>
      <c r="AH205" s="10">
        <f t="shared" si="45"/>
        <v>2025</v>
      </c>
      <c r="AI205" s="10">
        <f t="shared" si="46"/>
        <v>1</v>
      </c>
      <c r="AJ205" s="10" t="str">
        <f t="shared" si="47"/>
        <v>2025-01</v>
      </c>
      <c r="AK205" s="10" t="str">
        <f t="shared" si="48"/>
        <v>T1</v>
      </c>
      <c r="AL205" s="10" t="str">
        <f t="shared" si="49"/>
        <v>30-39</v>
      </c>
      <c r="AM205" s="10" t="str">
        <f t="shared" si="50"/>
        <v>bon</v>
      </c>
      <c r="AN205" s="10" t="s">
        <v>2838</v>
      </c>
      <c r="AO205" s="10" t="str">
        <f t="shared" si="51"/>
        <v>Faible</v>
      </c>
    </row>
    <row r="206" spans="1:41">
      <c r="A206" t="s">
        <v>844</v>
      </c>
      <c r="B206" s="2">
        <v>45986</v>
      </c>
      <c r="C206" t="s">
        <v>845</v>
      </c>
      <c r="D206" t="s">
        <v>272</v>
      </c>
      <c r="E206" t="s">
        <v>189</v>
      </c>
      <c r="F206" t="s">
        <v>292</v>
      </c>
      <c r="G206">
        <v>2</v>
      </c>
      <c r="H206" s="4">
        <v>420</v>
      </c>
      <c r="I206" s="3">
        <v>0.02</v>
      </c>
      <c r="J206" t="s">
        <v>45</v>
      </c>
      <c r="K206" t="s">
        <v>46</v>
      </c>
      <c r="L206" t="s">
        <v>846</v>
      </c>
      <c r="M206" t="s">
        <v>123</v>
      </c>
      <c r="N206" t="s">
        <v>101</v>
      </c>
      <c r="O206" t="s">
        <v>274</v>
      </c>
      <c r="P206" t="s">
        <v>133</v>
      </c>
      <c r="Q206" t="s">
        <v>114</v>
      </c>
      <c r="R206" t="s">
        <v>193</v>
      </c>
      <c r="S206" t="s">
        <v>79</v>
      </c>
      <c r="T206" t="s">
        <v>294</v>
      </c>
      <c r="U206" s="5">
        <v>25</v>
      </c>
      <c r="V206" s="5" t="s">
        <v>56</v>
      </c>
      <c r="W206" s="5">
        <v>28</v>
      </c>
      <c r="X206" s="5">
        <v>4.4000000000000004</v>
      </c>
      <c r="Y206" s="5">
        <v>8</v>
      </c>
      <c r="Z206" s="5" t="s">
        <v>57</v>
      </c>
      <c r="AA206" s="6">
        <v>273</v>
      </c>
      <c r="AB206" s="8">
        <f t="shared" si="39"/>
        <v>840</v>
      </c>
      <c r="AC206" s="8">
        <f t="shared" si="40"/>
        <v>16.8</v>
      </c>
      <c r="AD206" s="8">
        <f t="shared" si="41"/>
        <v>823.2</v>
      </c>
      <c r="AE206" s="8">
        <f t="shared" si="42"/>
        <v>546</v>
      </c>
      <c r="AF206" s="8">
        <f t="shared" si="43"/>
        <v>277.20000000000005</v>
      </c>
      <c r="AG206" s="9">
        <f t="shared" si="44"/>
        <v>0.33673469387755106</v>
      </c>
      <c r="AH206" s="10">
        <f t="shared" si="45"/>
        <v>2025</v>
      </c>
      <c r="AI206" s="10">
        <f t="shared" si="46"/>
        <v>11</v>
      </c>
      <c r="AJ206" s="10" t="str">
        <f t="shared" si="47"/>
        <v>2025-11</v>
      </c>
      <c r="AK206" s="10" t="str">
        <f t="shared" si="48"/>
        <v>T4</v>
      </c>
      <c r="AL206" s="10" t="str">
        <f t="shared" si="49"/>
        <v>22-29</v>
      </c>
      <c r="AM206" s="10" t="str">
        <f t="shared" si="50"/>
        <v>faible</v>
      </c>
      <c r="AN206" s="10" t="s">
        <v>2837</v>
      </c>
      <c r="AO206" s="10" t="str">
        <f t="shared" si="51"/>
        <v>Moyenne</v>
      </c>
    </row>
    <row r="207" spans="1:41">
      <c r="A207" t="s">
        <v>847</v>
      </c>
      <c r="B207" s="2">
        <v>45713</v>
      </c>
      <c r="C207" t="s">
        <v>848</v>
      </c>
      <c r="D207" t="s">
        <v>333</v>
      </c>
      <c r="E207" t="s">
        <v>88</v>
      </c>
      <c r="F207" t="s">
        <v>467</v>
      </c>
      <c r="G207">
        <v>1</v>
      </c>
      <c r="H207" s="4">
        <v>65</v>
      </c>
      <c r="I207" s="3">
        <v>0</v>
      </c>
      <c r="J207" t="s">
        <v>77</v>
      </c>
      <c r="K207" t="s">
        <v>46</v>
      </c>
      <c r="L207" t="s">
        <v>849</v>
      </c>
      <c r="M207" t="s">
        <v>79</v>
      </c>
      <c r="N207" t="s">
        <v>112</v>
      </c>
      <c r="O207" t="s">
        <v>336</v>
      </c>
      <c r="P207" t="s">
        <v>51</v>
      </c>
      <c r="Q207" t="s">
        <v>52</v>
      </c>
      <c r="R207" t="s">
        <v>92</v>
      </c>
      <c r="S207" t="s">
        <v>48</v>
      </c>
      <c r="T207" t="s">
        <v>469</v>
      </c>
      <c r="U207" s="5">
        <v>23</v>
      </c>
      <c r="V207" s="5" t="s">
        <v>85</v>
      </c>
      <c r="W207" s="5">
        <v>54</v>
      </c>
      <c r="X207" s="5">
        <v>4.8</v>
      </c>
      <c r="Y207" s="5">
        <v>6</v>
      </c>
      <c r="Z207" s="5" t="s">
        <v>57</v>
      </c>
      <c r="AA207" s="6">
        <v>47.45</v>
      </c>
      <c r="AB207" s="8">
        <f t="shared" si="39"/>
        <v>65</v>
      </c>
      <c r="AC207" s="8">
        <f t="shared" si="40"/>
        <v>0</v>
      </c>
      <c r="AD207" s="8">
        <f t="shared" si="41"/>
        <v>65</v>
      </c>
      <c r="AE207" s="8">
        <f t="shared" si="42"/>
        <v>47.45</v>
      </c>
      <c r="AF207" s="8">
        <f t="shared" si="43"/>
        <v>17.549999999999997</v>
      </c>
      <c r="AG207" s="9">
        <f t="shared" si="44"/>
        <v>0.26999999999999996</v>
      </c>
      <c r="AH207" s="10">
        <f t="shared" si="45"/>
        <v>2025</v>
      </c>
      <c r="AI207" s="10">
        <f t="shared" si="46"/>
        <v>2</v>
      </c>
      <c r="AJ207" s="10" t="str">
        <f t="shared" si="47"/>
        <v>2025-02</v>
      </c>
      <c r="AK207" s="10" t="str">
        <f t="shared" si="48"/>
        <v>T1</v>
      </c>
      <c r="AL207" s="10" t="str">
        <f t="shared" si="49"/>
        <v>22-29</v>
      </c>
      <c r="AM207" s="10" t="str">
        <f t="shared" si="50"/>
        <v>faible</v>
      </c>
      <c r="AN207" s="10" t="s">
        <v>2839</v>
      </c>
      <c r="AO207" s="10" t="str">
        <f t="shared" si="51"/>
        <v>Faible</v>
      </c>
    </row>
    <row r="208" spans="1:41">
      <c r="A208" t="s">
        <v>850</v>
      </c>
      <c r="B208" s="2">
        <v>45691</v>
      </c>
      <c r="C208" t="s">
        <v>851</v>
      </c>
      <c r="D208" t="s">
        <v>128</v>
      </c>
      <c r="E208" t="s">
        <v>61</v>
      </c>
      <c r="F208" t="s">
        <v>444</v>
      </c>
      <c r="G208">
        <v>1</v>
      </c>
      <c r="H208" s="4">
        <v>190</v>
      </c>
      <c r="I208" s="3">
        <v>0</v>
      </c>
      <c r="J208" t="s">
        <v>77</v>
      </c>
      <c r="K208" t="s">
        <v>46</v>
      </c>
      <c r="L208" t="s">
        <v>852</v>
      </c>
      <c r="M208" t="s">
        <v>54</v>
      </c>
      <c r="N208" t="s">
        <v>101</v>
      </c>
      <c r="O208" t="s">
        <v>132</v>
      </c>
      <c r="P208" t="s">
        <v>133</v>
      </c>
      <c r="Q208" t="s">
        <v>52</v>
      </c>
      <c r="R208" t="s">
        <v>68</v>
      </c>
      <c r="S208" t="s">
        <v>69</v>
      </c>
      <c r="T208" t="s">
        <v>446</v>
      </c>
      <c r="U208" s="5">
        <v>53</v>
      </c>
      <c r="V208" s="5" t="s">
        <v>56</v>
      </c>
      <c r="W208" s="5">
        <v>50</v>
      </c>
      <c r="X208" s="5">
        <v>7.5</v>
      </c>
      <c r="Y208" s="5">
        <v>3</v>
      </c>
      <c r="Z208" s="5" t="s">
        <v>94</v>
      </c>
      <c r="AA208" s="6">
        <v>148.19999999999999</v>
      </c>
      <c r="AB208" s="8">
        <f t="shared" si="39"/>
        <v>190</v>
      </c>
      <c r="AC208" s="8">
        <f t="shared" si="40"/>
        <v>0</v>
      </c>
      <c r="AD208" s="8">
        <f t="shared" si="41"/>
        <v>190</v>
      </c>
      <c r="AE208" s="8">
        <f t="shared" si="42"/>
        <v>148.19999999999999</v>
      </c>
      <c r="AF208" s="8">
        <f t="shared" si="43"/>
        <v>41.800000000000011</v>
      </c>
      <c r="AG208" s="9">
        <f t="shared" si="44"/>
        <v>0.22000000000000006</v>
      </c>
      <c r="AH208" s="10">
        <f t="shared" si="45"/>
        <v>2025</v>
      </c>
      <c r="AI208" s="10">
        <f t="shared" si="46"/>
        <v>2</v>
      </c>
      <c r="AJ208" s="10" t="str">
        <f t="shared" si="47"/>
        <v>2025-02</v>
      </c>
      <c r="AK208" s="10" t="str">
        <f t="shared" si="48"/>
        <v>T1</v>
      </c>
      <c r="AL208" s="10" t="str">
        <f t="shared" si="49"/>
        <v>50+</v>
      </c>
      <c r="AM208" s="10" t="str">
        <f t="shared" si="50"/>
        <v>bon</v>
      </c>
      <c r="AN208" s="10" t="s">
        <v>2838</v>
      </c>
      <c r="AO208" s="10" t="str">
        <f t="shared" si="51"/>
        <v>Faible</v>
      </c>
    </row>
    <row r="209" spans="1:41">
      <c r="A209" t="s">
        <v>853</v>
      </c>
      <c r="B209" s="2">
        <v>45701</v>
      </c>
      <c r="C209" t="s">
        <v>854</v>
      </c>
      <c r="D209" t="s">
        <v>188</v>
      </c>
      <c r="E209" t="s">
        <v>163</v>
      </c>
      <c r="F209" t="s">
        <v>467</v>
      </c>
      <c r="G209">
        <v>10</v>
      </c>
      <c r="H209" s="4">
        <v>350</v>
      </c>
      <c r="I209" s="3">
        <v>0.05</v>
      </c>
      <c r="J209" t="s">
        <v>90</v>
      </c>
      <c r="K209" t="s">
        <v>46</v>
      </c>
      <c r="L209" t="s">
        <v>855</v>
      </c>
      <c r="M209" t="s">
        <v>79</v>
      </c>
      <c r="N209" t="s">
        <v>112</v>
      </c>
      <c r="O209" t="s">
        <v>192</v>
      </c>
      <c r="P209" t="s">
        <v>51</v>
      </c>
      <c r="Q209" t="s">
        <v>114</v>
      </c>
      <c r="R209" t="s">
        <v>167</v>
      </c>
      <c r="S209" t="s">
        <v>123</v>
      </c>
      <c r="T209" t="s">
        <v>469</v>
      </c>
      <c r="U209" s="5">
        <v>28</v>
      </c>
      <c r="V209" s="5" t="s">
        <v>56</v>
      </c>
      <c r="W209" s="5">
        <v>24</v>
      </c>
      <c r="X209" s="5">
        <v>5.3</v>
      </c>
      <c r="Y209" s="5">
        <v>6</v>
      </c>
      <c r="Z209" s="5" t="s">
        <v>71</v>
      </c>
      <c r="AA209" s="6">
        <v>213.5</v>
      </c>
      <c r="AB209" s="8">
        <f t="shared" si="39"/>
        <v>3500</v>
      </c>
      <c r="AC209" s="8">
        <f t="shared" si="40"/>
        <v>175</v>
      </c>
      <c r="AD209" s="8">
        <f t="shared" si="41"/>
        <v>3325</v>
      </c>
      <c r="AE209" s="8">
        <f t="shared" si="42"/>
        <v>2135</v>
      </c>
      <c r="AF209" s="8">
        <f t="shared" si="43"/>
        <v>1190</v>
      </c>
      <c r="AG209" s="9">
        <f t="shared" si="44"/>
        <v>0.35789473684210527</v>
      </c>
      <c r="AH209" s="10">
        <f t="shared" si="45"/>
        <v>2025</v>
      </c>
      <c r="AI209" s="10">
        <f t="shared" si="46"/>
        <v>2</v>
      </c>
      <c r="AJ209" s="10" t="str">
        <f t="shared" si="47"/>
        <v>2025-02</v>
      </c>
      <c r="AK209" s="10" t="str">
        <f t="shared" si="48"/>
        <v>T1</v>
      </c>
      <c r="AL209" s="10" t="str">
        <f t="shared" si="49"/>
        <v>22-29</v>
      </c>
      <c r="AM209" s="10" t="str">
        <f t="shared" si="50"/>
        <v>moyen</v>
      </c>
      <c r="AN209" s="10" t="s">
        <v>2839</v>
      </c>
      <c r="AO209" s="10" t="str">
        <f t="shared" si="51"/>
        <v>Elevée</v>
      </c>
    </row>
    <row r="210" spans="1:41">
      <c r="A210" t="s">
        <v>856</v>
      </c>
      <c r="B210" s="2">
        <v>45705</v>
      </c>
      <c r="C210" t="s">
        <v>857</v>
      </c>
      <c r="D210" t="s">
        <v>188</v>
      </c>
      <c r="E210" t="s">
        <v>219</v>
      </c>
      <c r="F210" t="s">
        <v>361</v>
      </c>
      <c r="G210">
        <v>10</v>
      </c>
      <c r="H210" s="4">
        <v>350</v>
      </c>
      <c r="I210" s="3">
        <v>0</v>
      </c>
      <c r="J210" t="s">
        <v>77</v>
      </c>
      <c r="K210" t="s">
        <v>46</v>
      </c>
      <c r="L210" t="s">
        <v>858</v>
      </c>
      <c r="M210" t="s">
        <v>48</v>
      </c>
      <c r="N210" t="s">
        <v>101</v>
      </c>
      <c r="O210" t="s">
        <v>192</v>
      </c>
      <c r="P210" t="s">
        <v>51</v>
      </c>
      <c r="Q210" t="s">
        <v>114</v>
      </c>
      <c r="R210" t="s">
        <v>222</v>
      </c>
      <c r="S210" t="s">
        <v>123</v>
      </c>
      <c r="T210" t="s">
        <v>363</v>
      </c>
      <c r="U210" s="5">
        <v>33</v>
      </c>
      <c r="V210" s="5" t="s">
        <v>85</v>
      </c>
      <c r="W210" s="5">
        <v>21</v>
      </c>
      <c r="X210" s="5">
        <v>8.6999999999999993</v>
      </c>
      <c r="Y210" s="5">
        <v>2</v>
      </c>
      <c r="Z210" s="5" t="s">
        <v>117</v>
      </c>
      <c r="AA210" s="6">
        <v>213.5</v>
      </c>
      <c r="AB210" s="8">
        <f t="shared" si="39"/>
        <v>3500</v>
      </c>
      <c r="AC210" s="8">
        <f t="shared" si="40"/>
        <v>0</v>
      </c>
      <c r="AD210" s="8">
        <f t="shared" si="41"/>
        <v>3500</v>
      </c>
      <c r="AE210" s="8">
        <f t="shared" si="42"/>
        <v>2135</v>
      </c>
      <c r="AF210" s="8">
        <f t="shared" si="43"/>
        <v>1365</v>
      </c>
      <c r="AG210" s="9">
        <f t="shared" si="44"/>
        <v>0.39</v>
      </c>
      <c r="AH210" s="10">
        <f t="shared" si="45"/>
        <v>2025</v>
      </c>
      <c r="AI210" s="10">
        <f t="shared" si="46"/>
        <v>2</v>
      </c>
      <c r="AJ210" s="10" t="str">
        <f t="shared" si="47"/>
        <v>2025-02</v>
      </c>
      <c r="AK210" s="10" t="str">
        <f t="shared" si="48"/>
        <v>T1</v>
      </c>
      <c r="AL210" s="10" t="str">
        <f t="shared" si="49"/>
        <v>30-39</v>
      </c>
      <c r="AM210" s="10" t="str">
        <f t="shared" si="50"/>
        <v>bon</v>
      </c>
      <c r="AN210" s="10" t="s">
        <v>2838</v>
      </c>
      <c r="AO210" s="10" t="str">
        <f t="shared" si="51"/>
        <v>Elevée</v>
      </c>
    </row>
    <row r="211" spans="1:41">
      <c r="A211" t="s">
        <v>859</v>
      </c>
      <c r="B211" s="2">
        <v>45858</v>
      </c>
      <c r="C211" t="s">
        <v>860</v>
      </c>
      <c r="D211" t="s">
        <v>181</v>
      </c>
      <c r="E211" t="s">
        <v>189</v>
      </c>
      <c r="F211" t="s">
        <v>110</v>
      </c>
      <c r="G211">
        <v>4</v>
      </c>
      <c r="H211" s="4">
        <v>145</v>
      </c>
      <c r="I211" s="3">
        <v>0</v>
      </c>
      <c r="J211" t="s">
        <v>90</v>
      </c>
      <c r="K211" t="s">
        <v>46</v>
      </c>
      <c r="L211" t="s">
        <v>861</v>
      </c>
      <c r="M211" t="s">
        <v>48</v>
      </c>
      <c r="N211" t="s">
        <v>49</v>
      </c>
      <c r="O211" t="s">
        <v>184</v>
      </c>
      <c r="P211" t="s">
        <v>103</v>
      </c>
      <c r="Q211" t="s">
        <v>52</v>
      </c>
      <c r="R211" t="s">
        <v>193</v>
      </c>
      <c r="S211" t="s">
        <v>79</v>
      </c>
      <c r="T211" t="s">
        <v>116</v>
      </c>
      <c r="U211" s="5">
        <v>41</v>
      </c>
      <c r="V211" s="5" t="s">
        <v>56</v>
      </c>
      <c r="W211" s="5">
        <v>22</v>
      </c>
      <c r="X211" s="5">
        <v>4.0999999999999996</v>
      </c>
      <c r="Y211" s="5">
        <v>8</v>
      </c>
      <c r="Z211" s="5" t="s">
        <v>57</v>
      </c>
      <c r="AA211" s="6">
        <v>97.15</v>
      </c>
      <c r="AB211" s="8">
        <f t="shared" si="39"/>
        <v>580</v>
      </c>
      <c r="AC211" s="8">
        <f t="shared" si="40"/>
        <v>0</v>
      </c>
      <c r="AD211" s="8">
        <f t="shared" si="41"/>
        <v>580</v>
      </c>
      <c r="AE211" s="8">
        <f t="shared" si="42"/>
        <v>388.6</v>
      </c>
      <c r="AF211" s="8">
        <f t="shared" si="43"/>
        <v>191.39999999999998</v>
      </c>
      <c r="AG211" s="9">
        <f t="shared" si="44"/>
        <v>0.32999999999999996</v>
      </c>
      <c r="AH211" s="10">
        <f t="shared" si="45"/>
        <v>2025</v>
      </c>
      <c r="AI211" s="10">
        <f t="shared" si="46"/>
        <v>7</v>
      </c>
      <c r="AJ211" s="10" t="str">
        <f t="shared" si="47"/>
        <v>2025-07</v>
      </c>
      <c r="AK211" s="10" t="str">
        <f t="shared" si="48"/>
        <v>T3</v>
      </c>
      <c r="AL211" s="10" t="str">
        <f t="shared" si="49"/>
        <v>40-49</v>
      </c>
      <c r="AM211" s="10" t="str">
        <f t="shared" si="50"/>
        <v>faible</v>
      </c>
      <c r="AN211" s="10" t="s">
        <v>2837</v>
      </c>
      <c r="AO211" s="10" t="str">
        <f t="shared" si="51"/>
        <v>Moyenne</v>
      </c>
    </row>
    <row r="212" spans="1:41">
      <c r="A212" t="s">
        <v>862</v>
      </c>
      <c r="B212" s="2">
        <v>45734</v>
      </c>
      <c r="C212" t="s">
        <v>863</v>
      </c>
      <c r="D212" t="s">
        <v>97</v>
      </c>
      <c r="E212" t="s">
        <v>207</v>
      </c>
      <c r="F212" t="s">
        <v>439</v>
      </c>
      <c r="G212">
        <v>1</v>
      </c>
      <c r="H212" s="4">
        <v>520</v>
      </c>
      <c r="I212" s="3">
        <v>0.1</v>
      </c>
      <c r="J212" t="s">
        <v>63</v>
      </c>
      <c r="K212" t="s">
        <v>46</v>
      </c>
      <c r="L212" t="s">
        <v>864</v>
      </c>
      <c r="M212" t="s">
        <v>79</v>
      </c>
      <c r="N212" t="s">
        <v>80</v>
      </c>
      <c r="O212" t="s">
        <v>102</v>
      </c>
      <c r="P212" t="s">
        <v>103</v>
      </c>
      <c r="Q212" t="s">
        <v>52</v>
      </c>
      <c r="R212" t="s">
        <v>210</v>
      </c>
      <c r="S212" t="s">
        <v>79</v>
      </c>
      <c r="T212" t="s">
        <v>441</v>
      </c>
      <c r="U212" s="5">
        <v>34</v>
      </c>
      <c r="V212" s="5" t="s">
        <v>85</v>
      </c>
      <c r="W212" s="5">
        <v>37</v>
      </c>
      <c r="X212" s="5">
        <v>7.4</v>
      </c>
      <c r="Y212" s="5">
        <v>4</v>
      </c>
      <c r="Z212" s="5" t="s">
        <v>117</v>
      </c>
      <c r="AA212" s="6">
        <v>348.4</v>
      </c>
      <c r="AB212" s="8">
        <f t="shared" si="39"/>
        <v>520</v>
      </c>
      <c r="AC212" s="8">
        <f t="shared" si="40"/>
        <v>52</v>
      </c>
      <c r="AD212" s="8">
        <f t="shared" si="41"/>
        <v>468</v>
      </c>
      <c r="AE212" s="8">
        <f t="shared" si="42"/>
        <v>348.4</v>
      </c>
      <c r="AF212" s="8">
        <f t="shared" si="43"/>
        <v>119.60000000000002</v>
      </c>
      <c r="AG212" s="9">
        <f t="shared" si="44"/>
        <v>0.25555555555555559</v>
      </c>
      <c r="AH212" s="10">
        <f t="shared" si="45"/>
        <v>2025</v>
      </c>
      <c r="AI212" s="10">
        <f t="shared" si="46"/>
        <v>3</v>
      </c>
      <c r="AJ212" s="10" t="str">
        <f t="shared" si="47"/>
        <v>2025-03</v>
      </c>
      <c r="AK212" s="10" t="str">
        <f t="shared" si="48"/>
        <v>T1</v>
      </c>
      <c r="AL212" s="10" t="str">
        <f t="shared" si="49"/>
        <v>30-39</v>
      </c>
      <c r="AM212" s="10" t="str">
        <f t="shared" si="50"/>
        <v>bon</v>
      </c>
      <c r="AN212" s="10" t="s">
        <v>2839</v>
      </c>
      <c r="AO212" s="10" t="str">
        <f t="shared" si="51"/>
        <v>Faible</v>
      </c>
    </row>
    <row r="213" spans="1:41">
      <c r="A213" t="s">
        <v>865</v>
      </c>
      <c r="B213" s="2">
        <v>45740</v>
      </c>
      <c r="C213" t="s">
        <v>866</v>
      </c>
      <c r="D213" t="s">
        <v>181</v>
      </c>
      <c r="E213" t="s">
        <v>98</v>
      </c>
      <c r="F213" t="s">
        <v>253</v>
      </c>
      <c r="G213">
        <v>20</v>
      </c>
      <c r="H213" s="4">
        <v>145</v>
      </c>
      <c r="I213" s="3">
        <v>0.05</v>
      </c>
      <c r="J213" t="s">
        <v>77</v>
      </c>
      <c r="K213" t="s">
        <v>46</v>
      </c>
      <c r="L213" t="s">
        <v>867</v>
      </c>
      <c r="M213" t="s">
        <v>54</v>
      </c>
      <c r="N213" t="s">
        <v>80</v>
      </c>
      <c r="O213" t="s">
        <v>184</v>
      </c>
      <c r="P213" t="s">
        <v>103</v>
      </c>
      <c r="Q213" t="s">
        <v>52</v>
      </c>
      <c r="R213" t="s">
        <v>104</v>
      </c>
      <c r="S213" t="s">
        <v>79</v>
      </c>
      <c r="T213" t="s">
        <v>256</v>
      </c>
      <c r="U213" s="5">
        <v>60</v>
      </c>
      <c r="V213" s="5" t="s">
        <v>85</v>
      </c>
      <c r="W213" s="5">
        <v>29</v>
      </c>
      <c r="X213" s="5">
        <v>6.2</v>
      </c>
      <c r="Y213" s="5">
        <v>4</v>
      </c>
      <c r="Z213" s="5" t="s">
        <v>117</v>
      </c>
      <c r="AA213" s="6">
        <v>97.15</v>
      </c>
      <c r="AB213" s="8">
        <f t="shared" si="39"/>
        <v>2900</v>
      </c>
      <c r="AC213" s="8">
        <f t="shared" si="40"/>
        <v>145</v>
      </c>
      <c r="AD213" s="8">
        <f t="shared" si="41"/>
        <v>2755</v>
      </c>
      <c r="AE213" s="8">
        <f t="shared" si="42"/>
        <v>1943</v>
      </c>
      <c r="AF213" s="8">
        <f t="shared" si="43"/>
        <v>812</v>
      </c>
      <c r="AG213" s="9">
        <f t="shared" si="44"/>
        <v>0.29473684210526313</v>
      </c>
      <c r="AH213" s="10">
        <f t="shared" si="45"/>
        <v>2025</v>
      </c>
      <c r="AI213" s="10">
        <f t="shared" si="46"/>
        <v>3</v>
      </c>
      <c r="AJ213" s="10" t="str">
        <f t="shared" si="47"/>
        <v>2025-03</v>
      </c>
      <c r="AK213" s="10" t="str">
        <f t="shared" si="48"/>
        <v>T1</v>
      </c>
      <c r="AL213" s="10" t="str">
        <f t="shared" si="49"/>
        <v>50+</v>
      </c>
      <c r="AM213" s="10" t="str">
        <f t="shared" si="50"/>
        <v>moyen</v>
      </c>
      <c r="AN213" s="10" t="s">
        <v>2839</v>
      </c>
      <c r="AO213" s="10" t="str">
        <f t="shared" si="51"/>
        <v>Elevée</v>
      </c>
    </row>
    <row r="214" spans="1:41">
      <c r="A214" t="s">
        <v>868</v>
      </c>
      <c r="B214" s="2">
        <v>45977</v>
      </c>
      <c r="C214" t="s">
        <v>869</v>
      </c>
      <c r="D214" t="s">
        <v>108</v>
      </c>
      <c r="E214" t="s">
        <v>43</v>
      </c>
      <c r="F214" t="s">
        <v>334</v>
      </c>
      <c r="G214">
        <v>5</v>
      </c>
      <c r="H214" s="4">
        <v>240</v>
      </c>
      <c r="I214" s="3">
        <v>0.02</v>
      </c>
      <c r="J214" t="s">
        <v>90</v>
      </c>
      <c r="K214" t="s">
        <v>46</v>
      </c>
      <c r="L214" t="s">
        <v>870</v>
      </c>
      <c r="M214" t="s">
        <v>123</v>
      </c>
      <c r="N214" t="s">
        <v>101</v>
      </c>
      <c r="O214" t="s">
        <v>113</v>
      </c>
      <c r="P214" t="s">
        <v>82</v>
      </c>
      <c r="Q214" t="s">
        <v>114</v>
      </c>
      <c r="R214" t="s">
        <v>53</v>
      </c>
      <c r="S214" t="s">
        <v>54</v>
      </c>
      <c r="T214" t="s">
        <v>337</v>
      </c>
      <c r="U214" s="5">
        <v>25</v>
      </c>
      <c r="V214" s="5" t="s">
        <v>85</v>
      </c>
      <c r="W214" s="5">
        <v>25</v>
      </c>
      <c r="X214" s="5">
        <v>5.6</v>
      </c>
      <c r="Y214" s="5">
        <v>5</v>
      </c>
      <c r="Z214" s="5" t="s">
        <v>117</v>
      </c>
      <c r="AA214" s="6">
        <v>177.6</v>
      </c>
      <c r="AB214" s="8">
        <f t="shared" si="39"/>
        <v>1200</v>
      </c>
      <c r="AC214" s="8">
        <f t="shared" si="40"/>
        <v>24</v>
      </c>
      <c r="AD214" s="8">
        <f t="shared" si="41"/>
        <v>1176</v>
      </c>
      <c r="AE214" s="8">
        <f t="shared" si="42"/>
        <v>888</v>
      </c>
      <c r="AF214" s="8">
        <f t="shared" si="43"/>
        <v>288</v>
      </c>
      <c r="AG214" s="9">
        <f t="shared" si="44"/>
        <v>0.24489795918367346</v>
      </c>
      <c r="AH214" s="10">
        <f t="shared" si="45"/>
        <v>2025</v>
      </c>
      <c r="AI214" s="10">
        <f t="shared" si="46"/>
        <v>11</v>
      </c>
      <c r="AJ214" s="10" t="str">
        <f t="shared" si="47"/>
        <v>2025-11</v>
      </c>
      <c r="AK214" s="10" t="str">
        <f t="shared" si="48"/>
        <v>T4</v>
      </c>
      <c r="AL214" s="10" t="str">
        <f t="shared" si="49"/>
        <v>22-29</v>
      </c>
      <c r="AM214" s="10" t="str">
        <f t="shared" si="50"/>
        <v>moyen</v>
      </c>
      <c r="AN214" s="10" t="s">
        <v>2839</v>
      </c>
      <c r="AO214" s="10" t="str">
        <f t="shared" si="51"/>
        <v>Elevée</v>
      </c>
    </row>
    <row r="215" spans="1:41">
      <c r="A215" t="s">
        <v>871</v>
      </c>
      <c r="B215" s="2">
        <v>45968</v>
      </c>
      <c r="C215" t="s">
        <v>872</v>
      </c>
      <c r="D215" t="s">
        <v>162</v>
      </c>
      <c r="E215" t="s">
        <v>88</v>
      </c>
      <c r="F215" t="s">
        <v>267</v>
      </c>
      <c r="G215">
        <v>1</v>
      </c>
      <c r="H215" s="4">
        <v>35</v>
      </c>
      <c r="I215" s="3">
        <v>0</v>
      </c>
      <c r="J215" t="s">
        <v>63</v>
      </c>
      <c r="K215" t="s">
        <v>46</v>
      </c>
      <c r="L215" t="s">
        <v>873</v>
      </c>
      <c r="M215" t="s">
        <v>123</v>
      </c>
      <c r="N215" t="s">
        <v>49</v>
      </c>
      <c r="O215" t="s">
        <v>166</v>
      </c>
      <c r="P215" t="s">
        <v>103</v>
      </c>
      <c r="Q215" t="s">
        <v>143</v>
      </c>
      <c r="R215" t="s">
        <v>92</v>
      </c>
      <c r="S215" t="s">
        <v>48</v>
      </c>
      <c r="T215" t="s">
        <v>269</v>
      </c>
      <c r="U215" s="5">
        <v>60</v>
      </c>
      <c r="V215" s="5" t="s">
        <v>56</v>
      </c>
      <c r="W215" s="5">
        <v>11</v>
      </c>
      <c r="X215" s="5">
        <v>5.6</v>
      </c>
      <c r="Y215" s="5">
        <v>5</v>
      </c>
      <c r="Z215" s="5" t="s">
        <v>94</v>
      </c>
      <c r="AA215" s="6">
        <v>24.15</v>
      </c>
      <c r="AB215" s="8">
        <f t="shared" si="39"/>
        <v>35</v>
      </c>
      <c r="AC215" s="8">
        <f t="shared" si="40"/>
        <v>0</v>
      </c>
      <c r="AD215" s="8">
        <f t="shared" si="41"/>
        <v>35</v>
      </c>
      <c r="AE215" s="8">
        <f t="shared" si="42"/>
        <v>24.15</v>
      </c>
      <c r="AF215" s="8">
        <f t="shared" si="43"/>
        <v>10.850000000000001</v>
      </c>
      <c r="AG215" s="9">
        <f t="shared" si="44"/>
        <v>0.31000000000000005</v>
      </c>
      <c r="AH215" s="10">
        <f t="shared" si="45"/>
        <v>2025</v>
      </c>
      <c r="AI215" s="10">
        <f t="shared" si="46"/>
        <v>11</v>
      </c>
      <c r="AJ215" s="10" t="str">
        <f t="shared" si="47"/>
        <v>2025-11</v>
      </c>
      <c r="AK215" s="10" t="str">
        <f t="shared" si="48"/>
        <v>T4</v>
      </c>
      <c r="AL215" s="10" t="str">
        <f t="shared" si="49"/>
        <v>50+</v>
      </c>
      <c r="AM215" s="10" t="str">
        <f t="shared" si="50"/>
        <v>moyen</v>
      </c>
      <c r="AN215" s="10" t="s">
        <v>2839</v>
      </c>
      <c r="AO215" s="10" t="str">
        <f t="shared" si="51"/>
        <v>Faible</v>
      </c>
    </row>
    <row r="216" spans="1:41">
      <c r="A216" t="s">
        <v>874</v>
      </c>
      <c r="B216" s="2">
        <v>45702</v>
      </c>
      <c r="C216" t="s">
        <v>875</v>
      </c>
      <c r="D216" t="s">
        <v>42</v>
      </c>
      <c r="E216" t="s">
        <v>43</v>
      </c>
      <c r="F216" t="s">
        <v>130</v>
      </c>
      <c r="G216">
        <v>2</v>
      </c>
      <c r="H216" s="4">
        <v>260</v>
      </c>
      <c r="I216" s="3">
        <v>0.02</v>
      </c>
      <c r="J216" t="s">
        <v>77</v>
      </c>
      <c r="K216" t="s">
        <v>46</v>
      </c>
      <c r="L216" t="s">
        <v>876</v>
      </c>
      <c r="M216" t="s">
        <v>123</v>
      </c>
      <c r="N216" t="s">
        <v>255</v>
      </c>
      <c r="O216" t="s">
        <v>50</v>
      </c>
      <c r="P216" t="s">
        <v>51</v>
      </c>
      <c r="Q216" t="s">
        <v>52</v>
      </c>
      <c r="R216" t="s">
        <v>53</v>
      </c>
      <c r="S216" t="s">
        <v>54</v>
      </c>
      <c r="T216" t="s">
        <v>135</v>
      </c>
      <c r="U216" s="5">
        <v>47</v>
      </c>
      <c r="V216" s="5" t="s">
        <v>85</v>
      </c>
      <c r="W216" s="5">
        <v>14</v>
      </c>
      <c r="X216" s="5">
        <v>7</v>
      </c>
      <c r="Y216" s="5">
        <v>3</v>
      </c>
      <c r="Z216" s="5" t="s">
        <v>117</v>
      </c>
      <c r="AA216" s="6">
        <v>189.8</v>
      </c>
      <c r="AB216" s="8">
        <f t="shared" si="39"/>
        <v>520</v>
      </c>
      <c r="AC216" s="8">
        <f t="shared" si="40"/>
        <v>10.4</v>
      </c>
      <c r="AD216" s="8">
        <f t="shared" si="41"/>
        <v>509.6</v>
      </c>
      <c r="AE216" s="8">
        <f t="shared" si="42"/>
        <v>379.6</v>
      </c>
      <c r="AF216" s="8">
        <f t="shared" si="43"/>
        <v>130</v>
      </c>
      <c r="AG216" s="9">
        <f t="shared" si="44"/>
        <v>0.25510204081632654</v>
      </c>
      <c r="AH216" s="10">
        <f t="shared" si="45"/>
        <v>2025</v>
      </c>
      <c r="AI216" s="10">
        <f t="shared" si="46"/>
        <v>2</v>
      </c>
      <c r="AJ216" s="10" t="str">
        <f t="shared" si="47"/>
        <v>2025-02</v>
      </c>
      <c r="AK216" s="10" t="str">
        <f t="shared" si="48"/>
        <v>T1</v>
      </c>
      <c r="AL216" s="10" t="str">
        <f t="shared" si="49"/>
        <v>40-49</v>
      </c>
      <c r="AM216" s="10" t="str">
        <f t="shared" si="50"/>
        <v>bon</v>
      </c>
      <c r="AN216" s="10" t="s">
        <v>2838</v>
      </c>
      <c r="AO216" s="10" t="str">
        <f t="shared" si="51"/>
        <v>Moyenne</v>
      </c>
    </row>
    <row r="217" spans="1:41">
      <c r="A217" t="s">
        <v>877</v>
      </c>
      <c r="B217" s="2">
        <v>45953</v>
      </c>
      <c r="C217" t="s">
        <v>878</v>
      </c>
      <c r="D217" t="s">
        <v>128</v>
      </c>
      <c r="E217" t="s">
        <v>214</v>
      </c>
      <c r="F217" t="s">
        <v>467</v>
      </c>
      <c r="G217">
        <v>2</v>
      </c>
      <c r="H217" s="4">
        <v>190</v>
      </c>
      <c r="I217" s="3">
        <v>0</v>
      </c>
      <c r="J217" t="s">
        <v>90</v>
      </c>
      <c r="K217" t="s">
        <v>46</v>
      </c>
      <c r="L217" t="s">
        <v>879</v>
      </c>
      <c r="M217" t="s">
        <v>48</v>
      </c>
      <c r="N217" t="s">
        <v>49</v>
      </c>
      <c r="O217" t="s">
        <v>132</v>
      </c>
      <c r="P217" t="s">
        <v>133</v>
      </c>
      <c r="Q217" t="s">
        <v>52</v>
      </c>
      <c r="R217" t="s">
        <v>216</v>
      </c>
      <c r="S217" t="s">
        <v>65</v>
      </c>
      <c r="T217" t="s">
        <v>469</v>
      </c>
      <c r="U217" s="5">
        <v>22</v>
      </c>
      <c r="V217" s="5" t="s">
        <v>56</v>
      </c>
      <c r="W217" s="5">
        <v>47</v>
      </c>
      <c r="X217" s="5">
        <v>5.4</v>
      </c>
      <c r="Y217" s="5">
        <v>7</v>
      </c>
      <c r="Z217" s="5" t="s">
        <v>94</v>
      </c>
      <c r="AA217" s="6">
        <v>148.19999999999999</v>
      </c>
      <c r="AB217" s="8">
        <f t="shared" si="39"/>
        <v>380</v>
      </c>
      <c r="AC217" s="8">
        <f t="shared" si="40"/>
        <v>0</v>
      </c>
      <c r="AD217" s="8">
        <f t="shared" si="41"/>
        <v>380</v>
      </c>
      <c r="AE217" s="8">
        <f t="shared" si="42"/>
        <v>296.39999999999998</v>
      </c>
      <c r="AF217" s="8">
        <f t="shared" si="43"/>
        <v>83.600000000000023</v>
      </c>
      <c r="AG217" s="9">
        <f t="shared" si="44"/>
        <v>0.22000000000000006</v>
      </c>
      <c r="AH217" s="10">
        <f t="shared" si="45"/>
        <v>2025</v>
      </c>
      <c r="AI217" s="10">
        <f t="shared" si="46"/>
        <v>10</v>
      </c>
      <c r="AJ217" s="10" t="str">
        <f t="shared" si="47"/>
        <v>2025-10</v>
      </c>
      <c r="AK217" s="10" t="str">
        <f t="shared" si="48"/>
        <v>T4</v>
      </c>
      <c r="AL217" s="10" t="str">
        <f t="shared" si="49"/>
        <v>22-29</v>
      </c>
      <c r="AM217" s="10" t="str">
        <f t="shared" si="50"/>
        <v>moyen</v>
      </c>
      <c r="AN217" s="10" t="s">
        <v>2837</v>
      </c>
      <c r="AO217" s="10" t="str">
        <f t="shared" si="51"/>
        <v>Faible</v>
      </c>
    </row>
    <row r="218" spans="1:41">
      <c r="A218" t="s">
        <v>880</v>
      </c>
      <c r="B218" s="2">
        <v>45804</v>
      </c>
      <c r="C218" t="s">
        <v>881</v>
      </c>
      <c r="D218" t="s">
        <v>188</v>
      </c>
      <c r="E218" t="s">
        <v>315</v>
      </c>
      <c r="F218" t="s">
        <v>302</v>
      </c>
      <c r="G218">
        <v>2</v>
      </c>
      <c r="H218" s="4">
        <v>350</v>
      </c>
      <c r="I218" s="3">
        <v>0.1</v>
      </c>
      <c r="J218" t="s">
        <v>45</v>
      </c>
      <c r="K218" t="s">
        <v>46</v>
      </c>
      <c r="L218" t="s">
        <v>882</v>
      </c>
      <c r="M218" t="s">
        <v>123</v>
      </c>
      <c r="N218" t="s">
        <v>255</v>
      </c>
      <c r="O218" t="s">
        <v>192</v>
      </c>
      <c r="P218" t="s">
        <v>51</v>
      </c>
      <c r="Q218" t="s">
        <v>114</v>
      </c>
      <c r="R218" t="s">
        <v>317</v>
      </c>
      <c r="S218" t="s">
        <v>69</v>
      </c>
      <c r="T218" t="s">
        <v>304</v>
      </c>
      <c r="U218" s="5">
        <v>59</v>
      </c>
      <c r="V218" s="5" t="s">
        <v>85</v>
      </c>
      <c r="W218" s="5">
        <v>38</v>
      </c>
      <c r="X218" s="5">
        <v>5</v>
      </c>
      <c r="Y218" s="5">
        <v>8</v>
      </c>
      <c r="Z218" s="5" t="s">
        <v>117</v>
      </c>
      <c r="AA218" s="6">
        <v>213.5</v>
      </c>
      <c r="AB218" s="8">
        <f t="shared" si="39"/>
        <v>700</v>
      </c>
      <c r="AC218" s="8">
        <f t="shared" si="40"/>
        <v>70</v>
      </c>
      <c r="AD218" s="8">
        <f t="shared" si="41"/>
        <v>630</v>
      </c>
      <c r="AE218" s="8">
        <f t="shared" si="42"/>
        <v>427</v>
      </c>
      <c r="AF218" s="8">
        <f t="shared" si="43"/>
        <v>203</v>
      </c>
      <c r="AG218" s="9">
        <f t="shared" si="44"/>
        <v>0.32222222222222224</v>
      </c>
      <c r="AH218" s="10">
        <f t="shared" si="45"/>
        <v>2025</v>
      </c>
      <c r="AI218" s="10">
        <f t="shared" si="46"/>
        <v>5</v>
      </c>
      <c r="AJ218" s="10" t="str">
        <f t="shared" si="47"/>
        <v>2025-05</v>
      </c>
      <c r="AK218" s="10" t="str">
        <f t="shared" si="48"/>
        <v>T2</v>
      </c>
      <c r="AL218" s="10" t="str">
        <f t="shared" si="49"/>
        <v>50+</v>
      </c>
      <c r="AM218" s="10" t="str">
        <f t="shared" si="50"/>
        <v>moyen</v>
      </c>
      <c r="AN218" s="10" t="s">
        <v>2837</v>
      </c>
      <c r="AO218" s="10" t="str">
        <f t="shared" si="51"/>
        <v>Moyenne</v>
      </c>
    </row>
    <row r="219" spans="1:41">
      <c r="A219" t="s">
        <v>883</v>
      </c>
      <c r="B219" s="2">
        <v>46007</v>
      </c>
      <c r="C219" t="s">
        <v>884</v>
      </c>
      <c r="D219" t="s">
        <v>108</v>
      </c>
      <c r="E219" t="s">
        <v>315</v>
      </c>
      <c r="F219" t="s">
        <v>434</v>
      </c>
      <c r="G219">
        <v>2</v>
      </c>
      <c r="H219" s="4">
        <v>240</v>
      </c>
      <c r="I219" s="3">
        <v>0.02</v>
      </c>
      <c r="J219" t="s">
        <v>77</v>
      </c>
      <c r="K219" t="s">
        <v>46</v>
      </c>
      <c r="L219" t="s">
        <v>885</v>
      </c>
      <c r="M219" t="s">
        <v>48</v>
      </c>
      <c r="N219" t="s">
        <v>255</v>
      </c>
      <c r="O219" t="s">
        <v>113</v>
      </c>
      <c r="P219" t="s">
        <v>82</v>
      </c>
      <c r="Q219" t="s">
        <v>114</v>
      </c>
      <c r="R219" t="s">
        <v>317</v>
      </c>
      <c r="S219" t="s">
        <v>69</v>
      </c>
      <c r="T219" t="s">
        <v>436</v>
      </c>
      <c r="U219" s="5">
        <v>40</v>
      </c>
      <c r="V219" s="5" t="s">
        <v>56</v>
      </c>
      <c r="W219" s="5">
        <v>65</v>
      </c>
      <c r="X219" s="5">
        <v>5.2</v>
      </c>
      <c r="Y219" s="5">
        <v>7</v>
      </c>
      <c r="Z219" s="5" t="s">
        <v>94</v>
      </c>
      <c r="AA219" s="6">
        <v>177.6</v>
      </c>
      <c r="AB219" s="8">
        <f t="shared" si="39"/>
        <v>480</v>
      </c>
      <c r="AC219" s="8">
        <f t="shared" si="40"/>
        <v>9.6</v>
      </c>
      <c r="AD219" s="8">
        <f t="shared" si="41"/>
        <v>470.4</v>
      </c>
      <c r="AE219" s="8">
        <f t="shared" si="42"/>
        <v>355.2</v>
      </c>
      <c r="AF219" s="8">
        <f t="shared" si="43"/>
        <v>115.19999999999999</v>
      </c>
      <c r="AG219" s="9">
        <f t="shared" si="44"/>
        <v>0.24489795918367346</v>
      </c>
      <c r="AH219" s="10">
        <f t="shared" si="45"/>
        <v>2025</v>
      </c>
      <c r="AI219" s="10">
        <f t="shared" si="46"/>
        <v>12</v>
      </c>
      <c r="AJ219" s="10" t="str">
        <f t="shared" si="47"/>
        <v>2025-12</v>
      </c>
      <c r="AK219" s="10" t="str">
        <f t="shared" si="48"/>
        <v>T4</v>
      </c>
      <c r="AL219" s="10" t="str">
        <f t="shared" si="49"/>
        <v>40-49</v>
      </c>
      <c r="AM219" s="10" t="str">
        <f t="shared" si="50"/>
        <v>moyen</v>
      </c>
      <c r="AN219" s="10" t="s">
        <v>2837</v>
      </c>
      <c r="AO219" s="10" t="str">
        <f t="shared" si="51"/>
        <v>Faible</v>
      </c>
    </row>
    <row r="220" spans="1:41">
      <c r="A220" t="s">
        <v>886</v>
      </c>
      <c r="B220" s="2">
        <v>45945</v>
      </c>
      <c r="C220" t="s">
        <v>887</v>
      </c>
      <c r="D220" t="s">
        <v>188</v>
      </c>
      <c r="E220" t="s">
        <v>163</v>
      </c>
      <c r="F220" t="s">
        <v>182</v>
      </c>
      <c r="G220">
        <v>1</v>
      </c>
      <c r="H220" s="4">
        <v>350</v>
      </c>
      <c r="I220" s="3">
        <v>0.1</v>
      </c>
      <c r="J220" t="s">
        <v>90</v>
      </c>
      <c r="K220" t="s">
        <v>46</v>
      </c>
      <c r="L220" t="s">
        <v>888</v>
      </c>
      <c r="M220" t="s">
        <v>54</v>
      </c>
      <c r="N220" t="s">
        <v>49</v>
      </c>
      <c r="O220" t="s">
        <v>192</v>
      </c>
      <c r="P220" t="s">
        <v>51</v>
      </c>
      <c r="Q220" t="s">
        <v>114</v>
      </c>
      <c r="R220" t="s">
        <v>167</v>
      </c>
      <c r="S220" t="s">
        <v>123</v>
      </c>
      <c r="T220" t="s">
        <v>185</v>
      </c>
      <c r="U220" s="5">
        <v>33</v>
      </c>
      <c r="V220" s="5" t="s">
        <v>85</v>
      </c>
      <c r="W220" s="5">
        <v>44</v>
      </c>
      <c r="X220" s="5">
        <v>7.3</v>
      </c>
      <c r="Y220" s="5">
        <v>4</v>
      </c>
      <c r="Z220" s="5" t="s">
        <v>117</v>
      </c>
      <c r="AA220" s="6">
        <v>213.5</v>
      </c>
      <c r="AB220" s="8">
        <f t="shared" si="39"/>
        <v>350</v>
      </c>
      <c r="AC220" s="8">
        <f t="shared" si="40"/>
        <v>35</v>
      </c>
      <c r="AD220" s="8">
        <f t="shared" si="41"/>
        <v>315</v>
      </c>
      <c r="AE220" s="8">
        <f t="shared" si="42"/>
        <v>213.5</v>
      </c>
      <c r="AF220" s="8">
        <f t="shared" si="43"/>
        <v>101.5</v>
      </c>
      <c r="AG220" s="9">
        <f t="shared" si="44"/>
        <v>0.32222222222222224</v>
      </c>
      <c r="AH220" s="10">
        <f t="shared" si="45"/>
        <v>2025</v>
      </c>
      <c r="AI220" s="10">
        <f t="shared" si="46"/>
        <v>10</v>
      </c>
      <c r="AJ220" s="10" t="str">
        <f t="shared" si="47"/>
        <v>2025-10</v>
      </c>
      <c r="AK220" s="10" t="str">
        <f t="shared" si="48"/>
        <v>T4</v>
      </c>
      <c r="AL220" s="10" t="str">
        <f t="shared" si="49"/>
        <v>30-39</v>
      </c>
      <c r="AM220" s="10" t="str">
        <f t="shared" si="50"/>
        <v>bon</v>
      </c>
      <c r="AN220" s="10" t="s">
        <v>2839</v>
      </c>
      <c r="AO220" s="10" t="str">
        <f t="shared" si="51"/>
        <v>Faible</v>
      </c>
    </row>
    <row r="221" spans="1:41">
      <c r="A221" t="s">
        <v>889</v>
      </c>
      <c r="B221" s="2">
        <v>45856</v>
      </c>
      <c r="C221" t="s">
        <v>890</v>
      </c>
      <c r="D221" t="s">
        <v>148</v>
      </c>
      <c r="E221" t="s">
        <v>214</v>
      </c>
      <c r="F221" t="s">
        <v>156</v>
      </c>
      <c r="G221">
        <v>5</v>
      </c>
      <c r="H221" s="4">
        <v>110</v>
      </c>
      <c r="I221" s="3">
        <v>0.08</v>
      </c>
      <c r="J221" t="s">
        <v>90</v>
      </c>
      <c r="K221" t="s">
        <v>46</v>
      </c>
      <c r="L221" t="s">
        <v>891</v>
      </c>
      <c r="M221" t="s">
        <v>123</v>
      </c>
      <c r="N221" t="s">
        <v>49</v>
      </c>
      <c r="O221" t="s">
        <v>151</v>
      </c>
      <c r="P221" t="s">
        <v>103</v>
      </c>
      <c r="Q221" t="s">
        <v>114</v>
      </c>
      <c r="R221" t="s">
        <v>216</v>
      </c>
      <c r="S221" t="s">
        <v>65</v>
      </c>
      <c r="T221" t="s">
        <v>159</v>
      </c>
      <c r="U221" s="5">
        <v>57</v>
      </c>
      <c r="V221" s="5" t="s">
        <v>85</v>
      </c>
      <c r="W221" s="5">
        <v>10</v>
      </c>
      <c r="X221" s="5">
        <v>6.8</v>
      </c>
      <c r="Y221" s="5">
        <v>5</v>
      </c>
      <c r="Z221" s="5" t="s">
        <v>94</v>
      </c>
      <c r="AA221" s="6">
        <v>72.599999999999994</v>
      </c>
      <c r="AB221" s="8">
        <f t="shared" si="39"/>
        <v>550</v>
      </c>
      <c r="AC221" s="8">
        <f t="shared" si="40"/>
        <v>44</v>
      </c>
      <c r="AD221" s="8">
        <f t="shared" si="41"/>
        <v>506</v>
      </c>
      <c r="AE221" s="8">
        <f t="shared" si="42"/>
        <v>363</v>
      </c>
      <c r="AF221" s="8">
        <f t="shared" si="43"/>
        <v>143</v>
      </c>
      <c r="AG221" s="9">
        <f t="shared" si="44"/>
        <v>0.28260869565217389</v>
      </c>
      <c r="AH221" s="10">
        <f t="shared" si="45"/>
        <v>2025</v>
      </c>
      <c r="AI221" s="10">
        <f t="shared" si="46"/>
        <v>7</v>
      </c>
      <c r="AJ221" s="10" t="str">
        <f t="shared" si="47"/>
        <v>2025-07</v>
      </c>
      <c r="AK221" s="10" t="str">
        <f t="shared" si="48"/>
        <v>T3</v>
      </c>
      <c r="AL221" s="10" t="str">
        <f t="shared" si="49"/>
        <v>50+</v>
      </c>
      <c r="AM221" s="10" t="str">
        <f t="shared" si="50"/>
        <v>moyen</v>
      </c>
      <c r="AN221" s="10" t="s">
        <v>2839</v>
      </c>
      <c r="AO221" s="10" t="str">
        <f t="shared" si="51"/>
        <v>Moyenne</v>
      </c>
    </row>
    <row r="222" spans="1:41">
      <c r="A222" t="s">
        <v>892</v>
      </c>
      <c r="B222" s="2">
        <v>45750</v>
      </c>
      <c r="C222" t="s">
        <v>845</v>
      </c>
      <c r="D222" t="s">
        <v>155</v>
      </c>
      <c r="E222" t="s">
        <v>345</v>
      </c>
      <c r="F222" t="s">
        <v>434</v>
      </c>
      <c r="G222">
        <v>4</v>
      </c>
      <c r="H222" s="4">
        <v>48</v>
      </c>
      <c r="I222" s="3">
        <v>0.02</v>
      </c>
      <c r="J222" t="s">
        <v>63</v>
      </c>
      <c r="K222" t="s">
        <v>46</v>
      </c>
      <c r="L222" t="s">
        <v>846</v>
      </c>
      <c r="M222" t="s">
        <v>123</v>
      </c>
      <c r="N222" t="s">
        <v>101</v>
      </c>
      <c r="O222" t="s">
        <v>158</v>
      </c>
      <c r="P222" t="s">
        <v>51</v>
      </c>
      <c r="Q222" t="s">
        <v>143</v>
      </c>
      <c r="R222" t="s">
        <v>347</v>
      </c>
      <c r="S222" t="s">
        <v>54</v>
      </c>
      <c r="T222" t="s">
        <v>436</v>
      </c>
      <c r="U222" s="5">
        <v>25</v>
      </c>
      <c r="V222" s="5" t="s">
        <v>56</v>
      </c>
      <c r="W222" s="5">
        <v>28</v>
      </c>
      <c r="X222" s="5">
        <v>6.3</v>
      </c>
      <c r="Y222" s="5">
        <v>5</v>
      </c>
      <c r="Z222" s="5" t="s">
        <v>117</v>
      </c>
      <c r="AA222" s="6">
        <v>37.44</v>
      </c>
      <c r="AB222" s="8">
        <f t="shared" si="39"/>
        <v>192</v>
      </c>
      <c r="AC222" s="8">
        <f t="shared" si="40"/>
        <v>3.84</v>
      </c>
      <c r="AD222" s="8">
        <f t="shared" si="41"/>
        <v>188.16</v>
      </c>
      <c r="AE222" s="8">
        <f t="shared" si="42"/>
        <v>149.76</v>
      </c>
      <c r="AF222" s="8">
        <f t="shared" si="43"/>
        <v>38.400000000000006</v>
      </c>
      <c r="AG222" s="9">
        <f t="shared" si="44"/>
        <v>0.20408163265306126</v>
      </c>
      <c r="AH222" s="10">
        <f t="shared" si="45"/>
        <v>2025</v>
      </c>
      <c r="AI222" s="10">
        <f t="shared" si="46"/>
        <v>4</v>
      </c>
      <c r="AJ222" s="10" t="str">
        <f t="shared" si="47"/>
        <v>2025-04</v>
      </c>
      <c r="AK222" s="10" t="str">
        <f t="shared" si="48"/>
        <v>T2</v>
      </c>
      <c r="AL222" s="10" t="str">
        <f t="shared" si="49"/>
        <v>22-29</v>
      </c>
      <c r="AM222" s="10" t="str">
        <f t="shared" si="50"/>
        <v>moyen</v>
      </c>
      <c r="AN222" s="10" t="s">
        <v>2839</v>
      </c>
      <c r="AO222" s="10" t="str">
        <f t="shared" si="51"/>
        <v>Faible</v>
      </c>
    </row>
    <row r="223" spans="1:41">
      <c r="A223" t="s">
        <v>893</v>
      </c>
      <c r="B223" s="2">
        <v>45967</v>
      </c>
      <c r="C223" t="s">
        <v>894</v>
      </c>
      <c r="D223" t="s">
        <v>174</v>
      </c>
      <c r="E223" t="s">
        <v>189</v>
      </c>
      <c r="F223" t="s">
        <v>238</v>
      </c>
      <c r="G223">
        <v>2</v>
      </c>
      <c r="H223" s="4">
        <v>780</v>
      </c>
      <c r="I223" s="3">
        <v>0.08</v>
      </c>
      <c r="J223" t="s">
        <v>63</v>
      </c>
      <c r="K223" t="s">
        <v>46</v>
      </c>
      <c r="L223" t="s">
        <v>895</v>
      </c>
      <c r="M223" t="s">
        <v>65</v>
      </c>
      <c r="N223" t="s">
        <v>112</v>
      </c>
      <c r="O223" t="s">
        <v>177</v>
      </c>
      <c r="P223" t="s">
        <v>103</v>
      </c>
      <c r="Q223" t="s">
        <v>114</v>
      </c>
      <c r="R223" t="s">
        <v>193</v>
      </c>
      <c r="S223" t="s">
        <v>79</v>
      </c>
      <c r="T223" t="s">
        <v>240</v>
      </c>
      <c r="U223" s="5">
        <v>25</v>
      </c>
      <c r="V223" s="5" t="s">
        <v>85</v>
      </c>
      <c r="W223" s="5">
        <v>46</v>
      </c>
      <c r="X223" s="5">
        <v>7</v>
      </c>
      <c r="Y223" s="5">
        <v>3</v>
      </c>
      <c r="Z223" s="5" t="s">
        <v>117</v>
      </c>
      <c r="AA223" s="6">
        <v>468</v>
      </c>
      <c r="AB223" s="8">
        <f t="shared" si="39"/>
        <v>1560</v>
      </c>
      <c r="AC223" s="8">
        <f t="shared" si="40"/>
        <v>124.8</v>
      </c>
      <c r="AD223" s="8">
        <f t="shared" si="41"/>
        <v>1435.2</v>
      </c>
      <c r="AE223" s="8">
        <f t="shared" si="42"/>
        <v>936</v>
      </c>
      <c r="AF223" s="8">
        <f t="shared" si="43"/>
        <v>499.20000000000005</v>
      </c>
      <c r="AG223" s="9">
        <f t="shared" si="44"/>
        <v>0.34782608695652178</v>
      </c>
      <c r="AH223" s="10">
        <f t="shared" si="45"/>
        <v>2025</v>
      </c>
      <c r="AI223" s="10">
        <f t="shared" si="46"/>
        <v>11</v>
      </c>
      <c r="AJ223" s="10" t="str">
        <f t="shared" si="47"/>
        <v>2025-11</v>
      </c>
      <c r="AK223" s="10" t="str">
        <f t="shared" si="48"/>
        <v>T4</v>
      </c>
      <c r="AL223" s="10" t="str">
        <f t="shared" si="49"/>
        <v>22-29</v>
      </c>
      <c r="AM223" s="10" t="str">
        <f t="shared" si="50"/>
        <v>bon</v>
      </c>
      <c r="AN223" s="10" t="s">
        <v>2838</v>
      </c>
      <c r="AO223" s="10" t="str">
        <f t="shared" si="51"/>
        <v>Elevée</v>
      </c>
    </row>
    <row r="224" spans="1:41">
      <c r="A224" t="s">
        <v>896</v>
      </c>
      <c r="B224" s="2">
        <v>45898</v>
      </c>
      <c r="C224" t="s">
        <v>897</v>
      </c>
      <c r="D224" t="s">
        <v>188</v>
      </c>
      <c r="E224" t="s">
        <v>61</v>
      </c>
      <c r="F224" t="s">
        <v>813</v>
      </c>
      <c r="G224">
        <v>1</v>
      </c>
      <c r="H224" s="4">
        <v>350</v>
      </c>
      <c r="I224" s="3">
        <v>0</v>
      </c>
      <c r="J224" t="s">
        <v>77</v>
      </c>
      <c r="K224" t="s">
        <v>46</v>
      </c>
      <c r="L224" t="s">
        <v>898</v>
      </c>
      <c r="M224" t="s">
        <v>123</v>
      </c>
      <c r="N224" t="s">
        <v>80</v>
      </c>
      <c r="O224" t="s">
        <v>192</v>
      </c>
      <c r="P224" t="s">
        <v>51</v>
      </c>
      <c r="Q224" t="s">
        <v>114</v>
      </c>
      <c r="R224" t="s">
        <v>68</v>
      </c>
      <c r="S224" t="s">
        <v>69</v>
      </c>
      <c r="T224" t="s">
        <v>815</v>
      </c>
      <c r="U224" s="5">
        <v>27</v>
      </c>
      <c r="V224" s="5" t="s">
        <v>85</v>
      </c>
      <c r="W224" s="5">
        <v>28</v>
      </c>
      <c r="X224" s="5">
        <v>8.8000000000000007</v>
      </c>
      <c r="Y224" s="5">
        <v>1</v>
      </c>
      <c r="Z224" s="5" t="s">
        <v>57</v>
      </c>
      <c r="AA224" s="6">
        <v>213.5</v>
      </c>
      <c r="AB224" s="8">
        <f t="shared" si="39"/>
        <v>350</v>
      </c>
      <c r="AC224" s="8">
        <f t="shared" si="40"/>
        <v>0</v>
      </c>
      <c r="AD224" s="8">
        <f t="shared" si="41"/>
        <v>350</v>
      </c>
      <c r="AE224" s="8">
        <f t="shared" si="42"/>
        <v>213.5</v>
      </c>
      <c r="AF224" s="8">
        <f t="shared" si="43"/>
        <v>136.5</v>
      </c>
      <c r="AG224" s="9">
        <f t="shared" si="44"/>
        <v>0.39</v>
      </c>
      <c r="AH224" s="10">
        <f t="shared" si="45"/>
        <v>2025</v>
      </c>
      <c r="AI224" s="10">
        <f t="shared" si="46"/>
        <v>8</v>
      </c>
      <c r="AJ224" s="10" t="str">
        <f t="shared" si="47"/>
        <v>2025-08</v>
      </c>
      <c r="AK224" s="10" t="str">
        <f t="shared" si="48"/>
        <v>T3</v>
      </c>
      <c r="AL224" s="10" t="str">
        <f t="shared" si="49"/>
        <v>22-29</v>
      </c>
      <c r="AM224" s="10" t="str">
        <f t="shared" si="50"/>
        <v>bon</v>
      </c>
      <c r="AN224" s="10" t="s">
        <v>2838</v>
      </c>
      <c r="AO224" s="10" t="str">
        <f t="shared" si="51"/>
        <v>Faible</v>
      </c>
    </row>
    <row r="225" spans="1:41">
      <c r="A225" t="s">
        <v>899</v>
      </c>
      <c r="B225" s="2">
        <v>45878</v>
      </c>
      <c r="C225" t="s">
        <v>87</v>
      </c>
      <c r="D225" t="s">
        <v>188</v>
      </c>
      <c r="E225" t="s">
        <v>315</v>
      </c>
      <c r="F225" t="s">
        <v>208</v>
      </c>
      <c r="G225">
        <v>10</v>
      </c>
      <c r="H225" s="4">
        <v>350</v>
      </c>
      <c r="I225" s="3">
        <v>0</v>
      </c>
      <c r="J225" t="s">
        <v>90</v>
      </c>
      <c r="K225" t="s">
        <v>46</v>
      </c>
      <c r="L225" t="s">
        <v>91</v>
      </c>
      <c r="M225" t="s">
        <v>69</v>
      </c>
      <c r="N225" t="s">
        <v>80</v>
      </c>
      <c r="O225" t="s">
        <v>192</v>
      </c>
      <c r="P225" t="s">
        <v>51</v>
      </c>
      <c r="Q225" t="s">
        <v>114</v>
      </c>
      <c r="R225" t="s">
        <v>317</v>
      </c>
      <c r="S225" t="s">
        <v>69</v>
      </c>
      <c r="T225" t="s">
        <v>211</v>
      </c>
      <c r="U225" s="5">
        <v>40</v>
      </c>
      <c r="V225" s="5" t="s">
        <v>85</v>
      </c>
      <c r="W225" s="5">
        <v>70</v>
      </c>
      <c r="X225" s="5">
        <v>7</v>
      </c>
      <c r="Y225" s="5">
        <v>3</v>
      </c>
      <c r="Z225" s="5" t="s">
        <v>57</v>
      </c>
      <c r="AA225" s="6">
        <v>213.5</v>
      </c>
      <c r="AB225" s="8">
        <f t="shared" si="39"/>
        <v>3500</v>
      </c>
      <c r="AC225" s="8">
        <f t="shared" si="40"/>
        <v>0</v>
      </c>
      <c r="AD225" s="8">
        <f t="shared" si="41"/>
        <v>3500</v>
      </c>
      <c r="AE225" s="8">
        <f t="shared" si="42"/>
        <v>2135</v>
      </c>
      <c r="AF225" s="8">
        <f t="shared" si="43"/>
        <v>1365</v>
      </c>
      <c r="AG225" s="9">
        <f t="shared" si="44"/>
        <v>0.39</v>
      </c>
      <c r="AH225" s="10">
        <f t="shared" si="45"/>
        <v>2025</v>
      </c>
      <c r="AI225" s="10">
        <f t="shared" si="46"/>
        <v>8</v>
      </c>
      <c r="AJ225" s="10" t="str">
        <f t="shared" si="47"/>
        <v>2025-08</v>
      </c>
      <c r="AK225" s="10" t="str">
        <f t="shared" si="48"/>
        <v>T3</v>
      </c>
      <c r="AL225" s="10" t="str">
        <f t="shared" si="49"/>
        <v>40-49</v>
      </c>
      <c r="AM225" s="10" t="str">
        <f t="shared" si="50"/>
        <v>bon</v>
      </c>
      <c r="AN225" s="10" t="s">
        <v>2838</v>
      </c>
      <c r="AO225" s="10" t="str">
        <f t="shared" si="51"/>
        <v>Elevée</v>
      </c>
    </row>
    <row r="226" spans="1:41">
      <c r="A226" t="s">
        <v>900</v>
      </c>
      <c r="B226" s="2">
        <v>45983</v>
      </c>
      <c r="C226" t="s">
        <v>901</v>
      </c>
      <c r="D226" t="s">
        <v>333</v>
      </c>
      <c r="E226" t="s">
        <v>109</v>
      </c>
      <c r="F226" t="s">
        <v>522</v>
      </c>
      <c r="G226">
        <v>1</v>
      </c>
      <c r="H226" s="4">
        <v>65</v>
      </c>
      <c r="I226" s="3">
        <v>0</v>
      </c>
      <c r="J226" t="s">
        <v>90</v>
      </c>
      <c r="K226" t="s">
        <v>46</v>
      </c>
      <c r="L226" t="s">
        <v>902</v>
      </c>
      <c r="M226" t="s">
        <v>48</v>
      </c>
      <c r="N226" t="s">
        <v>112</v>
      </c>
      <c r="O226" t="s">
        <v>336</v>
      </c>
      <c r="P226" t="s">
        <v>51</v>
      </c>
      <c r="Q226" t="s">
        <v>52</v>
      </c>
      <c r="R226" t="s">
        <v>115</v>
      </c>
      <c r="S226" t="s">
        <v>65</v>
      </c>
      <c r="T226" t="s">
        <v>524</v>
      </c>
      <c r="U226" s="5">
        <v>46</v>
      </c>
      <c r="V226" s="5" t="s">
        <v>56</v>
      </c>
      <c r="W226" s="5">
        <v>60</v>
      </c>
      <c r="X226" s="5">
        <v>6.5</v>
      </c>
      <c r="Y226" s="5">
        <v>4</v>
      </c>
      <c r="Z226" s="5" t="s">
        <v>71</v>
      </c>
      <c r="AA226" s="6">
        <v>47.45</v>
      </c>
      <c r="AB226" s="8">
        <f t="shared" si="39"/>
        <v>65</v>
      </c>
      <c r="AC226" s="8">
        <f t="shared" si="40"/>
        <v>0</v>
      </c>
      <c r="AD226" s="8">
        <f t="shared" si="41"/>
        <v>65</v>
      </c>
      <c r="AE226" s="8">
        <f t="shared" si="42"/>
        <v>47.45</v>
      </c>
      <c r="AF226" s="8">
        <f t="shared" si="43"/>
        <v>17.549999999999997</v>
      </c>
      <c r="AG226" s="9">
        <f t="shared" si="44"/>
        <v>0.26999999999999996</v>
      </c>
      <c r="AH226" s="10">
        <f t="shared" si="45"/>
        <v>2025</v>
      </c>
      <c r="AI226" s="10">
        <f t="shared" si="46"/>
        <v>11</v>
      </c>
      <c r="AJ226" s="10" t="str">
        <f t="shared" si="47"/>
        <v>2025-11</v>
      </c>
      <c r="AK226" s="10" t="str">
        <f t="shared" si="48"/>
        <v>T4</v>
      </c>
      <c r="AL226" s="10" t="str">
        <f t="shared" si="49"/>
        <v>40-49</v>
      </c>
      <c r="AM226" s="10" t="str">
        <f t="shared" si="50"/>
        <v>moyen</v>
      </c>
      <c r="AN226" s="10" t="s">
        <v>2839</v>
      </c>
      <c r="AO226" s="10" t="str">
        <f t="shared" si="51"/>
        <v>Faible</v>
      </c>
    </row>
    <row r="227" spans="1:41">
      <c r="A227" t="s">
        <v>903</v>
      </c>
      <c r="B227" s="2">
        <v>45872</v>
      </c>
      <c r="C227" t="s">
        <v>904</v>
      </c>
      <c r="D227" t="s">
        <v>74</v>
      </c>
      <c r="E227" t="s">
        <v>139</v>
      </c>
      <c r="F227" t="s">
        <v>548</v>
      </c>
      <c r="G227">
        <v>3</v>
      </c>
      <c r="H227" s="4">
        <v>95</v>
      </c>
      <c r="I227" s="3">
        <v>0.08</v>
      </c>
      <c r="J227" t="s">
        <v>77</v>
      </c>
      <c r="K227" t="s">
        <v>46</v>
      </c>
      <c r="L227" t="s">
        <v>905</v>
      </c>
      <c r="M227" t="s">
        <v>123</v>
      </c>
      <c r="N227" t="s">
        <v>49</v>
      </c>
      <c r="O227" t="s">
        <v>81</v>
      </c>
      <c r="P227" t="s">
        <v>82</v>
      </c>
      <c r="Q227" t="s">
        <v>52</v>
      </c>
      <c r="R227" t="s">
        <v>144</v>
      </c>
      <c r="S227" t="s">
        <v>65</v>
      </c>
      <c r="T227" t="s">
        <v>550</v>
      </c>
      <c r="U227" s="5">
        <v>32</v>
      </c>
      <c r="V227" s="5" t="s">
        <v>85</v>
      </c>
      <c r="W227" s="5">
        <v>31</v>
      </c>
      <c r="X227" s="5">
        <v>4.3</v>
      </c>
      <c r="Y227" s="5">
        <v>9</v>
      </c>
      <c r="Z227" s="5" t="s">
        <v>117</v>
      </c>
      <c r="AA227" s="6">
        <v>70.3</v>
      </c>
      <c r="AB227" s="8">
        <f t="shared" si="39"/>
        <v>285</v>
      </c>
      <c r="AC227" s="8">
        <f t="shared" si="40"/>
        <v>22.8</v>
      </c>
      <c r="AD227" s="8">
        <f t="shared" si="41"/>
        <v>262.2</v>
      </c>
      <c r="AE227" s="8">
        <f t="shared" si="42"/>
        <v>210.89999999999998</v>
      </c>
      <c r="AF227" s="8">
        <f t="shared" si="43"/>
        <v>51.300000000000011</v>
      </c>
      <c r="AG227" s="9">
        <f t="shared" si="44"/>
        <v>0.19565217391304354</v>
      </c>
      <c r="AH227" s="10">
        <f t="shared" si="45"/>
        <v>2025</v>
      </c>
      <c r="AI227" s="10">
        <f t="shared" si="46"/>
        <v>8</v>
      </c>
      <c r="AJ227" s="10" t="str">
        <f t="shared" si="47"/>
        <v>2025-08</v>
      </c>
      <c r="AK227" s="10" t="str">
        <f t="shared" si="48"/>
        <v>T3</v>
      </c>
      <c r="AL227" s="10" t="str">
        <f t="shared" si="49"/>
        <v>30-39</v>
      </c>
      <c r="AM227" s="10" t="str">
        <f t="shared" si="50"/>
        <v>faible</v>
      </c>
      <c r="AN227" s="10" t="s">
        <v>2837</v>
      </c>
      <c r="AO227" s="10" t="str">
        <f t="shared" si="51"/>
        <v>Faible</v>
      </c>
    </row>
    <row r="228" spans="1:41">
      <c r="A228" t="s">
        <v>906</v>
      </c>
      <c r="B228" s="2">
        <v>45810</v>
      </c>
      <c r="C228" t="s">
        <v>907</v>
      </c>
      <c r="D228" t="s">
        <v>174</v>
      </c>
      <c r="E228" t="s">
        <v>129</v>
      </c>
      <c r="F228" t="s">
        <v>238</v>
      </c>
      <c r="G228">
        <v>1</v>
      </c>
      <c r="H228" s="4">
        <v>780</v>
      </c>
      <c r="I228" s="3">
        <v>0</v>
      </c>
      <c r="J228" t="s">
        <v>63</v>
      </c>
      <c r="K228" t="s">
        <v>46</v>
      </c>
      <c r="L228" t="s">
        <v>908</v>
      </c>
      <c r="M228" t="s">
        <v>48</v>
      </c>
      <c r="N228" t="s">
        <v>101</v>
      </c>
      <c r="O228" t="s">
        <v>177</v>
      </c>
      <c r="P228" t="s">
        <v>103</v>
      </c>
      <c r="Q228" t="s">
        <v>114</v>
      </c>
      <c r="R228" t="s">
        <v>134</v>
      </c>
      <c r="S228" t="s">
        <v>123</v>
      </c>
      <c r="T228" t="s">
        <v>240</v>
      </c>
      <c r="U228" s="5">
        <v>59</v>
      </c>
      <c r="V228" s="5" t="s">
        <v>56</v>
      </c>
      <c r="W228" s="5">
        <v>56</v>
      </c>
      <c r="X228" s="5">
        <v>7.3</v>
      </c>
      <c r="Y228" s="5">
        <v>4</v>
      </c>
      <c r="Z228" s="5" t="s">
        <v>117</v>
      </c>
      <c r="AA228" s="6">
        <v>468</v>
      </c>
      <c r="AB228" s="8">
        <f t="shared" si="39"/>
        <v>780</v>
      </c>
      <c r="AC228" s="8">
        <f t="shared" si="40"/>
        <v>0</v>
      </c>
      <c r="AD228" s="8">
        <f t="shared" si="41"/>
        <v>780</v>
      </c>
      <c r="AE228" s="8">
        <f t="shared" si="42"/>
        <v>468</v>
      </c>
      <c r="AF228" s="8">
        <f t="shared" si="43"/>
        <v>312</v>
      </c>
      <c r="AG228" s="9">
        <f t="shared" si="44"/>
        <v>0.4</v>
      </c>
      <c r="AH228" s="10">
        <f t="shared" si="45"/>
        <v>2025</v>
      </c>
      <c r="AI228" s="10">
        <f t="shared" si="46"/>
        <v>6</v>
      </c>
      <c r="AJ228" s="10" t="str">
        <f t="shared" si="47"/>
        <v>2025-06</v>
      </c>
      <c r="AK228" s="10" t="str">
        <f t="shared" si="48"/>
        <v>T2</v>
      </c>
      <c r="AL228" s="10" t="str">
        <f t="shared" si="49"/>
        <v>50+</v>
      </c>
      <c r="AM228" s="10" t="str">
        <f t="shared" si="50"/>
        <v>bon</v>
      </c>
      <c r="AN228" s="10" t="s">
        <v>2839</v>
      </c>
      <c r="AO228" s="10" t="str">
        <f t="shared" si="51"/>
        <v>Moyenne</v>
      </c>
    </row>
    <row r="229" spans="1:41">
      <c r="A229" t="s">
        <v>909</v>
      </c>
      <c r="B229" s="2">
        <v>46012</v>
      </c>
      <c r="C229" t="s">
        <v>569</v>
      </c>
      <c r="D229" t="s">
        <v>128</v>
      </c>
      <c r="E229" t="s">
        <v>129</v>
      </c>
      <c r="F229" t="s">
        <v>328</v>
      </c>
      <c r="G229">
        <v>3</v>
      </c>
      <c r="H229" s="4">
        <v>190</v>
      </c>
      <c r="I229" s="3">
        <v>0.1</v>
      </c>
      <c r="J229" t="s">
        <v>90</v>
      </c>
      <c r="K229" t="s">
        <v>46</v>
      </c>
      <c r="L229" t="s">
        <v>570</v>
      </c>
      <c r="M229" t="s">
        <v>65</v>
      </c>
      <c r="N229" t="s">
        <v>112</v>
      </c>
      <c r="O229" t="s">
        <v>132</v>
      </c>
      <c r="P229" t="s">
        <v>133</v>
      </c>
      <c r="Q229" t="s">
        <v>52</v>
      </c>
      <c r="R229" t="s">
        <v>134</v>
      </c>
      <c r="S229" t="s">
        <v>123</v>
      </c>
      <c r="T229" t="s">
        <v>330</v>
      </c>
      <c r="U229" s="5">
        <v>40</v>
      </c>
      <c r="V229" s="5" t="s">
        <v>85</v>
      </c>
      <c r="W229" s="5">
        <v>58</v>
      </c>
      <c r="X229" s="5">
        <v>7.5</v>
      </c>
      <c r="Y229" s="5">
        <v>3</v>
      </c>
      <c r="Z229" s="5" t="s">
        <v>57</v>
      </c>
      <c r="AA229" s="6">
        <v>148.19999999999999</v>
      </c>
      <c r="AB229" s="8">
        <f t="shared" si="39"/>
        <v>570</v>
      </c>
      <c r="AC229" s="8">
        <f t="shared" si="40"/>
        <v>57</v>
      </c>
      <c r="AD229" s="8">
        <f t="shared" si="41"/>
        <v>513</v>
      </c>
      <c r="AE229" s="8">
        <f t="shared" si="42"/>
        <v>444.59999999999997</v>
      </c>
      <c r="AF229" s="8">
        <f t="shared" si="43"/>
        <v>68.400000000000034</v>
      </c>
      <c r="AG229" s="9">
        <f t="shared" si="44"/>
        <v>0.13333333333333339</v>
      </c>
      <c r="AH229" s="10">
        <f t="shared" si="45"/>
        <v>2025</v>
      </c>
      <c r="AI229" s="10">
        <f t="shared" si="46"/>
        <v>12</v>
      </c>
      <c r="AJ229" s="10" t="str">
        <f t="shared" si="47"/>
        <v>2025-12</v>
      </c>
      <c r="AK229" s="10" t="str">
        <f t="shared" si="48"/>
        <v>T4</v>
      </c>
      <c r="AL229" s="10" t="str">
        <f t="shared" si="49"/>
        <v>40-49</v>
      </c>
      <c r="AM229" s="10" t="str">
        <f t="shared" si="50"/>
        <v>bon</v>
      </c>
      <c r="AN229" s="10" t="s">
        <v>2838</v>
      </c>
      <c r="AO229" s="10" t="str">
        <f t="shared" si="51"/>
        <v>Moyenne</v>
      </c>
    </row>
    <row r="230" spans="1:41">
      <c r="A230" t="s">
        <v>910</v>
      </c>
      <c r="B230" s="2">
        <v>45998</v>
      </c>
      <c r="C230" t="s">
        <v>911</v>
      </c>
      <c r="D230" t="s">
        <v>174</v>
      </c>
      <c r="E230" t="s">
        <v>98</v>
      </c>
      <c r="F230" t="s">
        <v>361</v>
      </c>
      <c r="G230">
        <v>20</v>
      </c>
      <c r="H230" s="4">
        <v>780</v>
      </c>
      <c r="I230" s="3">
        <v>0.08</v>
      </c>
      <c r="J230" t="s">
        <v>77</v>
      </c>
      <c r="K230" t="s">
        <v>46</v>
      </c>
      <c r="L230" t="s">
        <v>912</v>
      </c>
      <c r="M230" t="s">
        <v>54</v>
      </c>
      <c r="N230" t="s">
        <v>80</v>
      </c>
      <c r="O230" t="s">
        <v>177</v>
      </c>
      <c r="P230" t="s">
        <v>103</v>
      </c>
      <c r="Q230" t="s">
        <v>114</v>
      </c>
      <c r="R230" t="s">
        <v>104</v>
      </c>
      <c r="S230" t="s">
        <v>79</v>
      </c>
      <c r="T230" t="s">
        <v>363</v>
      </c>
      <c r="U230" s="5">
        <v>58</v>
      </c>
      <c r="V230" s="5" t="s">
        <v>56</v>
      </c>
      <c r="W230" s="5">
        <v>14</v>
      </c>
      <c r="X230" s="5">
        <v>3.3</v>
      </c>
      <c r="Y230" s="5">
        <v>9</v>
      </c>
      <c r="Z230" s="5" t="s">
        <v>94</v>
      </c>
      <c r="AA230" s="6">
        <v>468</v>
      </c>
      <c r="AB230" s="8">
        <f t="shared" si="39"/>
        <v>15600</v>
      </c>
      <c r="AC230" s="8">
        <f t="shared" si="40"/>
        <v>1248</v>
      </c>
      <c r="AD230" s="8">
        <f t="shared" si="41"/>
        <v>14352</v>
      </c>
      <c r="AE230" s="8">
        <f t="shared" si="42"/>
        <v>9360</v>
      </c>
      <c r="AF230" s="8">
        <f t="shared" si="43"/>
        <v>4992</v>
      </c>
      <c r="AG230" s="9">
        <f t="shared" si="44"/>
        <v>0.34782608695652173</v>
      </c>
      <c r="AH230" s="10">
        <f t="shared" si="45"/>
        <v>2025</v>
      </c>
      <c r="AI230" s="10">
        <f t="shared" si="46"/>
        <v>12</v>
      </c>
      <c r="AJ230" s="10" t="str">
        <f t="shared" si="47"/>
        <v>2025-12</v>
      </c>
      <c r="AK230" s="10" t="str">
        <f t="shared" si="48"/>
        <v>T4</v>
      </c>
      <c r="AL230" s="10" t="str">
        <f t="shared" si="49"/>
        <v>50+</v>
      </c>
      <c r="AM230" s="10" t="str">
        <f t="shared" si="50"/>
        <v>faible</v>
      </c>
      <c r="AN230" s="10" t="s">
        <v>2837</v>
      </c>
      <c r="AO230" s="10" t="str">
        <f t="shared" si="51"/>
        <v>Elevée</v>
      </c>
    </row>
    <row r="231" spans="1:41">
      <c r="A231" t="s">
        <v>913</v>
      </c>
      <c r="B231" s="2">
        <v>45820</v>
      </c>
      <c r="C231" t="s">
        <v>914</v>
      </c>
      <c r="D231" t="s">
        <v>42</v>
      </c>
      <c r="E231" t="s">
        <v>277</v>
      </c>
      <c r="F231" t="s">
        <v>548</v>
      </c>
      <c r="G231">
        <v>1</v>
      </c>
      <c r="H231" s="4">
        <v>260</v>
      </c>
      <c r="I231" s="3">
        <v>0.08</v>
      </c>
      <c r="J231" t="s">
        <v>63</v>
      </c>
      <c r="K231" t="s">
        <v>46</v>
      </c>
      <c r="L231" t="s">
        <v>915</v>
      </c>
      <c r="M231" t="s">
        <v>65</v>
      </c>
      <c r="N231" t="s">
        <v>80</v>
      </c>
      <c r="O231" t="s">
        <v>50</v>
      </c>
      <c r="P231" t="s">
        <v>51</v>
      </c>
      <c r="Q231" t="s">
        <v>52</v>
      </c>
      <c r="R231" t="s">
        <v>279</v>
      </c>
      <c r="S231" t="s">
        <v>54</v>
      </c>
      <c r="T231" t="s">
        <v>550</v>
      </c>
      <c r="U231" s="5">
        <v>60</v>
      </c>
      <c r="V231" s="5" t="s">
        <v>56</v>
      </c>
      <c r="W231" s="5">
        <v>65</v>
      </c>
      <c r="X231" s="5">
        <v>6.8</v>
      </c>
      <c r="Y231" s="5">
        <v>3</v>
      </c>
      <c r="Z231" s="5" t="s">
        <v>57</v>
      </c>
      <c r="AA231" s="6">
        <v>189.8</v>
      </c>
      <c r="AB231" s="8">
        <f t="shared" si="39"/>
        <v>260</v>
      </c>
      <c r="AC231" s="8">
        <f t="shared" si="40"/>
        <v>20.8</v>
      </c>
      <c r="AD231" s="8">
        <f t="shared" si="41"/>
        <v>239.2</v>
      </c>
      <c r="AE231" s="8">
        <f t="shared" si="42"/>
        <v>189.8</v>
      </c>
      <c r="AF231" s="8">
        <f t="shared" si="43"/>
        <v>49.399999999999977</v>
      </c>
      <c r="AG231" s="9">
        <f t="shared" si="44"/>
        <v>0.2065217391304347</v>
      </c>
      <c r="AH231" s="10">
        <f t="shared" si="45"/>
        <v>2025</v>
      </c>
      <c r="AI231" s="10">
        <f t="shared" si="46"/>
        <v>6</v>
      </c>
      <c r="AJ231" s="10" t="str">
        <f t="shared" si="47"/>
        <v>2025-06</v>
      </c>
      <c r="AK231" s="10" t="str">
        <f t="shared" si="48"/>
        <v>T2</v>
      </c>
      <c r="AL231" s="10" t="str">
        <f t="shared" si="49"/>
        <v>50+</v>
      </c>
      <c r="AM231" s="10" t="str">
        <f t="shared" si="50"/>
        <v>moyen</v>
      </c>
      <c r="AN231" s="10" t="s">
        <v>2838</v>
      </c>
      <c r="AO231" s="10" t="str">
        <f t="shared" si="51"/>
        <v>Faible</v>
      </c>
    </row>
    <row r="232" spans="1:41">
      <c r="A232" t="s">
        <v>916</v>
      </c>
      <c r="B232" s="2">
        <v>45888</v>
      </c>
      <c r="C232" t="s">
        <v>917</v>
      </c>
      <c r="D232" t="s">
        <v>155</v>
      </c>
      <c r="E232" t="s">
        <v>98</v>
      </c>
      <c r="F232" t="s">
        <v>243</v>
      </c>
      <c r="G232">
        <v>3</v>
      </c>
      <c r="H232" s="4">
        <v>48</v>
      </c>
      <c r="I232" s="3">
        <v>0.05</v>
      </c>
      <c r="J232" t="s">
        <v>90</v>
      </c>
      <c r="K232" t="s">
        <v>46</v>
      </c>
      <c r="L232" t="s">
        <v>918</v>
      </c>
      <c r="M232" t="s">
        <v>123</v>
      </c>
      <c r="N232" t="s">
        <v>80</v>
      </c>
      <c r="O232" t="s">
        <v>158</v>
      </c>
      <c r="P232" t="s">
        <v>51</v>
      </c>
      <c r="Q232" t="s">
        <v>143</v>
      </c>
      <c r="R232" t="s">
        <v>104</v>
      </c>
      <c r="S232" t="s">
        <v>79</v>
      </c>
      <c r="T232" t="s">
        <v>245</v>
      </c>
      <c r="U232" s="5">
        <v>22</v>
      </c>
      <c r="V232" s="5" t="s">
        <v>56</v>
      </c>
      <c r="W232" s="5">
        <v>28</v>
      </c>
      <c r="X232" s="5">
        <v>8.3000000000000007</v>
      </c>
      <c r="Y232" s="5">
        <v>2</v>
      </c>
      <c r="Z232" s="5" t="s">
        <v>94</v>
      </c>
      <c r="AA232" s="6">
        <v>37.44</v>
      </c>
      <c r="AB232" s="8">
        <f t="shared" si="39"/>
        <v>144</v>
      </c>
      <c r="AC232" s="8">
        <f t="shared" si="40"/>
        <v>7.2</v>
      </c>
      <c r="AD232" s="8">
        <f t="shared" si="41"/>
        <v>136.80000000000001</v>
      </c>
      <c r="AE232" s="8">
        <f t="shared" si="42"/>
        <v>112.32</v>
      </c>
      <c r="AF232" s="8">
        <f t="shared" si="43"/>
        <v>24.480000000000018</v>
      </c>
      <c r="AG232" s="9">
        <f t="shared" si="44"/>
        <v>0.17894736842105274</v>
      </c>
      <c r="AH232" s="10">
        <f t="shared" si="45"/>
        <v>2025</v>
      </c>
      <c r="AI232" s="10">
        <f t="shared" si="46"/>
        <v>8</v>
      </c>
      <c r="AJ232" s="10" t="str">
        <f t="shared" si="47"/>
        <v>2025-08</v>
      </c>
      <c r="AK232" s="10" t="str">
        <f t="shared" si="48"/>
        <v>T3</v>
      </c>
      <c r="AL232" s="10" t="str">
        <f t="shared" si="49"/>
        <v>22-29</v>
      </c>
      <c r="AM232" s="10" t="str">
        <f t="shared" si="50"/>
        <v>bon</v>
      </c>
      <c r="AN232" s="10" t="s">
        <v>2838</v>
      </c>
      <c r="AO232" s="10" t="str">
        <f t="shared" si="51"/>
        <v>Faible</v>
      </c>
    </row>
    <row r="233" spans="1:41">
      <c r="A233" t="s">
        <v>919</v>
      </c>
      <c r="B233" s="2">
        <v>45743</v>
      </c>
      <c r="C233" t="s">
        <v>920</v>
      </c>
      <c r="D233" t="s">
        <v>333</v>
      </c>
      <c r="E233" t="s">
        <v>61</v>
      </c>
      <c r="F233" t="s">
        <v>253</v>
      </c>
      <c r="G233">
        <v>3</v>
      </c>
      <c r="H233" s="4">
        <v>65</v>
      </c>
      <c r="I233" s="3">
        <v>0</v>
      </c>
      <c r="J233" t="s">
        <v>77</v>
      </c>
      <c r="K233" t="s">
        <v>46</v>
      </c>
      <c r="L233" t="s">
        <v>921</v>
      </c>
      <c r="M233" t="s">
        <v>65</v>
      </c>
      <c r="N233" t="s">
        <v>49</v>
      </c>
      <c r="O233" t="s">
        <v>336</v>
      </c>
      <c r="P233" t="s">
        <v>51</v>
      </c>
      <c r="Q233" t="s">
        <v>52</v>
      </c>
      <c r="R233" t="s">
        <v>68</v>
      </c>
      <c r="S233" t="s">
        <v>69</v>
      </c>
      <c r="T233" t="s">
        <v>256</v>
      </c>
      <c r="U233" s="5">
        <v>45</v>
      </c>
      <c r="V233" s="5" t="s">
        <v>85</v>
      </c>
      <c r="W233" s="5">
        <v>5</v>
      </c>
      <c r="X233" s="5">
        <v>6.8</v>
      </c>
      <c r="Y233" s="5">
        <v>3</v>
      </c>
      <c r="Z233" s="5" t="s">
        <v>117</v>
      </c>
      <c r="AA233" s="6">
        <v>47.45</v>
      </c>
      <c r="AB233" s="8">
        <f t="shared" si="39"/>
        <v>195</v>
      </c>
      <c r="AC233" s="8">
        <f t="shared" si="40"/>
        <v>0</v>
      </c>
      <c r="AD233" s="8">
        <f t="shared" si="41"/>
        <v>195</v>
      </c>
      <c r="AE233" s="8">
        <f t="shared" si="42"/>
        <v>142.35000000000002</v>
      </c>
      <c r="AF233" s="8">
        <f t="shared" si="43"/>
        <v>52.649999999999977</v>
      </c>
      <c r="AG233" s="9">
        <f t="shared" si="44"/>
        <v>0.26999999999999991</v>
      </c>
      <c r="AH233" s="10">
        <f t="shared" si="45"/>
        <v>2025</v>
      </c>
      <c r="AI233" s="10">
        <f t="shared" si="46"/>
        <v>3</v>
      </c>
      <c r="AJ233" s="10" t="str">
        <f t="shared" si="47"/>
        <v>2025-03</v>
      </c>
      <c r="AK233" s="10" t="str">
        <f t="shared" si="48"/>
        <v>T1</v>
      </c>
      <c r="AL233" s="10" t="str">
        <f t="shared" si="49"/>
        <v>40-49</v>
      </c>
      <c r="AM233" s="10" t="str">
        <f t="shared" si="50"/>
        <v>moyen</v>
      </c>
      <c r="AN233" s="10" t="s">
        <v>2838</v>
      </c>
      <c r="AO233" s="10" t="str">
        <f t="shared" si="51"/>
        <v>Faible</v>
      </c>
    </row>
    <row r="234" spans="1:41">
      <c r="A234" t="s">
        <v>922</v>
      </c>
      <c r="B234" s="2">
        <v>45844</v>
      </c>
      <c r="C234" t="s">
        <v>923</v>
      </c>
      <c r="D234" t="s">
        <v>138</v>
      </c>
      <c r="E234" t="s">
        <v>315</v>
      </c>
      <c r="F234" t="s">
        <v>487</v>
      </c>
      <c r="G234">
        <v>1</v>
      </c>
      <c r="H234" s="4">
        <v>120</v>
      </c>
      <c r="I234" s="3">
        <v>0</v>
      </c>
      <c r="J234" t="s">
        <v>90</v>
      </c>
      <c r="K234" t="s">
        <v>46</v>
      </c>
      <c r="L234" t="s">
        <v>924</v>
      </c>
      <c r="M234" t="s">
        <v>54</v>
      </c>
      <c r="N234" t="s">
        <v>112</v>
      </c>
      <c r="O234" t="s">
        <v>142</v>
      </c>
      <c r="P234" t="s">
        <v>51</v>
      </c>
      <c r="Q234" t="s">
        <v>143</v>
      </c>
      <c r="R234" t="s">
        <v>317</v>
      </c>
      <c r="S234" t="s">
        <v>69</v>
      </c>
      <c r="T234" t="s">
        <v>489</v>
      </c>
      <c r="U234" s="5">
        <v>53</v>
      </c>
      <c r="V234" s="5" t="s">
        <v>85</v>
      </c>
      <c r="W234" s="5">
        <v>28</v>
      </c>
      <c r="X234" s="5">
        <v>5.4</v>
      </c>
      <c r="Y234" s="5">
        <v>5</v>
      </c>
      <c r="Z234" s="5" t="s">
        <v>117</v>
      </c>
      <c r="AA234" s="6">
        <v>73.2</v>
      </c>
      <c r="AB234" s="8">
        <f t="shared" si="39"/>
        <v>120</v>
      </c>
      <c r="AC234" s="8">
        <f t="shared" si="40"/>
        <v>0</v>
      </c>
      <c r="AD234" s="8">
        <f t="shared" si="41"/>
        <v>120</v>
      </c>
      <c r="AE234" s="8">
        <f t="shared" si="42"/>
        <v>73.2</v>
      </c>
      <c r="AF234" s="8">
        <f t="shared" si="43"/>
        <v>46.8</v>
      </c>
      <c r="AG234" s="9">
        <f t="shared" si="44"/>
        <v>0.38999999999999996</v>
      </c>
      <c r="AH234" s="10">
        <f t="shared" si="45"/>
        <v>2025</v>
      </c>
      <c r="AI234" s="10">
        <f t="shared" si="46"/>
        <v>7</v>
      </c>
      <c r="AJ234" s="10" t="str">
        <f t="shared" si="47"/>
        <v>2025-07</v>
      </c>
      <c r="AK234" s="10" t="str">
        <f t="shared" si="48"/>
        <v>T3</v>
      </c>
      <c r="AL234" s="10" t="str">
        <f t="shared" si="49"/>
        <v>50+</v>
      </c>
      <c r="AM234" s="10" t="str">
        <f t="shared" si="50"/>
        <v>moyen</v>
      </c>
      <c r="AN234" s="10" t="s">
        <v>2839</v>
      </c>
      <c r="AO234" s="10" t="str">
        <f t="shared" si="51"/>
        <v>Faible</v>
      </c>
    </row>
    <row r="235" spans="1:41">
      <c r="A235" t="s">
        <v>925</v>
      </c>
      <c r="B235" s="2">
        <v>45838</v>
      </c>
      <c r="C235" t="s">
        <v>926</v>
      </c>
      <c r="D235" t="s">
        <v>333</v>
      </c>
      <c r="E235" t="s">
        <v>129</v>
      </c>
      <c r="F235" t="s">
        <v>328</v>
      </c>
      <c r="G235">
        <v>5</v>
      </c>
      <c r="H235" s="4">
        <v>65</v>
      </c>
      <c r="I235" s="3">
        <v>0.02</v>
      </c>
      <c r="J235" t="s">
        <v>77</v>
      </c>
      <c r="K235" t="s">
        <v>46</v>
      </c>
      <c r="L235" t="s">
        <v>927</v>
      </c>
      <c r="M235" t="s">
        <v>79</v>
      </c>
      <c r="N235" t="s">
        <v>101</v>
      </c>
      <c r="O235" t="s">
        <v>336</v>
      </c>
      <c r="P235" t="s">
        <v>51</v>
      </c>
      <c r="Q235" t="s">
        <v>52</v>
      </c>
      <c r="R235" t="s">
        <v>134</v>
      </c>
      <c r="S235" t="s">
        <v>123</v>
      </c>
      <c r="T235" t="s">
        <v>330</v>
      </c>
      <c r="U235" s="5">
        <v>24</v>
      </c>
      <c r="V235" s="5" t="s">
        <v>85</v>
      </c>
      <c r="W235" s="5">
        <v>26</v>
      </c>
      <c r="X235" s="5">
        <v>4.3</v>
      </c>
      <c r="Y235" s="5">
        <v>9</v>
      </c>
      <c r="Z235" s="5" t="s">
        <v>71</v>
      </c>
      <c r="AA235" s="6">
        <v>47.45</v>
      </c>
      <c r="AB235" s="8">
        <f t="shared" si="39"/>
        <v>325</v>
      </c>
      <c r="AC235" s="8">
        <f t="shared" si="40"/>
        <v>6.5</v>
      </c>
      <c r="AD235" s="8">
        <f t="shared" si="41"/>
        <v>318.5</v>
      </c>
      <c r="AE235" s="8">
        <f t="shared" si="42"/>
        <v>237.25</v>
      </c>
      <c r="AF235" s="8">
        <f t="shared" si="43"/>
        <v>81.25</v>
      </c>
      <c r="AG235" s="9">
        <f t="shared" si="44"/>
        <v>0.25510204081632654</v>
      </c>
      <c r="AH235" s="10">
        <f t="shared" si="45"/>
        <v>2025</v>
      </c>
      <c r="AI235" s="10">
        <f t="shared" si="46"/>
        <v>6</v>
      </c>
      <c r="AJ235" s="10" t="str">
        <f t="shared" si="47"/>
        <v>2025-06</v>
      </c>
      <c r="AK235" s="10" t="str">
        <f t="shared" si="48"/>
        <v>T2</v>
      </c>
      <c r="AL235" s="10" t="str">
        <f t="shared" si="49"/>
        <v>22-29</v>
      </c>
      <c r="AM235" s="10" t="str">
        <f t="shared" si="50"/>
        <v>faible</v>
      </c>
      <c r="AN235" s="10" t="s">
        <v>2837</v>
      </c>
      <c r="AO235" s="10" t="str">
        <f t="shared" si="51"/>
        <v>Faible</v>
      </c>
    </row>
    <row r="236" spans="1:41">
      <c r="A236" t="s">
        <v>928</v>
      </c>
      <c r="B236" s="2">
        <v>45748</v>
      </c>
      <c r="C236" t="s">
        <v>929</v>
      </c>
      <c r="D236" t="s">
        <v>155</v>
      </c>
      <c r="E236" t="s">
        <v>129</v>
      </c>
      <c r="F236" t="s">
        <v>334</v>
      </c>
      <c r="G236">
        <v>3</v>
      </c>
      <c r="H236" s="4">
        <v>48</v>
      </c>
      <c r="I236" s="3">
        <v>0</v>
      </c>
      <c r="J236" t="s">
        <v>63</v>
      </c>
      <c r="K236" t="s">
        <v>46</v>
      </c>
      <c r="L236" t="s">
        <v>930</v>
      </c>
      <c r="M236" t="s">
        <v>65</v>
      </c>
      <c r="N236" t="s">
        <v>101</v>
      </c>
      <c r="O236" t="s">
        <v>158</v>
      </c>
      <c r="P236" t="s">
        <v>51</v>
      </c>
      <c r="Q236" t="s">
        <v>143</v>
      </c>
      <c r="R236" t="s">
        <v>134</v>
      </c>
      <c r="S236" t="s">
        <v>123</v>
      </c>
      <c r="T236" t="s">
        <v>337</v>
      </c>
      <c r="U236" s="5">
        <v>38</v>
      </c>
      <c r="V236" s="5" t="s">
        <v>85</v>
      </c>
      <c r="W236" s="5">
        <v>68</v>
      </c>
      <c r="X236" s="5">
        <v>8.6</v>
      </c>
      <c r="Y236" s="5">
        <v>1</v>
      </c>
      <c r="Z236" s="5" t="s">
        <v>94</v>
      </c>
      <c r="AA236" s="6">
        <v>37.44</v>
      </c>
      <c r="AB236" s="8">
        <f t="shared" si="39"/>
        <v>144</v>
      </c>
      <c r="AC236" s="8">
        <f t="shared" si="40"/>
        <v>0</v>
      </c>
      <c r="AD236" s="8">
        <f t="shared" si="41"/>
        <v>144</v>
      </c>
      <c r="AE236" s="8">
        <f t="shared" si="42"/>
        <v>112.32</v>
      </c>
      <c r="AF236" s="8">
        <f t="shared" si="43"/>
        <v>31.680000000000007</v>
      </c>
      <c r="AG236" s="9">
        <f t="shared" si="44"/>
        <v>0.22000000000000006</v>
      </c>
      <c r="AH236" s="10">
        <f t="shared" si="45"/>
        <v>2025</v>
      </c>
      <c r="AI236" s="10">
        <f t="shared" si="46"/>
        <v>4</v>
      </c>
      <c r="AJ236" s="10" t="str">
        <f t="shared" si="47"/>
        <v>2025-04</v>
      </c>
      <c r="AK236" s="10" t="str">
        <f t="shared" si="48"/>
        <v>T2</v>
      </c>
      <c r="AL236" s="10" t="str">
        <f t="shared" si="49"/>
        <v>30-39</v>
      </c>
      <c r="AM236" s="10" t="str">
        <f t="shared" si="50"/>
        <v>bon</v>
      </c>
      <c r="AN236" s="10" t="s">
        <v>2838</v>
      </c>
      <c r="AO236" s="10" t="str">
        <f t="shared" si="51"/>
        <v>Faible</v>
      </c>
    </row>
    <row r="237" spans="1:41">
      <c r="A237" t="s">
        <v>931</v>
      </c>
      <c r="B237" s="2">
        <v>45711</v>
      </c>
      <c r="C237" t="s">
        <v>932</v>
      </c>
      <c r="D237" t="s">
        <v>74</v>
      </c>
      <c r="E237" t="s">
        <v>345</v>
      </c>
      <c r="F237" t="s">
        <v>434</v>
      </c>
      <c r="G237">
        <v>1</v>
      </c>
      <c r="H237" s="4">
        <v>95</v>
      </c>
      <c r="I237" s="3">
        <v>0</v>
      </c>
      <c r="J237" t="s">
        <v>63</v>
      </c>
      <c r="K237" t="s">
        <v>46</v>
      </c>
      <c r="L237" t="s">
        <v>933</v>
      </c>
      <c r="M237" t="s">
        <v>69</v>
      </c>
      <c r="N237" t="s">
        <v>112</v>
      </c>
      <c r="O237" t="s">
        <v>81</v>
      </c>
      <c r="P237" t="s">
        <v>82</v>
      </c>
      <c r="Q237" t="s">
        <v>52</v>
      </c>
      <c r="R237" t="s">
        <v>347</v>
      </c>
      <c r="S237" t="s">
        <v>54</v>
      </c>
      <c r="T237" t="s">
        <v>436</v>
      </c>
      <c r="U237" s="5">
        <v>29</v>
      </c>
      <c r="V237" s="5" t="s">
        <v>85</v>
      </c>
      <c r="W237" s="5">
        <v>17</v>
      </c>
      <c r="X237" s="5">
        <v>9.1</v>
      </c>
      <c r="Y237" s="5">
        <v>1</v>
      </c>
      <c r="Z237" s="5" t="s">
        <v>57</v>
      </c>
      <c r="AA237" s="6">
        <v>70.3</v>
      </c>
      <c r="AB237" s="8">
        <f t="shared" si="39"/>
        <v>95</v>
      </c>
      <c r="AC237" s="8">
        <f t="shared" si="40"/>
        <v>0</v>
      </c>
      <c r="AD237" s="8">
        <f t="shared" si="41"/>
        <v>95</v>
      </c>
      <c r="AE237" s="8">
        <f t="shared" si="42"/>
        <v>70.3</v>
      </c>
      <c r="AF237" s="8">
        <f t="shared" si="43"/>
        <v>24.700000000000003</v>
      </c>
      <c r="AG237" s="9">
        <f t="shared" si="44"/>
        <v>0.26</v>
      </c>
      <c r="AH237" s="10">
        <f t="shared" si="45"/>
        <v>2025</v>
      </c>
      <c r="AI237" s="10">
        <f t="shared" si="46"/>
        <v>2</v>
      </c>
      <c r="AJ237" s="10" t="str">
        <f t="shared" si="47"/>
        <v>2025-02</v>
      </c>
      <c r="AK237" s="10" t="str">
        <f t="shared" si="48"/>
        <v>T1</v>
      </c>
      <c r="AL237" s="10" t="str">
        <f t="shared" si="49"/>
        <v>22-29</v>
      </c>
      <c r="AM237" s="10" t="str">
        <f t="shared" si="50"/>
        <v>excellent</v>
      </c>
      <c r="AN237" s="10" t="s">
        <v>2838</v>
      </c>
      <c r="AO237" s="10" t="str">
        <f t="shared" si="51"/>
        <v>Faible</v>
      </c>
    </row>
    <row r="238" spans="1:41">
      <c r="A238" t="s">
        <v>934</v>
      </c>
      <c r="B238" s="2">
        <v>45674</v>
      </c>
      <c r="C238" t="s">
        <v>935</v>
      </c>
      <c r="D238" t="s">
        <v>155</v>
      </c>
      <c r="E238" t="s">
        <v>207</v>
      </c>
      <c r="F238" t="s">
        <v>89</v>
      </c>
      <c r="G238">
        <v>3</v>
      </c>
      <c r="H238" s="4">
        <v>48</v>
      </c>
      <c r="I238" s="3">
        <v>0.1</v>
      </c>
      <c r="J238" t="s">
        <v>63</v>
      </c>
      <c r="K238" t="s">
        <v>46</v>
      </c>
      <c r="L238" t="s">
        <v>936</v>
      </c>
      <c r="M238" t="s">
        <v>69</v>
      </c>
      <c r="N238" t="s">
        <v>101</v>
      </c>
      <c r="O238" t="s">
        <v>158</v>
      </c>
      <c r="P238" t="s">
        <v>51</v>
      </c>
      <c r="Q238" t="s">
        <v>143</v>
      </c>
      <c r="R238" t="s">
        <v>210</v>
      </c>
      <c r="S238" t="s">
        <v>79</v>
      </c>
      <c r="T238" t="s">
        <v>93</v>
      </c>
      <c r="U238" s="5">
        <v>35</v>
      </c>
      <c r="V238" s="5" t="s">
        <v>85</v>
      </c>
      <c r="W238" s="5">
        <v>63</v>
      </c>
      <c r="X238" s="5">
        <v>7.1</v>
      </c>
      <c r="Y238" s="5">
        <v>4</v>
      </c>
      <c r="Z238" s="5" t="s">
        <v>94</v>
      </c>
      <c r="AA238" s="6">
        <v>37.44</v>
      </c>
      <c r="AB238" s="8">
        <f t="shared" si="39"/>
        <v>144</v>
      </c>
      <c r="AC238" s="8">
        <f t="shared" si="40"/>
        <v>14.4</v>
      </c>
      <c r="AD238" s="8">
        <f t="shared" si="41"/>
        <v>129.6</v>
      </c>
      <c r="AE238" s="8">
        <f t="shared" si="42"/>
        <v>112.32</v>
      </c>
      <c r="AF238" s="8">
        <f t="shared" si="43"/>
        <v>17.28</v>
      </c>
      <c r="AG238" s="9">
        <f t="shared" si="44"/>
        <v>0.13333333333333336</v>
      </c>
      <c r="AH238" s="10">
        <f t="shared" si="45"/>
        <v>2025</v>
      </c>
      <c r="AI238" s="10">
        <f t="shared" si="46"/>
        <v>1</v>
      </c>
      <c r="AJ238" s="10" t="str">
        <f t="shared" si="47"/>
        <v>2025-01</v>
      </c>
      <c r="AK238" s="10" t="str">
        <f t="shared" si="48"/>
        <v>T1</v>
      </c>
      <c r="AL238" s="10" t="str">
        <f t="shared" si="49"/>
        <v>30-39</v>
      </c>
      <c r="AM238" s="10" t="str">
        <f t="shared" si="50"/>
        <v>bon</v>
      </c>
      <c r="AN238" s="10" t="s">
        <v>2839</v>
      </c>
      <c r="AO238" s="10" t="str">
        <f t="shared" si="51"/>
        <v>Faible</v>
      </c>
    </row>
    <row r="239" spans="1:41">
      <c r="A239" t="s">
        <v>937</v>
      </c>
      <c r="B239" s="2">
        <v>45898</v>
      </c>
      <c r="C239" t="s">
        <v>938</v>
      </c>
      <c r="D239" t="s">
        <v>148</v>
      </c>
      <c r="E239" t="s">
        <v>345</v>
      </c>
      <c r="F239" t="s">
        <v>202</v>
      </c>
      <c r="G239">
        <v>10</v>
      </c>
      <c r="H239" s="4">
        <v>110</v>
      </c>
      <c r="I239" s="3">
        <v>0</v>
      </c>
      <c r="J239" t="s">
        <v>63</v>
      </c>
      <c r="K239" t="s">
        <v>46</v>
      </c>
      <c r="L239" t="s">
        <v>939</v>
      </c>
      <c r="M239" t="s">
        <v>48</v>
      </c>
      <c r="N239" t="s">
        <v>80</v>
      </c>
      <c r="O239" t="s">
        <v>151</v>
      </c>
      <c r="P239" t="s">
        <v>103</v>
      </c>
      <c r="Q239" t="s">
        <v>114</v>
      </c>
      <c r="R239" t="s">
        <v>347</v>
      </c>
      <c r="S239" t="s">
        <v>54</v>
      </c>
      <c r="T239" t="s">
        <v>204</v>
      </c>
      <c r="U239" s="5">
        <v>50</v>
      </c>
      <c r="V239" s="5" t="s">
        <v>85</v>
      </c>
      <c r="W239" s="5">
        <v>19</v>
      </c>
      <c r="X239" s="5">
        <v>4.5999999999999996</v>
      </c>
      <c r="Y239" s="5">
        <v>8</v>
      </c>
      <c r="Z239" s="5" t="s">
        <v>94</v>
      </c>
      <c r="AA239" s="6">
        <v>72.599999999999994</v>
      </c>
      <c r="AB239" s="8">
        <f t="shared" si="39"/>
        <v>1100</v>
      </c>
      <c r="AC239" s="8">
        <f t="shared" si="40"/>
        <v>0</v>
      </c>
      <c r="AD239" s="8">
        <f t="shared" si="41"/>
        <v>1100</v>
      </c>
      <c r="AE239" s="8">
        <f t="shared" si="42"/>
        <v>726</v>
      </c>
      <c r="AF239" s="8">
        <f t="shared" si="43"/>
        <v>374</v>
      </c>
      <c r="AG239" s="9">
        <f t="shared" si="44"/>
        <v>0.34</v>
      </c>
      <c r="AH239" s="10">
        <f t="shared" si="45"/>
        <v>2025</v>
      </c>
      <c r="AI239" s="10">
        <f t="shared" si="46"/>
        <v>8</v>
      </c>
      <c r="AJ239" s="10" t="str">
        <f t="shared" si="47"/>
        <v>2025-08</v>
      </c>
      <c r="AK239" s="10" t="str">
        <f t="shared" si="48"/>
        <v>T3</v>
      </c>
      <c r="AL239" s="10" t="str">
        <f t="shared" si="49"/>
        <v>50+</v>
      </c>
      <c r="AM239" s="10" t="str">
        <f t="shared" si="50"/>
        <v>faible</v>
      </c>
      <c r="AN239" s="10" t="s">
        <v>2837</v>
      </c>
      <c r="AO239" s="10" t="str">
        <f t="shared" si="51"/>
        <v>Elevée</v>
      </c>
    </row>
    <row r="240" spans="1:41">
      <c r="A240" t="s">
        <v>940</v>
      </c>
      <c r="B240" s="2">
        <v>45772</v>
      </c>
      <c r="C240" t="s">
        <v>941</v>
      </c>
      <c r="D240" t="s">
        <v>138</v>
      </c>
      <c r="E240" t="s">
        <v>315</v>
      </c>
      <c r="F240" t="s">
        <v>208</v>
      </c>
      <c r="G240">
        <v>2</v>
      </c>
      <c r="H240" s="4">
        <v>120</v>
      </c>
      <c r="I240" s="3">
        <v>0</v>
      </c>
      <c r="J240" t="s">
        <v>77</v>
      </c>
      <c r="K240" t="s">
        <v>46</v>
      </c>
      <c r="L240" t="s">
        <v>942</v>
      </c>
      <c r="M240" t="s">
        <v>123</v>
      </c>
      <c r="N240" t="s">
        <v>255</v>
      </c>
      <c r="O240" t="s">
        <v>142</v>
      </c>
      <c r="P240" t="s">
        <v>51</v>
      </c>
      <c r="Q240" t="s">
        <v>143</v>
      </c>
      <c r="R240" t="s">
        <v>317</v>
      </c>
      <c r="S240" t="s">
        <v>69</v>
      </c>
      <c r="T240" t="s">
        <v>211</v>
      </c>
      <c r="U240" s="5">
        <v>60</v>
      </c>
      <c r="V240" s="5" t="s">
        <v>56</v>
      </c>
      <c r="W240" s="5">
        <v>43</v>
      </c>
      <c r="X240" s="5">
        <v>8.8000000000000007</v>
      </c>
      <c r="Y240" s="5">
        <v>1</v>
      </c>
      <c r="Z240" s="5" t="s">
        <v>117</v>
      </c>
      <c r="AA240" s="6">
        <v>73.2</v>
      </c>
      <c r="AB240" s="8">
        <f t="shared" si="39"/>
        <v>240</v>
      </c>
      <c r="AC240" s="8">
        <f t="shared" si="40"/>
        <v>0</v>
      </c>
      <c r="AD240" s="8">
        <f t="shared" si="41"/>
        <v>240</v>
      </c>
      <c r="AE240" s="8">
        <f t="shared" si="42"/>
        <v>146.4</v>
      </c>
      <c r="AF240" s="8">
        <f t="shared" si="43"/>
        <v>93.6</v>
      </c>
      <c r="AG240" s="9">
        <f t="shared" si="44"/>
        <v>0.38999999999999996</v>
      </c>
      <c r="AH240" s="10">
        <f t="shared" si="45"/>
        <v>2025</v>
      </c>
      <c r="AI240" s="10">
        <f t="shared" si="46"/>
        <v>4</v>
      </c>
      <c r="AJ240" s="10" t="str">
        <f t="shared" si="47"/>
        <v>2025-04</v>
      </c>
      <c r="AK240" s="10" t="str">
        <f t="shared" si="48"/>
        <v>T2</v>
      </c>
      <c r="AL240" s="10" t="str">
        <f t="shared" si="49"/>
        <v>50+</v>
      </c>
      <c r="AM240" s="10" t="str">
        <f t="shared" si="50"/>
        <v>bon</v>
      </c>
      <c r="AN240" s="10" t="s">
        <v>2838</v>
      </c>
      <c r="AO240" s="10" t="str">
        <f t="shared" si="51"/>
        <v>Faible</v>
      </c>
    </row>
    <row r="241" spans="1:41">
      <c r="A241" t="s">
        <v>943</v>
      </c>
      <c r="B241" s="2">
        <v>45870</v>
      </c>
      <c r="C241" t="s">
        <v>944</v>
      </c>
      <c r="D241" t="s">
        <v>162</v>
      </c>
      <c r="E241" t="s">
        <v>120</v>
      </c>
      <c r="F241" t="s">
        <v>553</v>
      </c>
      <c r="G241">
        <v>1</v>
      </c>
      <c r="H241" s="4">
        <v>35</v>
      </c>
      <c r="I241" s="3">
        <v>0</v>
      </c>
      <c r="J241" t="s">
        <v>45</v>
      </c>
      <c r="K241" t="s">
        <v>46</v>
      </c>
      <c r="L241" t="s">
        <v>945</v>
      </c>
      <c r="M241" t="s">
        <v>48</v>
      </c>
      <c r="N241" t="s">
        <v>49</v>
      </c>
      <c r="O241" t="s">
        <v>166</v>
      </c>
      <c r="P241" t="s">
        <v>103</v>
      </c>
      <c r="Q241" t="s">
        <v>143</v>
      </c>
      <c r="R241" t="s">
        <v>124</v>
      </c>
      <c r="S241" t="s">
        <v>48</v>
      </c>
      <c r="T241" t="s">
        <v>555</v>
      </c>
      <c r="U241" s="5">
        <v>43</v>
      </c>
      <c r="V241" s="5" t="s">
        <v>85</v>
      </c>
      <c r="W241" s="5">
        <v>10</v>
      </c>
      <c r="X241" s="5">
        <v>6.7</v>
      </c>
      <c r="Y241" s="5">
        <v>4</v>
      </c>
      <c r="Z241" s="5" t="s">
        <v>117</v>
      </c>
      <c r="AA241" s="6">
        <v>24.15</v>
      </c>
      <c r="AB241" s="8">
        <f t="shared" si="39"/>
        <v>35</v>
      </c>
      <c r="AC241" s="8">
        <f t="shared" si="40"/>
        <v>0</v>
      </c>
      <c r="AD241" s="8">
        <f t="shared" si="41"/>
        <v>35</v>
      </c>
      <c r="AE241" s="8">
        <f t="shared" si="42"/>
        <v>24.15</v>
      </c>
      <c r="AF241" s="8">
        <f t="shared" si="43"/>
        <v>10.850000000000001</v>
      </c>
      <c r="AG241" s="9">
        <f t="shared" si="44"/>
        <v>0.31000000000000005</v>
      </c>
      <c r="AH241" s="10">
        <f t="shared" si="45"/>
        <v>2025</v>
      </c>
      <c r="AI241" s="10">
        <f t="shared" si="46"/>
        <v>8</v>
      </c>
      <c r="AJ241" s="10" t="str">
        <f t="shared" si="47"/>
        <v>2025-08</v>
      </c>
      <c r="AK241" s="10" t="str">
        <f t="shared" si="48"/>
        <v>T3</v>
      </c>
      <c r="AL241" s="10" t="str">
        <f t="shared" si="49"/>
        <v>40-49</v>
      </c>
      <c r="AM241" s="10" t="str">
        <f t="shared" si="50"/>
        <v>moyen</v>
      </c>
      <c r="AN241" s="10" t="s">
        <v>2839</v>
      </c>
      <c r="AO241" s="10" t="str">
        <f t="shared" si="51"/>
        <v>Faible</v>
      </c>
    </row>
    <row r="242" spans="1:41">
      <c r="A242" t="s">
        <v>946</v>
      </c>
      <c r="B242" s="2">
        <v>45950</v>
      </c>
      <c r="C242" t="s">
        <v>947</v>
      </c>
      <c r="D242" t="s">
        <v>108</v>
      </c>
      <c r="E242" t="s">
        <v>189</v>
      </c>
      <c r="F242" t="s">
        <v>62</v>
      </c>
      <c r="G242">
        <v>20</v>
      </c>
      <c r="H242" s="4">
        <v>240</v>
      </c>
      <c r="I242" s="3">
        <v>0</v>
      </c>
      <c r="J242" t="s">
        <v>63</v>
      </c>
      <c r="K242" t="s">
        <v>46</v>
      </c>
      <c r="L242" t="s">
        <v>948</v>
      </c>
      <c r="M242" t="s">
        <v>123</v>
      </c>
      <c r="N242" t="s">
        <v>255</v>
      </c>
      <c r="O242" t="s">
        <v>113</v>
      </c>
      <c r="P242" t="s">
        <v>82</v>
      </c>
      <c r="Q242" t="s">
        <v>114</v>
      </c>
      <c r="R242" t="s">
        <v>193</v>
      </c>
      <c r="S242" t="s">
        <v>79</v>
      </c>
      <c r="T242" t="s">
        <v>70</v>
      </c>
      <c r="U242" s="5">
        <v>31</v>
      </c>
      <c r="V242" s="5" t="s">
        <v>56</v>
      </c>
      <c r="W242" s="5">
        <v>41</v>
      </c>
      <c r="X242" s="5">
        <v>8.3000000000000007</v>
      </c>
      <c r="Y242" s="5">
        <v>2</v>
      </c>
      <c r="Z242" s="5" t="s">
        <v>117</v>
      </c>
      <c r="AA242" s="6">
        <v>177.6</v>
      </c>
      <c r="AB242" s="8">
        <f t="shared" si="39"/>
        <v>4800</v>
      </c>
      <c r="AC242" s="8">
        <f t="shared" si="40"/>
        <v>0</v>
      </c>
      <c r="AD242" s="8">
        <f t="shared" si="41"/>
        <v>4800</v>
      </c>
      <c r="AE242" s="8">
        <f t="shared" si="42"/>
        <v>3552</v>
      </c>
      <c r="AF242" s="8">
        <f t="shared" si="43"/>
        <v>1248</v>
      </c>
      <c r="AG242" s="9">
        <f t="shared" si="44"/>
        <v>0.26</v>
      </c>
      <c r="AH242" s="10">
        <f t="shared" si="45"/>
        <v>2025</v>
      </c>
      <c r="AI242" s="10">
        <f t="shared" si="46"/>
        <v>10</v>
      </c>
      <c r="AJ242" s="10" t="str">
        <f t="shared" si="47"/>
        <v>2025-10</v>
      </c>
      <c r="AK242" s="10" t="str">
        <f t="shared" si="48"/>
        <v>T4</v>
      </c>
      <c r="AL242" s="10" t="str">
        <f t="shared" si="49"/>
        <v>30-39</v>
      </c>
      <c r="AM242" s="10" t="str">
        <f t="shared" si="50"/>
        <v>bon</v>
      </c>
      <c r="AN242" s="10" t="s">
        <v>2838</v>
      </c>
      <c r="AO242" s="10" t="str">
        <f t="shared" si="51"/>
        <v>Elevée</v>
      </c>
    </row>
    <row r="243" spans="1:41">
      <c r="A243" t="s">
        <v>949</v>
      </c>
      <c r="B243" s="2">
        <v>45983</v>
      </c>
      <c r="C243" t="s">
        <v>950</v>
      </c>
      <c r="D243" t="s">
        <v>188</v>
      </c>
      <c r="E243" t="s">
        <v>129</v>
      </c>
      <c r="F243" t="s">
        <v>248</v>
      </c>
      <c r="G243">
        <v>2</v>
      </c>
      <c r="H243" s="4">
        <v>350</v>
      </c>
      <c r="I243" s="3">
        <v>0.08</v>
      </c>
      <c r="J243" t="s">
        <v>45</v>
      </c>
      <c r="K243" t="s">
        <v>46</v>
      </c>
      <c r="L243" t="s">
        <v>951</v>
      </c>
      <c r="M243" t="s">
        <v>48</v>
      </c>
      <c r="N243" t="s">
        <v>49</v>
      </c>
      <c r="O243" t="s">
        <v>192</v>
      </c>
      <c r="P243" t="s">
        <v>51</v>
      </c>
      <c r="Q243" t="s">
        <v>114</v>
      </c>
      <c r="R243" t="s">
        <v>134</v>
      </c>
      <c r="S243" t="s">
        <v>123</v>
      </c>
      <c r="T243" t="s">
        <v>250</v>
      </c>
      <c r="U243" s="5">
        <v>31</v>
      </c>
      <c r="V243" s="5" t="s">
        <v>56</v>
      </c>
      <c r="W243" s="5">
        <v>58</v>
      </c>
      <c r="X243" s="5">
        <v>3.8</v>
      </c>
      <c r="Y243" s="5">
        <v>9</v>
      </c>
      <c r="Z243" s="5" t="s">
        <v>94</v>
      </c>
      <c r="AA243" s="6">
        <v>213.5</v>
      </c>
      <c r="AB243" s="8">
        <f t="shared" si="39"/>
        <v>700</v>
      </c>
      <c r="AC243" s="8">
        <f t="shared" si="40"/>
        <v>56</v>
      </c>
      <c r="AD243" s="8">
        <f t="shared" si="41"/>
        <v>644</v>
      </c>
      <c r="AE243" s="8">
        <f t="shared" si="42"/>
        <v>427</v>
      </c>
      <c r="AF243" s="8">
        <f t="shared" si="43"/>
        <v>217</v>
      </c>
      <c r="AG243" s="9">
        <f t="shared" si="44"/>
        <v>0.33695652173913043</v>
      </c>
      <c r="AH243" s="10">
        <f t="shared" si="45"/>
        <v>2025</v>
      </c>
      <c r="AI243" s="10">
        <f t="shared" si="46"/>
        <v>11</v>
      </c>
      <c r="AJ243" s="10" t="str">
        <f t="shared" si="47"/>
        <v>2025-11</v>
      </c>
      <c r="AK243" s="10" t="str">
        <f t="shared" si="48"/>
        <v>T4</v>
      </c>
      <c r="AL243" s="10" t="str">
        <f t="shared" si="49"/>
        <v>30-39</v>
      </c>
      <c r="AM243" s="10" t="str">
        <f t="shared" si="50"/>
        <v>faible</v>
      </c>
      <c r="AN243" s="10" t="s">
        <v>2837</v>
      </c>
      <c r="AO243" s="10" t="str">
        <f t="shared" si="51"/>
        <v>Moyenne</v>
      </c>
    </row>
    <row r="244" spans="1:41">
      <c r="A244" t="s">
        <v>952</v>
      </c>
      <c r="B244" s="2">
        <v>45708</v>
      </c>
      <c r="C244" t="s">
        <v>107</v>
      </c>
      <c r="D244" t="s">
        <v>128</v>
      </c>
      <c r="E244" t="s">
        <v>129</v>
      </c>
      <c r="F244" t="s">
        <v>156</v>
      </c>
      <c r="G244">
        <v>4</v>
      </c>
      <c r="H244" s="4">
        <v>190</v>
      </c>
      <c r="I244" s="3">
        <v>0</v>
      </c>
      <c r="J244" t="s">
        <v>90</v>
      </c>
      <c r="K244" t="s">
        <v>46</v>
      </c>
      <c r="L244" t="s">
        <v>111</v>
      </c>
      <c r="M244" t="s">
        <v>65</v>
      </c>
      <c r="N244" t="s">
        <v>112</v>
      </c>
      <c r="O244" t="s">
        <v>132</v>
      </c>
      <c r="P244" t="s">
        <v>133</v>
      </c>
      <c r="Q244" t="s">
        <v>52</v>
      </c>
      <c r="R244" t="s">
        <v>134</v>
      </c>
      <c r="S244" t="s">
        <v>123</v>
      </c>
      <c r="T244" t="s">
        <v>159</v>
      </c>
      <c r="U244" s="5">
        <v>24</v>
      </c>
      <c r="V244" s="5" t="s">
        <v>56</v>
      </c>
      <c r="W244" s="5">
        <v>49</v>
      </c>
      <c r="X244" s="5">
        <v>8</v>
      </c>
      <c r="Y244" s="5">
        <v>1</v>
      </c>
      <c r="Z244" s="5" t="s">
        <v>117</v>
      </c>
      <c r="AA244" s="6">
        <v>148.19999999999999</v>
      </c>
      <c r="AB244" s="8">
        <f t="shared" si="39"/>
        <v>760</v>
      </c>
      <c r="AC244" s="8">
        <f t="shared" si="40"/>
        <v>0</v>
      </c>
      <c r="AD244" s="8">
        <f t="shared" si="41"/>
        <v>760</v>
      </c>
      <c r="AE244" s="8">
        <f t="shared" si="42"/>
        <v>592.79999999999995</v>
      </c>
      <c r="AF244" s="8">
        <f t="shared" si="43"/>
        <v>167.20000000000005</v>
      </c>
      <c r="AG244" s="9">
        <f t="shared" si="44"/>
        <v>0.22000000000000006</v>
      </c>
      <c r="AH244" s="10">
        <f t="shared" si="45"/>
        <v>2025</v>
      </c>
      <c r="AI244" s="10">
        <f t="shared" si="46"/>
        <v>2</v>
      </c>
      <c r="AJ244" s="10" t="str">
        <f t="shared" si="47"/>
        <v>2025-02</v>
      </c>
      <c r="AK244" s="10" t="str">
        <f t="shared" si="48"/>
        <v>T1</v>
      </c>
      <c r="AL244" s="10" t="str">
        <f t="shared" si="49"/>
        <v>22-29</v>
      </c>
      <c r="AM244" s="10" t="str">
        <f t="shared" si="50"/>
        <v>bon</v>
      </c>
      <c r="AN244" s="10" t="s">
        <v>2838</v>
      </c>
      <c r="AO244" s="10" t="str">
        <f t="shared" si="51"/>
        <v>Moyenne</v>
      </c>
    </row>
    <row r="245" spans="1:41">
      <c r="A245" t="s">
        <v>953</v>
      </c>
      <c r="B245" s="2">
        <v>45823</v>
      </c>
      <c r="C245" t="s">
        <v>954</v>
      </c>
      <c r="D245" t="s">
        <v>340</v>
      </c>
      <c r="E245" t="s">
        <v>61</v>
      </c>
      <c r="F245" t="s">
        <v>62</v>
      </c>
      <c r="G245">
        <v>1</v>
      </c>
      <c r="H245" s="4">
        <v>22</v>
      </c>
      <c r="I245" s="3">
        <v>0</v>
      </c>
      <c r="J245" t="s">
        <v>90</v>
      </c>
      <c r="K245" t="s">
        <v>46</v>
      </c>
      <c r="L245" t="s">
        <v>955</v>
      </c>
      <c r="M245" t="s">
        <v>48</v>
      </c>
      <c r="N245" t="s">
        <v>101</v>
      </c>
      <c r="O245" t="s">
        <v>342</v>
      </c>
      <c r="P245" t="s">
        <v>103</v>
      </c>
      <c r="Q245" t="s">
        <v>143</v>
      </c>
      <c r="R245" t="s">
        <v>68</v>
      </c>
      <c r="S245" t="s">
        <v>69</v>
      </c>
      <c r="T245" t="s">
        <v>70</v>
      </c>
      <c r="U245" s="5">
        <v>36</v>
      </c>
      <c r="V245" s="5" t="s">
        <v>85</v>
      </c>
      <c r="W245" s="5">
        <v>15</v>
      </c>
      <c r="X245" s="5">
        <v>5</v>
      </c>
      <c r="Y245" s="5">
        <v>8</v>
      </c>
      <c r="Z245" s="5" t="s">
        <v>117</v>
      </c>
      <c r="AA245" s="6">
        <v>14.96</v>
      </c>
      <c r="AB245" s="8">
        <f t="shared" si="39"/>
        <v>22</v>
      </c>
      <c r="AC245" s="8">
        <f t="shared" si="40"/>
        <v>0</v>
      </c>
      <c r="AD245" s="8">
        <f t="shared" si="41"/>
        <v>22</v>
      </c>
      <c r="AE245" s="8">
        <f t="shared" si="42"/>
        <v>14.96</v>
      </c>
      <c r="AF245" s="8">
        <f t="shared" si="43"/>
        <v>7.0399999999999991</v>
      </c>
      <c r="AG245" s="9">
        <f t="shared" si="44"/>
        <v>0.31999999999999995</v>
      </c>
      <c r="AH245" s="10">
        <f t="shared" si="45"/>
        <v>2025</v>
      </c>
      <c r="AI245" s="10">
        <f t="shared" si="46"/>
        <v>6</v>
      </c>
      <c r="AJ245" s="10" t="str">
        <f t="shared" si="47"/>
        <v>2025-06</v>
      </c>
      <c r="AK245" s="10" t="str">
        <f t="shared" si="48"/>
        <v>T2</v>
      </c>
      <c r="AL245" s="10" t="str">
        <f t="shared" si="49"/>
        <v>30-39</v>
      </c>
      <c r="AM245" s="10" t="str">
        <f t="shared" si="50"/>
        <v>moyen</v>
      </c>
      <c r="AN245" s="10" t="s">
        <v>2837</v>
      </c>
      <c r="AO245" s="10" t="str">
        <f t="shared" si="51"/>
        <v>Faible</v>
      </c>
    </row>
    <row r="246" spans="1:41">
      <c r="A246" t="s">
        <v>956</v>
      </c>
      <c r="B246" s="2">
        <v>45771</v>
      </c>
      <c r="C246" t="s">
        <v>147</v>
      </c>
      <c r="D246" t="s">
        <v>128</v>
      </c>
      <c r="E246" t="s">
        <v>163</v>
      </c>
      <c r="F246" t="s">
        <v>292</v>
      </c>
      <c r="G246">
        <v>2</v>
      </c>
      <c r="H246" s="4">
        <v>190</v>
      </c>
      <c r="I246" s="3">
        <v>0.05</v>
      </c>
      <c r="J246" t="s">
        <v>45</v>
      </c>
      <c r="K246" t="s">
        <v>46</v>
      </c>
      <c r="L246" t="s">
        <v>150</v>
      </c>
      <c r="M246" t="s">
        <v>69</v>
      </c>
      <c r="N246" t="s">
        <v>101</v>
      </c>
      <c r="O246" t="s">
        <v>132</v>
      </c>
      <c r="P246" t="s">
        <v>133</v>
      </c>
      <c r="Q246" t="s">
        <v>52</v>
      </c>
      <c r="R246" t="s">
        <v>167</v>
      </c>
      <c r="S246" t="s">
        <v>123</v>
      </c>
      <c r="T246" t="s">
        <v>294</v>
      </c>
      <c r="U246" s="5">
        <v>33</v>
      </c>
      <c r="V246" s="5" t="s">
        <v>56</v>
      </c>
      <c r="W246" s="5">
        <v>43</v>
      </c>
      <c r="X246" s="5">
        <v>8.4</v>
      </c>
      <c r="Y246" s="5">
        <v>1</v>
      </c>
      <c r="Z246" s="5" t="s">
        <v>117</v>
      </c>
      <c r="AA246" s="6">
        <v>148.19999999999999</v>
      </c>
      <c r="AB246" s="8">
        <f t="shared" si="39"/>
        <v>380</v>
      </c>
      <c r="AC246" s="8">
        <f t="shared" si="40"/>
        <v>19</v>
      </c>
      <c r="AD246" s="8">
        <f t="shared" si="41"/>
        <v>361</v>
      </c>
      <c r="AE246" s="8">
        <f t="shared" si="42"/>
        <v>296.39999999999998</v>
      </c>
      <c r="AF246" s="8">
        <f t="shared" si="43"/>
        <v>64.600000000000023</v>
      </c>
      <c r="AG246" s="9">
        <f t="shared" si="44"/>
        <v>0.17894736842105269</v>
      </c>
      <c r="AH246" s="10">
        <f t="shared" si="45"/>
        <v>2025</v>
      </c>
      <c r="AI246" s="10">
        <f t="shared" si="46"/>
        <v>4</v>
      </c>
      <c r="AJ246" s="10" t="str">
        <f t="shared" si="47"/>
        <v>2025-04</v>
      </c>
      <c r="AK246" s="10" t="str">
        <f t="shared" si="48"/>
        <v>T2</v>
      </c>
      <c r="AL246" s="10" t="str">
        <f t="shared" si="49"/>
        <v>30-39</v>
      </c>
      <c r="AM246" s="10" t="str">
        <f t="shared" si="50"/>
        <v>bon</v>
      </c>
      <c r="AN246" s="10" t="s">
        <v>2838</v>
      </c>
      <c r="AO246" s="10" t="str">
        <f t="shared" si="51"/>
        <v>Faible</v>
      </c>
    </row>
    <row r="247" spans="1:41">
      <c r="A247" t="s">
        <v>957</v>
      </c>
      <c r="B247" s="2">
        <v>45700</v>
      </c>
      <c r="C247" t="s">
        <v>958</v>
      </c>
      <c r="D247" t="s">
        <v>340</v>
      </c>
      <c r="E247" t="s">
        <v>219</v>
      </c>
      <c r="F247" t="s">
        <v>467</v>
      </c>
      <c r="G247">
        <v>6</v>
      </c>
      <c r="H247" s="4">
        <v>22</v>
      </c>
      <c r="I247" s="3">
        <v>0.08</v>
      </c>
      <c r="J247" t="s">
        <v>90</v>
      </c>
      <c r="K247" t="s">
        <v>46</v>
      </c>
      <c r="L247" t="s">
        <v>959</v>
      </c>
      <c r="M247" t="s">
        <v>69</v>
      </c>
      <c r="N247" t="s">
        <v>101</v>
      </c>
      <c r="O247" t="s">
        <v>342</v>
      </c>
      <c r="P247" t="s">
        <v>103</v>
      </c>
      <c r="Q247" t="s">
        <v>143</v>
      </c>
      <c r="R247" t="s">
        <v>222</v>
      </c>
      <c r="S247" t="s">
        <v>123</v>
      </c>
      <c r="T247" t="s">
        <v>469</v>
      </c>
      <c r="U247" s="5">
        <v>40</v>
      </c>
      <c r="V247" s="5" t="s">
        <v>85</v>
      </c>
      <c r="W247" s="5">
        <v>29</v>
      </c>
      <c r="X247" s="5">
        <v>6</v>
      </c>
      <c r="Y247" s="5">
        <v>6</v>
      </c>
      <c r="Z247" s="5" t="s">
        <v>57</v>
      </c>
      <c r="AA247" s="6">
        <v>14.96</v>
      </c>
      <c r="AB247" s="8">
        <f t="shared" si="39"/>
        <v>132</v>
      </c>
      <c r="AC247" s="8">
        <f t="shared" si="40"/>
        <v>10.56</v>
      </c>
      <c r="AD247" s="8">
        <f t="shared" si="41"/>
        <v>121.44</v>
      </c>
      <c r="AE247" s="8">
        <f t="shared" si="42"/>
        <v>89.76</v>
      </c>
      <c r="AF247" s="8">
        <f t="shared" si="43"/>
        <v>31.679999999999993</v>
      </c>
      <c r="AG247" s="9">
        <f t="shared" si="44"/>
        <v>0.26086956521739124</v>
      </c>
      <c r="AH247" s="10">
        <f t="shared" si="45"/>
        <v>2025</v>
      </c>
      <c r="AI247" s="10">
        <f t="shared" si="46"/>
        <v>2</v>
      </c>
      <c r="AJ247" s="10" t="str">
        <f t="shared" si="47"/>
        <v>2025-02</v>
      </c>
      <c r="AK247" s="10" t="str">
        <f t="shared" si="48"/>
        <v>T1</v>
      </c>
      <c r="AL247" s="10" t="str">
        <f t="shared" si="49"/>
        <v>40-49</v>
      </c>
      <c r="AM247" s="10" t="str">
        <f t="shared" si="50"/>
        <v>moyen</v>
      </c>
      <c r="AN247" s="10" t="s">
        <v>2839</v>
      </c>
      <c r="AO247" s="10" t="str">
        <f t="shared" si="51"/>
        <v>Faible</v>
      </c>
    </row>
    <row r="248" spans="1:41">
      <c r="A248" t="s">
        <v>960</v>
      </c>
      <c r="B248" s="2">
        <v>45963</v>
      </c>
      <c r="C248" t="s">
        <v>961</v>
      </c>
      <c r="D248" t="s">
        <v>97</v>
      </c>
      <c r="E248" t="s">
        <v>139</v>
      </c>
      <c r="F248" t="s">
        <v>323</v>
      </c>
      <c r="G248">
        <v>1</v>
      </c>
      <c r="H248" s="4">
        <v>520</v>
      </c>
      <c r="I248" s="3">
        <v>0</v>
      </c>
      <c r="J248" t="s">
        <v>77</v>
      </c>
      <c r="K248" t="s">
        <v>46</v>
      </c>
      <c r="L248" t="s">
        <v>962</v>
      </c>
      <c r="M248" t="s">
        <v>123</v>
      </c>
      <c r="N248" t="s">
        <v>101</v>
      </c>
      <c r="O248" t="s">
        <v>102</v>
      </c>
      <c r="P248" t="s">
        <v>103</v>
      </c>
      <c r="Q248" t="s">
        <v>52</v>
      </c>
      <c r="R248" t="s">
        <v>144</v>
      </c>
      <c r="S248" t="s">
        <v>65</v>
      </c>
      <c r="T248" t="s">
        <v>325</v>
      </c>
      <c r="U248" s="5">
        <v>29</v>
      </c>
      <c r="V248" s="5" t="s">
        <v>85</v>
      </c>
      <c r="W248" s="5">
        <v>54</v>
      </c>
      <c r="X248" s="5">
        <v>8.1</v>
      </c>
      <c r="Y248" s="5">
        <v>2</v>
      </c>
      <c r="Z248" s="5" t="s">
        <v>117</v>
      </c>
      <c r="AA248" s="6">
        <v>348.4</v>
      </c>
      <c r="AB248" s="8">
        <f t="shared" si="39"/>
        <v>520</v>
      </c>
      <c r="AC248" s="8">
        <f t="shared" si="40"/>
        <v>0</v>
      </c>
      <c r="AD248" s="8">
        <f t="shared" si="41"/>
        <v>520</v>
      </c>
      <c r="AE248" s="8">
        <f t="shared" si="42"/>
        <v>348.4</v>
      </c>
      <c r="AF248" s="8">
        <f t="shared" si="43"/>
        <v>171.60000000000002</v>
      </c>
      <c r="AG248" s="9">
        <f t="shared" si="44"/>
        <v>0.33000000000000007</v>
      </c>
      <c r="AH248" s="10">
        <f t="shared" si="45"/>
        <v>2025</v>
      </c>
      <c r="AI248" s="10">
        <f t="shared" si="46"/>
        <v>11</v>
      </c>
      <c r="AJ248" s="10" t="str">
        <f t="shared" si="47"/>
        <v>2025-11</v>
      </c>
      <c r="AK248" s="10" t="str">
        <f t="shared" si="48"/>
        <v>T4</v>
      </c>
      <c r="AL248" s="10" t="str">
        <f t="shared" si="49"/>
        <v>22-29</v>
      </c>
      <c r="AM248" s="10" t="str">
        <f t="shared" si="50"/>
        <v>bon</v>
      </c>
      <c r="AN248" s="10" t="s">
        <v>2838</v>
      </c>
      <c r="AO248" s="10" t="str">
        <f t="shared" si="51"/>
        <v>Moyenne</v>
      </c>
    </row>
    <row r="249" spans="1:41">
      <c r="A249" t="s">
        <v>963</v>
      </c>
      <c r="B249" s="2">
        <v>45978</v>
      </c>
      <c r="C249" t="s">
        <v>964</v>
      </c>
      <c r="D249" t="s">
        <v>333</v>
      </c>
      <c r="E249" t="s">
        <v>214</v>
      </c>
      <c r="F249" t="s">
        <v>164</v>
      </c>
      <c r="G249">
        <v>1</v>
      </c>
      <c r="H249" s="4">
        <v>65</v>
      </c>
      <c r="I249" s="3">
        <v>0.08</v>
      </c>
      <c r="J249" t="s">
        <v>63</v>
      </c>
      <c r="K249" t="s">
        <v>46</v>
      </c>
      <c r="L249" t="s">
        <v>965</v>
      </c>
      <c r="M249" t="s">
        <v>69</v>
      </c>
      <c r="N249" t="s">
        <v>112</v>
      </c>
      <c r="O249" t="s">
        <v>336</v>
      </c>
      <c r="P249" t="s">
        <v>51</v>
      </c>
      <c r="Q249" t="s">
        <v>52</v>
      </c>
      <c r="R249" t="s">
        <v>216</v>
      </c>
      <c r="S249" t="s">
        <v>65</v>
      </c>
      <c r="T249" t="s">
        <v>168</v>
      </c>
      <c r="U249" s="5">
        <v>60</v>
      </c>
      <c r="V249" s="5" t="s">
        <v>85</v>
      </c>
      <c r="W249" s="5">
        <v>32</v>
      </c>
      <c r="X249" s="5">
        <v>6.3</v>
      </c>
      <c r="Y249" s="5">
        <v>5</v>
      </c>
      <c r="Z249" s="5" t="s">
        <v>71</v>
      </c>
      <c r="AA249" s="6">
        <v>47.45</v>
      </c>
      <c r="AB249" s="8">
        <f t="shared" si="39"/>
        <v>65</v>
      </c>
      <c r="AC249" s="8">
        <f t="shared" si="40"/>
        <v>5.2</v>
      </c>
      <c r="AD249" s="8">
        <f t="shared" si="41"/>
        <v>59.8</v>
      </c>
      <c r="AE249" s="8">
        <f t="shared" si="42"/>
        <v>47.45</v>
      </c>
      <c r="AF249" s="8">
        <f t="shared" si="43"/>
        <v>12.349999999999994</v>
      </c>
      <c r="AG249" s="9">
        <f t="shared" si="44"/>
        <v>0.2065217391304347</v>
      </c>
      <c r="AH249" s="10">
        <f t="shared" si="45"/>
        <v>2025</v>
      </c>
      <c r="AI249" s="10">
        <f t="shared" si="46"/>
        <v>11</v>
      </c>
      <c r="AJ249" s="10" t="str">
        <f t="shared" si="47"/>
        <v>2025-11</v>
      </c>
      <c r="AK249" s="10" t="str">
        <f t="shared" si="48"/>
        <v>T4</v>
      </c>
      <c r="AL249" s="10" t="str">
        <f t="shared" si="49"/>
        <v>50+</v>
      </c>
      <c r="AM249" s="10" t="str">
        <f t="shared" si="50"/>
        <v>moyen</v>
      </c>
      <c r="AN249" s="10" t="s">
        <v>2839</v>
      </c>
      <c r="AO249" s="10" t="str">
        <f t="shared" si="51"/>
        <v>Faible</v>
      </c>
    </row>
    <row r="250" spans="1:41">
      <c r="A250" t="s">
        <v>966</v>
      </c>
      <c r="B250" s="2">
        <v>45810</v>
      </c>
      <c r="C250" t="s">
        <v>967</v>
      </c>
      <c r="D250" t="s">
        <v>155</v>
      </c>
      <c r="E250" t="s">
        <v>75</v>
      </c>
      <c r="F250" t="s">
        <v>968</v>
      </c>
      <c r="G250">
        <v>1</v>
      </c>
      <c r="H250" s="4">
        <v>48</v>
      </c>
      <c r="I250" s="3">
        <v>0</v>
      </c>
      <c r="J250" t="s">
        <v>90</v>
      </c>
      <c r="K250" t="s">
        <v>46</v>
      </c>
      <c r="L250" t="s">
        <v>969</v>
      </c>
      <c r="M250" t="s">
        <v>54</v>
      </c>
      <c r="N250" t="s">
        <v>49</v>
      </c>
      <c r="O250" t="s">
        <v>158</v>
      </c>
      <c r="P250" t="s">
        <v>51</v>
      </c>
      <c r="Q250" t="s">
        <v>143</v>
      </c>
      <c r="R250" t="s">
        <v>83</v>
      </c>
      <c r="S250" t="s">
        <v>69</v>
      </c>
      <c r="T250" t="s">
        <v>970</v>
      </c>
      <c r="U250" s="5">
        <v>51</v>
      </c>
      <c r="V250" s="5" t="s">
        <v>85</v>
      </c>
      <c r="W250" s="5">
        <v>37</v>
      </c>
      <c r="X250" s="5">
        <v>6.6</v>
      </c>
      <c r="Y250" s="5">
        <v>3</v>
      </c>
      <c r="Z250" s="5" t="s">
        <v>94</v>
      </c>
      <c r="AA250" s="6">
        <v>37.44</v>
      </c>
      <c r="AB250" s="8">
        <f t="shared" si="39"/>
        <v>48</v>
      </c>
      <c r="AC250" s="8">
        <f t="shared" si="40"/>
        <v>0</v>
      </c>
      <c r="AD250" s="8">
        <f t="shared" si="41"/>
        <v>48</v>
      </c>
      <c r="AE250" s="8">
        <f t="shared" si="42"/>
        <v>37.44</v>
      </c>
      <c r="AF250" s="8">
        <f t="shared" si="43"/>
        <v>10.560000000000002</v>
      </c>
      <c r="AG250" s="9">
        <f t="shared" si="44"/>
        <v>0.22000000000000006</v>
      </c>
      <c r="AH250" s="10">
        <f t="shared" si="45"/>
        <v>2025</v>
      </c>
      <c r="AI250" s="10">
        <f t="shared" si="46"/>
        <v>6</v>
      </c>
      <c r="AJ250" s="10" t="str">
        <f t="shared" si="47"/>
        <v>2025-06</v>
      </c>
      <c r="AK250" s="10" t="str">
        <f t="shared" si="48"/>
        <v>T2</v>
      </c>
      <c r="AL250" s="10" t="str">
        <f t="shared" si="49"/>
        <v>50+</v>
      </c>
      <c r="AM250" s="10" t="str">
        <f t="shared" si="50"/>
        <v>moyen</v>
      </c>
      <c r="AN250" s="10" t="s">
        <v>2838</v>
      </c>
      <c r="AO250" s="10" t="str">
        <f t="shared" si="51"/>
        <v>Faible</v>
      </c>
    </row>
    <row r="251" spans="1:41">
      <c r="A251" t="s">
        <v>971</v>
      </c>
      <c r="B251" s="2">
        <v>45923</v>
      </c>
      <c r="C251" t="s">
        <v>972</v>
      </c>
      <c r="D251" t="s">
        <v>138</v>
      </c>
      <c r="E251" t="s">
        <v>61</v>
      </c>
      <c r="F251" t="s">
        <v>287</v>
      </c>
      <c r="G251">
        <v>2</v>
      </c>
      <c r="H251" s="4">
        <v>120</v>
      </c>
      <c r="I251" s="3">
        <v>0</v>
      </c>
      <c r="J251" t="s">
        <v>45</v>
      </c>
      <c r="K251" t="s">
        <v>46</v>
      </c>
      <c r="L251" t="s">
        <v>973</v>
      </c>
      <c r="M251" t="s">
        <v>48</v>
      </c>
      <c r="N251" t="s">
        <v>255</v>
      </c>
      <c r="O251" t="s">
        <v>142</v>
      </c>
      <c r="P251" t="s">
        <v>51</v>
      </c>
      <c r="Q251" t="s">
        <v>143</v>
      </c>
      <c r="R251" t="s">
        <v>68</v>
      </c>
      <c r="S251" t="s">
        <v>69</v>
      </c>
      <c r="T251" t="s">
        <v>289</v>
      </c>
      <c r="U251" s="5">
        <v>52</v>
      </c>
      <c r="V251" s="5" t="s">
        <v>85</v>
      </c>
      <c r="W251" s="5">
        <v>64</v>
      </c>
      <c r="X251" s="5">
        <v>8.8000000000000007</v>
      </c>
      <c r="Y251" s="5">
        <v>1</v>
      </c>
      <c r="Z251" s="5" t="s">
        <v>57</v>
      </c>
      <c r="AA251" s="6">
        <v>73.2</v>
      </c>
      <c r="AB251" s="8">
        <f t="shared" si="39"/>
        <v>240</v>
      </c>
      <c r="AC251" s="8">
        <f t="shared" si="40"/>
        <v>0</v>
      </c>
      <c r="AD251" s="8">
        <f t="shared" si="41"/>
        <v>240</v>
      </c>
      <c r="AE251" s="8">
        <f t="shared" si="42"/>
        <v>146.4</v>
      </c>
      <c r="AF251" s="8">
        <f t="shared" si="43"/>
        <v>93.6</v>
      </c>
      <c r="AG251" s="9">
        <f t="shared" si="44"/>
        <v>0.38999999999999996</v>
      </c>
      <c r="AH251" s="10">
        <f t="shared" si="45"/>
        <v>2025</v>
      </c>
      <c r="AI251" s="10">
        <f t="shared" si="46"/>
        <v>9</v>
      </c>
      <c r="AJ251" s="10" t="str">
        <f t="shared" si="47"/>
        <v>2025-09</v>
      </c>
      <c r="AK251" s="10" t="str">
        <f t="shared" si="48"/>
        <v>T3</v>
      </c>
      <c r="AL251" s="10" t="str">
        <f t="shared" si="49"/>
        <v>50+</v>
      </c>
      <c r="AM251" s="10" t="str">
        <f t="shared" si="50"/>
        <v>bon</v>
      </c>
      <c r="AN251" s="10" t="s">
        <v>2838</v>
      </c>
      <c r="AO251" s="10" t="str">
        <f t="shared" si="51"/>
        <v>Faible</v>
      </c>
    </row>
    <row r="252" spans="1:41">
      <c r="A252" t="s">
        <v>974</v>
      </c>
      <c r="B252" s="2">
        <v>45728</v>
      </c>
      <c r="C252" t="s">
        <v>975</v>
      </c>
      <c r="D252" t="s">
        <v>181</v>
      </c>
      <c r="E252" t="s">
        <v>120</v>
      </c>
      <c r="F252" t="s">
        <v>361</v>
      </c>
      <c r="G252">
        <v>1</v>
      </c>
      <c r="H252" s="4">
        <v>145</v>
      </c>
      <c r="I252" s="3">
        <v>0.08</v>
      </c>
      <c r="J252" t="s">
        <v>45</v>
      </c>
      <c r="K252" t="s">
        <v>46</v>
      </c>
      <c r="L252" t="s">
        <v>976</v>
      </c>
      <c r="M252" t="s">
        <v>79</v>
      </c>
      <c r="N252" t="s">
        <v>80</v>
      </c>
      <c r="O252" t="s">
        <v>184</v>
      </c>
      <c r="P252" t="s">
        <v>103</v>
      </c>
      <c r="Q252" t="s">
        <v>52</v>
      </c>
      <c r="R252" t="s">
        <v>124</v>
      </c>
      <c r="S252" t="s">
        <v>48</v>
      </c>
      <c r="T252" t="s">
        <v>363</v>
      </c>
      <c r="U252" s="5">
        <v>57</v>
      </c>
      <c r="V252" s="5" t="s">
        <v>56</v>
      </c>
      <c r="W252" s="5">
        <v>61</v>
      </c>
      <c r="X252" s="5">
        <v>5.9</v>
      </c>
      <c r="Y252" s="5">
        <v>5</v>
      </c>
      <c r="Z252" s="5" t="s">
        <v>57</v>
      </c>
      <c r="AA252" s="6">
        <v>97.15</v>
      </c>
      <c r="AB252" s="8">
        <f t="shared" si="39"/>
        <v>145</v>
      </c>
      <c r="AC252" s="8">
        <f t="shared" si="40"/>
        <v>11.6</v>
      </c>
      <c r="AD252" s="8">
        <f t="shared" si="41"/>
        <v>133.4</v>
      </c>
      <c r="AE252" s="8">
        <f t="shared" si="42"/>
        <v>97.15</v>
      </c>
      <c r="AF252" s="8">
        <f t="shared" si="43"/>
        <v>36.25</v>
      </c>
      <c r="AG252" s="9">
        <f t="shared" si="44"/>
        <v>0.27173913043478259</v>
      </c>
      <c r="AH252" s="10">
        <f t="shared" si="45"/>
        <v>2025</v>
      </c>
      <c r="AI252" s="10">
        <f t="shared" si="46"/>
        <v>3</v>
      </c>
      <c r="AJ252" s="10" t="str">
        <f t="shared" si="47"/>
        <v>2025-03</v>
      </c>
      <c r="AK252" s="10" t="str">
        <f t="shared" si="48"/>
        <v>T1</v>
      </c>
      <c r="AL252" s="10" t="str">
        <f t="shared" si="49"/>
        <v>50+</v>
      </c>
      <c r="AM252" s="10" t="str">
        <f t="shared" si="50"/>
        <v>moyen</v>
      </c>
      <c r="AN252" s="10" t="s">
        <v>2839</v>
      </c>
      <c r="AO252" s="10" t="str">
        <f t="shared" si="51"/>
        <v>Faible</v>
      </c>
    </row>
    <row r="253" spans="1:41">
      <c r="A253" t="s">
        <v>977</v>
      </c>
      <c r="B253" s="2">
        <v>46020</v>
      </c>
      <c r="C253" t="s">
        <v>978</v>
      </c>
      <c r="D253" t="s">
        <v>181</v>
      </c>
      <c r="E253" t="s">
        <v>214</v>
      </c>
      <c r="F253" t="s">
        <v>328</v>
      </c>
      <c r="G253">
        <v>3</v>
      </c>
      <c r="H253" s="4">
        <v>145</v>
      </c>
      <c r="I253" s="3">
        <v>0</v>
      </c>
      <c r="J253" t="s">
        <v>63</v>
      </c>
      <c r="K253" t="s">
        <v>46</v>
      </c>
      <c r="L253" t="s">
        <v>979</v>
      </c>
      <c r="M253" t="s">
        <v>65</v>
      </c>
      <c r="N253" t="s">
        <v>80</v>
      </c>
      <c r="O253" t="s">
        <v>184</v>
      </c>
      <c r="P253" t="s">
        <v>103</v>
      </c>
      <c r="Q253" t="s">
        <v>52</v>
      </c>
      <c r="R253" t="s">
        <v>216</v>
      </c>
      <c r="S253" t="s">
        <v>65</v>
      </c>
      <c r="T253" t="s">
        <v>330</v>
      </c>
      <c r="U253" s="5">
        <v>26</v>
      </c>
      <c r="V253" s="5" t="s">
        <v>85</v>
      </c>
      <c r="W253" s="5">
        <v>9</v>
      </c>
      <c r="X253" s="5">
        <v>7.7</v>
      </c>
      <c r="Y253" s="5">
        <v>3</v>
      </c>
      <c r="Z253" s="5" t="s">
        <v>71</v>
      </c>
      <c r="AA253" s="6">
        <v>97.15</v>
      </c>
      <c r="AB253" s="8">
        <f t="shared" si="39"/>
        <v>435</v>
      </c>
      <c r="AC253" s="8">
        <f t="shared" si="40"/>
        <v>0</v>
      </c>
      <c r="AD253" s="8">
        <f t="shared" si="41"/>
        <v>435</v>
      </c>
      <c r="AE253" s="8">
        <f t="shared" si="42"/>
        <v>291.45000000000005</v>
      </c>
      <c r="AF253" s="8">
        <f t="shared" si="43"/>
        <v>143.54999999999995</v>
      </c>
      <c r="AG253" s="9">
        <f t="shared" si="44"/>
        <v>0.3299999999999999</v>
      </c>
      <c r="AH253" s="10">
        <f t="shared" si="45"/>
        <v>2025</v>
      </c>
      <c r="AI253" s="10">
        <f t="shared" si="46"/>
        <v>12</v>
      </c>
      <c r="AJ253" s="10" t="str">
        <f t="shared" si="47"/>
        <v>2025-12</v>
      </c>
      <c r="AK253" s="10" t="str">
        <f t="shared" si="48"/>
        <v>T4</v>
      </c>
      <c r="AL253" s="10" t="str">
        <f t="shared" si="49"/>
        <v>22-29</v>
      </c>
      <c r="AM253" s="10" t="str">
        <f t="shared" si="50"/>
        <v>bon</v>
      </c>
      <c r="AN253" s="10" t="s">
        <v>2838</v>
      </c>
      <c r="AO253" s="10" t="str">
        <f t="shared" si="51"/>
        <v>Faible</v>
      </c>
    </row>
    <row r="254" spans="1:41">
      <c r="A254" t="s">
        <v>980</v>
      </c>
      <c r="B254" s="2">
        <v>45763</v>
      </c>
      <c r="C254" t="s">
        <v>981</v>
      </c>
      <c r="D254" t="s">
        <v>74</v>
      </c>
      <c r="E254" t="s">
        <v>75</v>
      </c>
      <c r="F254" t="s">
        <v>208</v>
      </c>
      <c r="G254">
        <v>10</v>
      </c>
      <c r="H254" s="4">
        <v>95</v>
      </c>
      <c r="I254" s="3">
        <v>0.02</v>
      </c>
      <c r="J254" t="s">
        <v>63</v>
      </c>
      <c r="K254" t="s">
        <v>46</v>
      </c>
      <c r="L254" t="s">
        <v>982</v>
      </c>
      <c r="M254" t="s">
        <v>54</v>
      </c>
      <c r="N254" t="s">
        <v>80</v>
      </c>
      <c r="O254" t="s">
        <v>81</v>
      </c>
      <c r="P254" t="s">
        <v>82</v>
      </c>
      <c r="Q254" t="s">
        <v>52</v>
      </c>
      <c r="R254" t="s">
        <v>83</v>
      </c>
      <c r="S254" t="s">
        <v>69</v>
      </c>
      <c r="T254" t="s">
        <v>211</v>
      </c>
      <c r="U254" s="5">
        <v>23</v>
      </c>
      <c r="V254" s="5" t="s">
        <v>56</v>
      </c>
      <c r="W254" s="5">
        <v>63</v>
      </c>
      <c r="X254" s="5">
        <v>7.4</v>
      </c>
      <c r="Y254" s="5">
        <v>4</v>
      </c>
      <c r="Z254" s="5" t="s">
        <v>57</v>
      </c>
      <c r="AA254" s="6">
        <v>70.3</v>
      </c>
      <c r="AB254" s="8">
        <f t="shared" si="39"/>
        <v>950</v>
      </c>
      <c r="AC254" s="8">
        <f t="shared" si="40"/>
        <v>19</v>
      </c>
      <c r="AD254" s="8">
        <f t="shared" si="41"/>
        <v>931</v>
      </c>
      <c r="AE254" s="8">
        <f t="shared" si="42"/>
        <v>703</v>
      </c>
      <c r="AF254" s="8">
        <f t="shared" si="43"/>
        <v>228</v>
      </c>
      <c r="AG254" s="9">
        <f t="shared" si="44"/>
        <v>0.24489795918367346</v>
      </c>
      <c r="AH254" s="10">
        <f t="shared" si="45"/>
        <v>2025</v>
      </c>
      <c r="AI254" s="10">
        <f t="shared" si="46"/>
        <v>4</v>
      </c>
      <c r="AJ254" s="10" t="str">
        <f t="shared" si="47"/>
        <v>2025-04</v>
      </c>
      <c r="AK254" s="10" t="str">
        <f t="shared" si="48"/>
        <v>T2</v>
      </c>
      <c r="AL254" s="10" t="str">
        <f t="shared" si="49"/>
        <v>22-29</v>
      </c>
      <c r="AM254" s="10" t="str">
        <f t="shared" si="50"/>
        <v>bon</v>
      </c>
      <c r="AN254" s="10" t="s">
        <v>2839</v>
      </c>
      <c r="AO254" s="10" t="str">
        <f t="shared" si="51"/>
        <v>Moyenne</v>
      </c>
    </row>
    <row r="255" spans="1:41">
      <c r="A255" t="s">
        <v>983</v>
      </c>
      <c r="B255" s="2">
        <v>45713</v>
      </c>
      <c r="C255" t="s">
        <v>201</v>
      </c>
      <c r="D255" t="s">
        <v>340</v>
      </c>
      <c r="E255" t="s">
        <v>189</v>
      </c>
      <c r="F255" t="s">
        <v>267</v>
      </c>
      <c r="G255">
        <v>3</v>
      </c>
      <c r="H255" s="4">
        <v>22</v>
      </c>
      <c r="I255" s="3">
        <v>0.02</v>
      </c>
      <c r="J255" t="s">
        <v>45</v>
      </c>
      <c r="K255" t="s">
        <v>46</v>
      </c>
      <c r="L255" t="s">
        <v>203</v>
      </c>
      <c r="M255" t="s">
        <v>123</v>
      </c>
      <c r="N255" t="s">
        <v>101</v>
      </c>
      <c r="O255" t="s">
        <v>342</v>
      </c>
      <c r="P255" t="s">
        <v>103</v>
      </c>
      <c r="Q255" t="s">
        <v>143</v>
      </c>
      <c r="R255" t="s">
        <v>193</v>
      </c>
      <c r="S255" t="s">
        <v>79</v>
      </c>
      <c r="T255" t="s">
        <v>269</v>
      </c>
      <c r="U255" s="5">
        <v>36</v>
      </c>
      <c r="V255" s="5" t="s">
        <v>56</v>
      </c>
      <c r="W255" s="5">
        <v>53</v>
      </c>
      <c r="X255" s="5">
        <v>4.5999999999999996</v>
      </c>
      <c r="Y255" s="5">
        <v>8</v>
      </c>
      <c r="Z255" s="5" t="s">
        <v>117</v>
      </c>
      <c r="AA255" s="6">
        <v>14.96</v>
      </c>
      <c r="AB255" s="8">
        <f t="shared" si="39"/>
        <v>66</v>
      </c>
      <c r="AC255" s="8">
        <f t="shared" si="40"/>
        <v>1.32</v>
      </c>
      <c r="AD255" s="8">
        <f t="shared" si="41"/>
        <v>64.680000000000007</v>
      </c>
      <c r="AE255" s="8">
        <f t="shared" si="42"/>
        <v>44.88</v>
      </c>
      <c r="AF255" s="8">
        <f t="shared" si="43"/>
        <v>19.800000000000004</v>
      </c>
      <c r="AG255" s="9">
        <f t="shared" si="44"/>
        <v>0.30612244897959184</v>
      </c>
      <c r="AH255" s="10">
        <f t="shared" si="45"/>
        <v>2025</v>
      </c>
      <c r="AI255" s="10">
        <f t="shared" si="46"/>
        <v>2</v>
      </c>
      <c r="AJ255" s="10" t="str">
        <f t="shared" si="47"/>
        <v>2025-02</v>
      </c>
      <c r="AK255" s="10" t="str">
        <f t="shared" si="48"/>
        <v>T1</v>
      </c>
      <c r="AL255" s="10" t="str">
        <f t="shared" si="49"/>
        <v>30-39</v>
      </c>
      <c r="AM255" s="10" t="str">
        <f t="shared" si="50"/>
        <v>faible</v>
      </c>
      <c r="AN255" s="10" t="s">
        <v>2837</v>
      </c>
      <c r="AO255" s="10" t="str">
        <f t="shared" si="51"/>
        <v>Faible</v>
      </c>
    </row>
    <row r="256" spans="1:41">
      <c r="A256" t="s">
        <v>984</v>
      </c>
      <c r="B256" s="2">
        <v>45675</v>
      </c>
      <c r="C256" t="s">
        <v>985</v>
      </c>
      <c r="D256" t="s">
        <v>174</v>
      </c>
      <c r="E256" t="s">
        <v>139</v>
      </c>
      <c r="F256" t="s">
        <v>62</v>
      </c>
      <c r="G256">
        <v>10</v>
      </c>
      <c r="H256" s="4">
        <v>780</v>
      </c>
      <c r="I256" s="3">
        <v>0</v>
      </c>
      <c r="J256" t="s">
        <v>63</v>
      </c>
      <c r="K256" t="s">
        <v>46</v>
      </c>
      <c r="L256" t="s">
        <v>986</v>
      </c>
      <c r="M256" t="s">
        <v>79</v>
      </c>
      <c r="N256" t="s">
        <v>49</v>
      </c>
      <c r="O256" t="s">
        <v>177</v>
      </c>
      <c r="P256" t="s">
        <v>103</v>
      </c>
      <c r="Q256" t="s">
        <v>114</v>
      </c>
      <c r="R256" t="s">
        <v>144</v>
      </c>
      <c r="S256" t="s">
        <v>65</v>
      </c>
      <c r="T256" t="s">
        <v>70</v>
      </c>
      <c r="U256" s="5">
        <v>58</v>
      </c>
      <c r="V256" s="5" t="s">
        <v>85</v>
      </c>
      <c r="W256" s="5">
        <v>23</v>
      </c>
      <c r="X256" s="5">
        <v>9.1</v>
      </c>
      <c r="Y256" s="5">
        <v>1</v>
      </c>
      <c r="Z256" s="5" t="s">
        <v>117</v>
      </c>
      <c r="AA256" s="6">
        <v>468</v>
      </c>
      <c r="AB256" s="8">
        <f t="shared" si="39"/>
        <v>7800</v>
      </c>
      <c r="AC256" s="8">
        <f t="shared" si="40"/>
        <v>0</v>
      </c>
      <c r="AD256" s="8">
        <f t="shared" si="41"/>
        <v>7800</v>
      </c>
      <c r="AE256" s="8">
        <f t="shared" si="42"/>
        <v>4680</v>
      </c>
      <c r="AF256" s="8">
        <f t="shared" si="43"/>
        <v>3120</v>
      </c>
      <c r="AG256" s="9">
        <f t="shared" si="44"/>
        <v>0.4</v>
      </c>
      <c r="AH256" s="10">
        <f t="shared" si="45"/>
        <v>2025</v>
      </c>
      <c r="AI256" s="10">
        <f t="shared" si="46"/>
        <v>1</v>
      </c>
      <c r="AJ256" s="10" t="str">
        <f t="shared" si="47"/>
        <v>2025-01</v>
      </c>
      <c r="AK256" s="10" t="str">
        <f t="shared" si="48"/>
        <v>T1</v>
      </c>
      <c r="AL256" s="10" t="str">
        <f t="shared" si="49"/>
        <v>50+</v>
      </c>
      <c r="AM256" s="10" t="str">
        <f t="shared" si="50"/>
        <v>excellent</v>
      </c>
      <c r="AN256" s="10" t="s">
        <v>2838</v>
      </c>
      <c r="AO256" s="10" t="str">
        <f t="shared" si="51"/>
        <v>Elevée</v>
      </c>
    </row>
    <row r="257" spans="1:41">
      <c r="A257" t="s">
        <v>987</v>
      </c>
      <c r="B257" s="2">
        <v>45716</v>
      </c>
      <c r="C257" t="s">
        <v>806</v>
      </c>
      <c r="D257" t="s">
        <v>60</v>
      </c>
      <c r="E257" t="s">
        <v>226</v>
      </c>
      <c r="F257" t="s">
        <v>287</v>
      </c>
      <c r="G257">
        <v>1</v>
      </c>
      <c r="H257" s="4">
        <v>180</v>
      </c>
      <c r="I257" s="3">
        <v>0</v>
      </c>
      <c r="J257" t="s">
        <v>63</v>
      </c>
      <c r="K257" t="s">
        <v>46</v>
      </c>
      <c r="L257" t="s">
        <v>807</v>
      </c>
      <c r="M257" t="s">
        <v>54</v>
      </c>
      <c r="N257" t="s">
        <v>255</v>
      </c>
      <c r="O257" t="s">
        <v>66</v>
      </c>
      <c r="P257" t="s">
        <v>67</v>
      </c>
      <c r="Q257" t="s">
        <v>52</v>
      </c>
      <c r="R257" t="s">
        <v>229</v>
      </c>
      <c r="S257" t="s">
        <v>48</v>
      </c>
      <c r="T257" t="s">
        <v>289</v>
      </c>
      <c r="U257" s="5">
        <v>53</v>
      </c>
      <c r="V257" s="5" t="s">
        <v>85</v>
      </c>
      <c r="W257" s="5">
        <v>56</v>
      </c>
      <c r="X257" s="5">
        <v>8.1</v>
      </c>
      <c r="Y257" s="5">
        <v>2</v>
      </c>
      <c r="Z257" s="5" t="s">
        <v>117</v>
      </c>
      <c r="AA257" s="6">
        <v>129.6</v>
      </c>
      <c r="AB257" s="8">
        <f t="shared" si="39"/>
        <v>180</v>
      </c>
      <c r="AC257" s="8">
        <f t="shared" si="40"/>
        <v>0</v>
      </c>
      <c r="AD257" s="8">
        <f t="shared" si="41"/>
        <v>180</v>
      </c>
      <c r="AE257" s="8">
        <f t="shared" si="42"/>
        <v>129.6</v>
      </c>
      <c r="AF257" s="8">
        <f t="shared" si="43"/>
        <v>50.400000000000006</v>
      </c>
      <c r="AG257" s="9">
        <f t="shared" si="44"/>
        <v>0.28000000000000003</v>
      </c>
      <c r="AH257" s="10">
        <f t="shared" si="45"/>
        <v>2025</v>
      </c>
      <c r="AI257" s="10">
        <f t="shared" si="46"/>
        <v>2</v>
      </c>
      <c r="AJ257" s="10" t="str">
        <f t="shared" si="47"/>
        <v>2025-02</v>
      </c>
      <c r="AK257" s="10" t="str">
        <f t="shared" si="48"/>
        <v>T1</v>
      </c>
      <c r="AL257" s="10" t="str">
        <f t="shared" si="49"/>
        <v>50+</v>
      </c>
      <c r="AM257" s="10" t="str">
        <f t="shared" si="50"/>
        <v>bon</v>
      </c>
      <c r="AN257" s="10" t="s">
        <v>2838</v>
      </c>
      <c r="AO257" s="10" t="str">
        <f t="shared" si="51"/>
        <v>Faible</v>
      </c>
    </row>
    <row r="258" spans="1:41">
      <c r="A258" t="s">
        <v>988</v>
      </c>
      <c r="B258" s="2">
        <v>45994</v>
      </c>
      <c r="C258" t="s">
        <v>252</v>
      </c>
      <c r="D258" t="s">
        <v>162</v>
      </c>
      <c r="E258" t="s">
        <v>214</v>
      </c>
      <c r="F258" t="s">
        <v>429</v>
      </c>
      <c r="G258">
        <v>2</v>
      </c>
      <c r="H258" s="4">
        <v>35</v>
      </c>
      <c r="I258" s="3">
        <v>0</v>
      </c>
      <c r="J258" t="s">
        <v>77</v>
      </c>
      <c r="K258" t="s">
        <v>46</v>
      </c>
      <c r="L258" t="s">
        <v>254</v>
      </c>
      <c r="M258" t="s">
        <v>48</v>
      </c>
      <c r="N258" t="s">
        <v>255</v>
      </c>
      <c r="O258" t="s">
        <v>166</v>
      </c>
      <c r="P258" t="s">
        <v>103</v>
      </c>
      <c r="Q258" t="s">
        <v>143</v>
      </c>
      <c r="R258" t="s">
        <v>216</v>
      </c>
      <c r="S258" t="s">
        <v>65</v>
      </c>
      <c r="T258" t="s">
        <v>431</v>
      </c>
      <c r="U258" s="5">
        <v>37</v>
      </c>
      <c r="V258" s="5" t="s">
        <v>56</v>
      </c>
      <c r="W258" s="5">
        <v>41</v>
      </c>
      <c r="X258" s="5">
        <v>4.5999999999999996</v>
      </c>
      <c r="Y258" s="5">
        <v>8</v>
      </c>
      <c r="Z258" s="5" t="s">
        <v>71</v>
      </c>
      <c r="AA258" s="6">
        <v>24.15</v>
      </c>
      <c r="AB258" s="8">
        <f t="shared" si="39"/>
        <v>70</v>
      </c>
      <c r="AC258" s="8">
        <f t="shared" si="40"/>
        <v>0</v>
      </c>
      <c r="AD258" s="8">
        <f t="shared" si="41"/>
        <v>70</v>
      </c>
      <c r="AE258" s="8">
        <f t="shared" si="42"/>
        <v>48.3</v>
      </c>
      <c r="AF258" s="8">
        <f t="shared" si="43"/>
        <v>21.700000000000003</v>
      </c>
      <c r="AG258" s="9">
        <f t="shared" si="44"/>
        <v>0.31000000000000005</v>
      </c>
      <c r="AH258" s="10">
        <f t="shared" si="45"/>
        <v>2025</v>
      </c>
      <c r="AI258" s="10">
        <f t="shared" si="46"/>
        <v>12</v>
      </c>
      <c r="AJ258" s="10" t="str">
        <f t="shared" si="47"/>
        <v>2025-12</v>
      </c>
      <c r="AK258" s="10" t="str">
        <f t="shared" si="48"/>
        <v>T4</v>
      </c>
      <c r="AL258" s="10" t="str">
        <f t="shared" si="49"/>
        <v>30-39</v>
      </c>
      <c r="AM258" s="10" t="str">
        <f t="shared" si="50"/>
        <v>faible</v>
      </c>
      <c r="AN258" s="10" t="s">
        <v>2837</v>
      </c>
      <c r="AO258" s="10" t="str">
        <f t="shared" si="51"/>
        <v>Faible</v>
      </c>
    </row>
    <row r="259" spans="1:41">
      <c r="A259" t="s">
        <v>989</v>
      </c>
      <c r="B259" s="2">
        <v>45896</v>
      </c>
      <c r="C259" t="s">
        <v>990</v>
      </c>
      <c r="D259" t="s">
        <v>138</v>
      </c>
      <c r="E259" t="s">
        <v>189</v>
      </c>
      <c r="F259" t="s">
        <v>429</v>
      </c>
      <c r="G259">
        <v>3</v>
      </c>
      <c r="H259" s="4">
        <v>120</v>
      </c>
      <c r="I259" s="3">
        <v>0</v>
      </c>
      <c r="J259" t="s">
        <v>45</v>
      </c>
      <c r="K259" t="s">
        <v>46</v>
      </c>
      <c r="L259" t="s">
        <v>991</v>
      </c>
      <c r="M259" t="s">
        <v>65</v>
      </c>
      <c r="N259" t="s">
        <v>49</v>
      </c>
      <c r="O259" t="s">
        <v>142</v>
      </c>
      <c r="P259" t="s">
        <v>51</v>
      </c>
      <c r="Q259" t="s">
        <v>143</v>
      </c>
      <c r="R259" t="s">
        <v>193</v>
      </c>
      <c r="S259" t="s">
        <v>79</v>
      </c>
      <c r="T259" t="s">
        <v>431</v>
      </c>
      <c r="U259" s="5">
        <v>59</v>
      </c>
      <c r="V259" s="5" t="s">
        <v>56</v>
      </c>
      <c r="W259" s="5">
        <v>30</v>
      </c>
      <c r="X259" s="5">
        <v>3.7</v>
      </c>
      <c r="Y259" s="5">
        <v>8</v>
      </c>
      <c r="Z259" s="5" t="s">
        <v>117</v>
      </c>
      <c r="AA259" s="6">
        <v>73.2</v>
      </c>
      <c r="AB259" s="8">
        <f t="shared" ref="AB259:AB322" si="52">G259*H259</f>
        <v>360</v>
      </c>
      <c r="AC259" s="8">
        <f t="shared" ref="AC259:AC322" si="53">I259*AB259</f>
        <v>0</v>
      </c>
      <c r="AD259" s="8">
        <f t="shared" ref="AD259:AD322" si="54">AB259-AC259</f>
        <v>360</v>
      </c>
      <c r="AE259" s="8">
        <f t="shared" ref="AE259:AE322" si="55">G259*AA259</f>
        <v>219.60000000000002</v>
      </c>
      <c r="AF259" s="8">
        <f t="shared" ref="AF259:AF322" si="56">AD259-AE259</f>
        <v>140.39999999999998</v>
      </c>
      <c r="AG259" s="9">
        <f t="shared" ref="AG259:AG322" si="57">IFERROR(AF259/AD259,)</f>
        <v>0.38999999999999996</v>
      </c>
      <c r="AH259" s="10">
        <f t="shared" ref="AH259:AH322" si="58">YEAR(B259)</f>
        <v>2025</v>
      </c>
      <c r="AI259" s="10">
        <f t="shared" ref="AI259:AI322" si="59">MONTH(B259)</f>
        <v>8</v>
      </c>
      <c r="AJ259" s="10" t="str">
        <f t="shared" ref="AJ259:AJ322" si="60">TEXT(B259,"yyyy-mm")</f>
        <v>2025-08</v>
      </c>
      <c r="AK259" s="10" t="str">
        <f t="shared" ref="AK259:AK322" si="61">"T"&amp;ROUNDUP(MONTH(B259)/3,0)</f>
        <v>T3</v>
      </c>
      <c r="AL259" s="10" t="str">
        <f t="shared" ref="AL259:AL322" si="62">IF(U259&lt;30,"22-29",IF(U259&lt;40,"30-39",IF(U259&lt;50,"40-49","50+")))</f>
        <v>50+</v>
      </c>
      <c r="AM259" s="10" t="str">
        <f t="shared" ref="AM259:AM322" si="63">IF(X259&lt;5,"faible",IF(X259&lt;7,"moyen",IF(X259&lt;9,"bon","excellent")))</f>
        <v>faible</v>
      </c>
      <c r="AN259" s="10" t="s">
        <v>2837</v>
      </c>
      <c r="AO259" s="10" t="str">
        <f t="shared" ref="AO259:AO322" si="64">IF(AD259&gt;=1000,"Elevée",IF(AD259&gt;=500,"Moyenne","Faible"))</f>
        <v>Faible</v>
      </c>
    </row>
    <row r="260" spans="1:41">
      <c r="A260" t="s">
        <v>992</v>
      </c>
      <c r="B260" s="2">
        <v>45769</v>
      </c>
      <c r="C260" t="s">
        <v>993</v>
      </c>
      <c r="D260" t="s">
        <v>74</v>
      </c>
      <c r="E260" t="s">
        <v>88</v>
      </c>
      <c r="F260" t="s">
        <v>297</v>
      </c>
      <c r="G260">
        <v>1</v>
      </c>
      <c r="H260" s="4">
        <v>95</v>
      </c>
      <c r="I260" s="3">
        <v>0</v>
      </c>
      <c r="J260" t="s">
        <v>90</v>
      </c>
      <c r="K260" t="s">
        <v>46</v>
      </c>
      <c r="L260" t="s">
        <v>994</v>
      </c>
      <c r="M260" t="s">
        <v>123</v>
      </c>
      <c r="N260" t="s">
        <v>80</v>
      </c>
      <c r="O260" t="s">
        <v>81</v>
      </c>
      <c r="P260" t="s">
        <v>82</v>
      </c>
      <c r="Q260" t="s">
        <v>52</v>
      </c>
      <c r="R260" t="s">
        <v>92</v>
      </c>
      <c r="S260" t="s">
        <v>48</v>
      </c>
      <c r="T260" t="s">
        <v>299</v>
      </c>
      <c r="U260" s="5">
        <v>46</v>
      </c>
      <c r="V260" s="5" t="s">
        <v>56</v>
      </c>
      <c r="W260" s="5">
        <v>22</v>
      </c>
      <c r="X260" s="5">
        <v>6</v>
      </c>
      <c r="Y260" s="5">
        <v>4</v>
      </c>
      <c r="Z260" s="5" t="s">
        <v>94</v>
      </c>
      <c r="AA260" s="6">
        <v>70.3</v>
      </c>
      <c r="AB260" s="8">
        <f t="shared" si="52"/>
        <v>95</v>
      </c>
      <c r="AC260" s="8">
        <f t="shared" si="53"/>
        <v>0</v>
      </c>
      <c r="AD260" s="8">
        <f t="shared" si="54"/>
        <v>95</v>
      </c>
      <c r="AE260" s="8">
        <f t="shared" si="55"/>
        <v>70.3</v>
      </c>
      <c r="AF260" s="8">
        <f t="shared" si="56"/>
        <v>24.700000000000003</v>
      </c>
      <c r="AG260" s="9">
        <f t="shared" si="57"/>
        <v>0.26</v>
      </c>
      <c r="AH260" s="10">
        <f t="shared" si="58"/>
        <v>2025</v>
      </c>
      <c r="AI260" s="10">
        <f t="shared" si="59"/>
        <v>4</v>
      </c>
      <c r="AJ260" s="10" t="str">
        <f t="shared" si="60"/>
        <v>2025-04</v>
      </c>
      <c r="AK260" s="10" t="str">
        <f t="shared" si="61"/>
        <v>T2</v>
      </c>
      <c r="AL260" s="10" t="str">
        <f t="shared" si="62"/>
        <v>40-49</v>
      </c>
      <c r="AM260" s="10" t="str">
        <f t="shared" si="63"/>
        <v>moyen</v>
      </c>
      <c r="AN260" s="10" t="s">
        <v>2839</v>
      </c>
      <c r="AO260" s="10" t="str">
        <f t="shared" si="64"/>
        <v>Faible</v>
      </c>
    </row>
    <row r="261" spans="1:41">
      <c r="A261" t="s">
        <v>995</v>
      </c>
      <c r="B261" s="2">
        <v>45821</v>
      </c>
      <c r="C261" t="s">
        <v>826</v>
      </c>
      <c r="D261" t="s">
        <v>333</v>
      </c>
      <c r="E261" t="s">
        <v>189</v>
      </c>
      <c r="F261" t="s">
        <v>487</v>
      </c>
      <c r="G261">
        <v>1</v>
      </c>
      <c r="H261" s="4">
        <v>65</v>
      </c>
      <c r="I261" s="3">
        <v>0</v>
      </c>
      <c r="J261" t="s">
        <v>63</v>
      </c>
      <c r="K261" t="s">
        <v>46</v>
      </c>
      <c r="L261" t="s">
        <v>827</v>
      </c>
      <c r="M261" t="s">
        <v>79</v>
      </c>
      <c r="N261" t="s">
        <v>112</v>
      </c>
      <c r="O261" t="s">
        <v>336</v>
      </c>
      <c r="P261" t="s">
        <v>51</v>
      </c>
      <c r="Q261" t="s">
        <v>52</v>
      </c>
      <c r="R261" t="s">
        <v>193</v>
      </c>
      <c r="S261" t="s">
        <v>79</v>
      </c>
      <c r="T261" t="s">
        <v>489</v>
      </c>
      <c r="U261" s="5">
        <v>54</v>
      </c>
      <c r="V261" s="5" t="s">
        <v>85</v>
      </c>
      <c r="W261" s="5">
        <v>34</v>
      </c>
      <c r="X261" s="5">
        <v>9.1</v>
      </c>
      <c r="Y261" s="5">
        <v>1</v>
      </c>
      <c r="Z261" s="5" t="s">
        <v>94</v>
      </c>
      <c r="AA261" s="6">
        <v>47.45</v>
      </c>
      <c r="AB261" s="8">
        <f t="shared" si="52"/>
        <v>65</v>
      </c>
      <c r="AC261" s="8">
        <f t="shared" si="53"/>
        <v>0</v>
      </c>
      <c r="AD261" s="8">
        <f t="shared" si="54"/>
        <v>65</v>
      </c>
      <c r="AE261" s="8">
        <f t="shared" si="55"/>
        <v>47.45</v>
      </c>
      <c r="AF261" s="8">
        <f t="shared" si="56"/>
        <v>17.549999999999997</v>
      </c>
      <c r="AG261" s="9">
        <f t="shared" si="57"/>
        <v>0.26999999999999996</v>
      </c>
      <c r="AH261" s="10">
        <f t="shared" si="58"/>
        <v>2025</v>
      </c>
      <c r="AI261" s="10">
        <f t="shared" si="59"/>
        <v>6</v>
      </c>
      <c r="AJ261" s="10" t="str">
        <f t="shared" si="60"/>
        <v>2025-06</v>
      </c>
      <c r="AK261" s="10" t="str">
        <f t="shared" si="61"/>
        <v>T2</v>
      </c>
      <c r="AL261" s="10" t="str">
        <f t="shared" si="62"/>
        <v>50+</v>
      </c>
      <c r="AM261" s="10" t="str">
        <f t="shared" si="63"/>
        <v>excellent</v>
      </c>
      <c r="AN261" s="10" t="s">
        <v>2838</v>
      </c>
      <c r="AO261" s="10" t="str">
        <f t="shared" si="64"/>
        <v>Faible</v>
      </c>
    </row>
    <row r="262" spans="1:41">
      <c r="A262" t="s">
        <v>996</v>
      </c>
      <c r="B262" s="2">
        <v>45889</v>
      </c>
      <c r="C262" t="s">
        <v>997</v>
      </c>
      <c r="D262" t="s">
        <v>333</v>
      </c>
      <c r="E262" t="s">
        <v>345</v>
      </c>
      <c r="F262" t="s">
        <v>388</v>
      </c>
      <c r="G262">
        <v>1</v>
      </c>
      <c r="H262" s="4">
        <v>65</v>
      </c>
      <c r="I262" s="3">
        <v>0</v>
      </c>
      <c r="J262" t="s">
        <v>63</v>
      </c>
      <c r="K262" t="s">
        <v>46</v>
      </c>
      <c r="L262" t="s">
        <v>998</v>
      </c>
      <c r="M262" t="s">
        <v>48</v>
      </c>
      <c r="N262" t="s">
        <v>112</v>
      </c>
      <c r="O262" t="s">
        <v>336</v>
      </c>
      <c r="P262" t="s">
        <v>51</v>
      </c>
      <c r="Q262" t="s">
        <v>52</v>
      </c>
      <c r="R262" t="s">
        <v>347</v>
      </c>
      <c r="S262" t="s">
        <v>54</v>
      </c>
      <c r="T262" t="s">
        <v>390</v>
      </c>
      <c r="U262" s="5">
        <v>27</v>
      </c>
      <c r="V262" s="5" t="s">
        <v>56</v>
      </c>
      <c r="W262" s="5">
        <v>35</v>
      </c>
      <c r="X262" s="5">
        <v>4.5</v>
      </c>
      <c r="Y262" s="5">
        <v>7</v>
      </c>
      <c r="Z262" s="5" t="s">
        <v>117</v>
      </c>
      <c r="AA262" s="6">
        <v>47.45</v>
      </c>
      <c r="AB262" s="8">
        <f t="shared" si="52"/>
        <v>65</v>
      </c>
      <c r="AC262" s="8">
        <f t="shared" si="53"/>
        <v>0</v>
      </c>
      <c r="AD262" s="8">
        <f t="shared" si="54"/>
        <v>65</v>
      </c>
      <c r="AE262" s="8">
        <f t="shared" si="55"/>
        <v>47.45</v>
      </c>
      <c r="AF262" s="8">
        <f t="shared" si="56"/>
        <v>17.549999999999997</v>
      </c>
      <c r="AG262" s="9">
        <f t="shared" si="57"/>
        <v>0.26999999999999996</v>
      </c>
      <c r="AH262" s="10">
        <f t="shared" si="58"/>
        <v>2025</v>
      </c>
      <c r="AI262" s="10">
        <f t="shared" si="59"/>
        <v>8</v>
      </c>
      <c r="AJ262" s="10" t="str">
        <f t="shared" si="60"/>
        <v>2025-08</v>
      </c>
      <c r="AK262" s="10" t="str">
        <f t="shared" si="61"/>
        <v>T3</v>
      </c>
      <c r="AL262" s="10" t="str">
        <f t="shared" si="62"/>
        <v>22-29</v>
      </c>
      <c r="AM262" s="10" t="str">
        <f t="shared" si="63"/>
        <v>faible</v>
      </c>
      <c r="AN262" s="10" t="s">
        <v>2837</v>
      </c>
      <c r="AO262" s="10" t="str">
        <f t="shared" si="64"/>
        <v>Faible</v>
      </c>
    </row>
    <row r="263" spans="1:41">
      <c r="A263" t="s">
        <v>999</v>
      </c>
      <c r="B263" s="2">
        <v>45952</v>
      </c>
      <c r="C263" t="s">
        <v>1000</v>
      </c>
      <c r="D263" t="s">
        <v>74</v>
      </c>
      <c r="E263" t="s">
        <v>120</v>
      </c>
      <c r="F263" t="s">
        <v>292</v>
      </c>
      <c r="G263">
        <v>20</v>
      </c>
      <c r="H263" s="4">
        <v>95</v>
      </c>
      <c r="I263" s="3">
        <v>0.02</v>
      </c>
      <c r="J263" t="s">
        <v>77</v>
      </c>
      <c r="K263" t="s">
        <v>46</v>
      </c>
      <c r="L263" t="s">
        <v>1001</v>
      </c>
      <c r="M263" t="s">
        <v>48</v>
      </c>
      <c r="N263" t="s">
        <v>80</v>
      </c>
      <c r="O263" t="s">
        <v>81</v>
      </c>
      <c r="P263" t="s">
        <v>82</v>
      </c>
      <c r="Q263" t="s">
        <v>52</v>
      </c>
      <c r="R263" t="s">
        <v>124</v>
      </c>
      <c r="S263" t="s">
        <v>48</v>
      </c>
      <c r="T263" t="s">
        <v>294</v>
      </c>
      <c r="U263" s="5">
        <v>28</v>
      </c>
      <c r="V263" s="5" t="s">
        <v>85</v>
      </c>
      <c r="W263" s="5">
        <v>31</v>
      </c>
      <c r="X263" s="5">
        <v>5.6</v>
      </c>
      <c r="Y263" s="5">
        <v>5</v>
      </c>
      <c r="Z263" s="5" t="s">
        <v>117</v>
      </c>
      <c r="AA263" s="6">
        <v>70.3</v>
      </c>
      <c r="AB263" s="8">
        <f t="shared" si="52"/>
        <v>1900</v>
      </c>
      <c r="AC263" s="8">
        <f t="shared" si="53"/>
        <v>38</v>
      </c>
      <c r="AD263" s="8">
        <f t="shared" si="54"/>
        <v>1862</v>
      </c>
      <c r="AE263" s="8">
        <f t="shared" si="55"/>
        <v>1406</v>
      </c>
      <c r="AF263" s="8">
        <f t="shared" si="56"/>
        <v>456</v>
      </c>
      <c r="AG263" s="9">
        <f t="shared" si="57"/>
        <v>0.24489795918367346</v>
      </c>
      <c r="AH263" s="10">
        <f t="shared" si="58"/>
        <v>2025</v>
      </c>
      <c r="AI263" s="10">
        <f t="shared" si="59"/>
        <v>10</v>
      </c>
      <c r="AJ263" s="10" t="str">
        <f t="shared" si="60"/>
        <v>2025-10</v>
      </c>
      <c r="AK263" s="10" t="str">
        <f t="shared" si="61"/>
        <v>T4</v>
      </c>
      <c r="AL263" s="10" t="str">
        <f t="shared" si="62"/>
        <v>22-29</v>
      </c>
      <c r="AM263" s="10" t="str">
        <f t="shared" si="63"/>
        <v>moyen</v>
      </c>
      <c r="AN263" s="10" t="s">
        <v>2839</v>
      </c>
      <c r="AO263" s="10" t="str">
        <f t="shared" si="64"/>
        <v>Elevée</v>
      </c>
    </row>
    <row r="264" spans="1:41">
      <c r="A264" t="s">
        <v>1002</v>
      </c>
      <c r="B264" s="2">
        <v>45928</v>
      </c>
      <c r="C264" t="s">
        <v>1003</v>
      </c>
      <c r="D264" t="s">
        <v>188</v>
      </c>
      <c r="E264" t="s">
        <v>61</v>
      </c>
      <c r="F264" t="s">
        <v>121</v>
      </c>
      <c r="G264">
        <v>1</v>
      </c>
      <c r="H264" s="4">
        <v>350</v>
      </c>
      <c r="I264" s="3">
        <v>0.08</v>
      </c>
      <c r="J264" t="s">
        <v>90</v>
      </c>
      <c r="K264" t="s">
        <v>46</v>
      </c>
      <c r="L264" t="s">
        <v>1004</v>
      </c>
      <c r="M264" t="s">
        <v>65</v>
      </c>
      <c r="N264" t="s">
        <v>80</v>
      </c>
      <c r="O264" t="s">
        <v>192</v>
      </c>
      <c r="P264" t="s">
        <v>51</v>
      </c>
      <c r="Q264" t="s">
        <v>114</v>
      </c>
      <c r="R264" t="s">
        <v>68</v>
      </c>
      <c r="S264" t="s">
        <v>69</v>
      </c>
      <c r="T264" t="s">
        <v>125</v>
      </c>
      <c r="U264" s="5">
        <v>55</v>
      </c>
      <c r="V264" s="5" t="s">
        <v>56</v>
      </c>
      <c r="W264" s="5">
        <v>55</v>
      </c>
      <c r="X264" s="5">
        <v>4.8</v>
      </c>
      <c r="Y264" s="5">
        <v>8</v>
      </c>
      <c r="Z264" s="5" t="s">
        <v>117</v>
      </c>
      <c r="AA264" s="6">
        <v>213.5</v>
      </c>
      <c r="AB264" s="8">
        <f t="shared" si="52"/>
        <v>350</v>
      </c>
      <c r="AC264" s="8">
        <f t="shared" si="53"/>
        <v>28</v>
      </c>
      <c r="AD264" s="8">
        <f t="shared" si="54"/>
        <v>322</v>
      </c>
      <c r="AE264" s="8">
        <f t="shared" si="55"/>
        <v>213.5</v>
      </c>
      <c r="AF264" s="8">
        <f t="shared" si="56"/>
        <v>108.5</v>
      </c>
      <c r="AG264" s="9">
        <f t="shared" si="57"/>
        <v>0.33695652173913043</v>
      </c>
      <c r="AH264" s="10">
        <f t="shared" si="58"/>
        <v>2025</v>
      </c>
      <c r="AI264" s="10">
        <f t="shared" si="59"/>
        <v>9</v>
      </c>
      <c r="AJ264" s="10" t="str">
        <f t="shared" si="60"/>
        <v>2025-09</v>
      </c>
      <c r="AK264" s="10" t="str">
        <f t="shared" si="61"/>
        <v>T3</v>
      </c>
      <c r="AL264" s="10" t="str">
        <f t="shared" si="62"/>
        <v>50+</v>
      </c>
      <c r="AM264" s="10" t="str">
        <f t="shared" si="63"/>
        <v>faible</v>
      </c>
      <c r="AN264" s="10" t="s">
        <v>2837</v>
      </c>
      <c r="AO264" s="10" t="str">
        <f t="shared" si="64"/>
        <v>Faible</v>
      </c>
    </row>
    <row r="265" spans="1:41">
      <c r="A265" t="s">
        <v>1005</v>
      </c>
      <c r="B265" s="2">
        <v>45820</v>
      </c>
      <c r="C265" t="s">
        <v>1006</v>
      </c>
      <c r="D265" t="s">
        <v>333</v>
      </c>
      <c r="E265" t="s">
        <v>43</v>
      </c>
      <c r="F265" t="s">
        <v>467</v>
      </c>
      <c r="G265">
        <v>4</v>
      </c>
      <c r="H265" s="4">
        <v>65</v>
      </c>
      <c r="I265" s="3">
        <v>0.02</v>
      </c>
      <c r="J265" t="s">
        <v>90</v>
      </c>
      <c r="K265" t="s">
        <v>46</v>
      </c>
      <c r="L265" t="s">
        <v>1007</v>
      </c>
      <c r="M265" t="s">
        <v>79</v>
      </c>
      <c r="N265" t="s">
        <v>49</v>
      </c>
      <c r="O265" t="s">
        <v>336</v>
      </c>
      <c r="P265" t="s">
        <v>51</v>
      </c>
      <c r="Q265" t="s">
        <v>52</v>
      </c>
      <c r="R265" t="s">
        <v>53</v>
      </c>
      <c r="S265" t="s">
        <v>54</v>
      </c>
      <c r="T265" t="s">
        <v>469</v>
      </c>
      <c r="U265" s="5">
        <v>55</v>
      </c>
      <c r="V265" s="5" t="s">
        <v>56</v>
      </c>
      <c r="W265" s="5">
        <v>69</v>
      </c>
      <c r="X265" s="5">
        <v>5.7</v>
      </c>
      <c r="Y265" s="5">
        <v>6</v>
      </c>
      <c r="Z265" s="5" t="s">
        <v>94</v>
      </c>
      <c r="AA265" s="6">
        <v>47.45</v>
      </c>
      <c r="AB265" s="8">
        <f t="shared" si="52"/>
        <v>260</v>
      </c>
      <c r="AC265" s="8">
        <f t="shared" si="53"/>
        <v>5.2</v>
      </c>
      <c r="AD265" s="8">
        <f t="shared" si="54"/>
        <v>254.8</v>
      </c>
      <c r="AE265" s="8">
        <f t="shared" si="55"/>
        <v>189.8</v>
      </c>
      <c r="AF265" s="8">
        <f t="shared" si="56"/>
        <v>65</v>
      </c>
      <c r="AG265" s="9">
        <f t="shared" si="57"/>
        <v>0.25510204081632654</v>
      </c>
      <c r="AH265" s="10">
        <f t="shared" si="58"/>
        <v>2025</v>
      </c>
      <c r="AI265" s="10">
        <f t="shared" si="59"/>
        <v>6</v>
      </c>
      <c r="AJ265" s="10" t="str">
        <f t="shared" si="60"/>
        <v>2025-06</v>
      </c>
      <c r="AK265" s="10" t="str">
        <f t="shared" si="61"/>
        <v>T2</v>
      </c>
      <c r="AL265" s="10" t="str">
        <f t="shared" si="62"/>
        <v>50+</v>
      </c>
      <c r="AM265" s="10" t="str">
        <f t="shared" si="63"/>
        <v>moyen</v>
      </c>
      <c r="AN265" s="10" t="s">
        <v>2839</v>
      </c>
      <c r="AO265" s="10" t="str">
        <f t="shared" si="64"/>
        <v>Faible</v>
      </c>
    </row>
    <row r="266" spans="1:41">
      <c r="A266" t="s">
        <v>1008</v>
      </c>
      <c r="B266" s="2">
        <v>45810</v>
      </c>
      <c r="C266" t="s">
        <v>1009</v>
      </c>
      <c r="D266" t="s">
        <v>272</v>
      </c>
      <c r="E266" t="s">
        <v>219</v>
      </c>
      <c r="F266" t="s">
        <v>227</v>
      </c>
      <c r="G266">
        <v>3</v>
      </c>
      <c r="H266" s="4">
        <v>420</v>
      </c>
      <c r="I266" s="3">
        <v>0.02</v>
      </c>
      <c r="J266" t="s">
        <v>63</v>
      </c>
      <c r="K266" t="s">
        <v>46</v>
      </c>
      <c r="L266" t="s">
        <v>1010</v>
      </c>
      <c r="M266" t="s">
        <v>123</v>
      </c>
      <c r="N266" t="s">
        <v>49</v>
      </c>
      <c r="O266" t="s">
        <v>274</v>
      </c>
      <c r="P266" t="s">
        <v>133</v>
      </c>
      <c r="Q266" t="s">
        <v>114</v>
      </c>
      <c r="R266" t="s">
        <v>222</v>
      </c>
      <c r="S266" t="s">
        <v>123</v>
      </c>
      <c r="T266" t="s">
        <v>230</v>
      </c>
      <c r="U266" s="5">
        <v>36</v>
      </c>
      <c r="V266" s="5" t="s">
        <v>56</v>
      </c>
      <c r="W266" s="5">
        <v>29</v>
      </c>
      <c r="X266" s="5">
        <v>5.8</v>
      </c>
      <c r="Y266" s="5">
        <v>6</v>
      </c>
      <c r="Z266" s="5" t="s">
        <v>71</v>
      </c>
      <c r="AA266" s="6">
        <v>273</v>
      </c>
      <c r="AB266" s="8">
        <f t="shared" si="52"/>
        <v>1260</v>
      </c>
      <c r="AC266" s="8">
        <f t="shared" si="53"/>
        <v>25.2</v>
      </c>
      <c r="AD266" s="8">
        <f t="shared" si="54"/>
        <v>1234.8</v>
      </c>
      <c r="AE266" s="8">
        <f t="shared" si="55"/>
        <v>819</v>
      </c>
      <c r="AF266" s="8">
        <f t="shared" si="56"/>
        <v>415.79999999999995</v>
      </c>
      <c r="AG266" s="9">
        <f t="shared" si="57"/>
        <v>0.33673469387755101</v>
      </c>
      <c r="AH266" s="10">
        <f t="shared" si="58"/>
        <v>2025</v>
      </c>
      <c r="AI266" s="10">
        <f t="shared" si="59"/>
        <v>6</v>
      </c>
      <c r="AJ266" s="10" t="str">
        <f t="shared" si="60"/>
        <v>2025-06</v>
      </c>
      <c r="AK266" s="10" t="str">
        <f t="shared" si="61"/>
        <v>T2</v>
      </c>
      <c r="AL266" s="10" t="str">
        <f t="shared" si="62"/>
        <v>30-39</v>
      </c>
      <c r="AM266" s="10" t="str">
        <f t="shared" si="63"/>
        <v>moyen</v>
      </c>
      <c r="AN266" s="10" t="s">
        <v>2839</v>
      </c>
      <c r="AO266" s="10" t="str">
        <f t="shared" si="64"/>
        <v>Elevée</v>
      </c>
    </row>
    <row r="267" spans="1:41">
      <c r="A267" t="s">
        <v>1011</v>
      </c>
      <c r="B267" s="2">
        <v>45772</v>
      </c>
      <c r="C267" t="s">
        <v>1012</v>
      </c>
      <c r="D267" t="s">
        <v>60</v>
      </c>
      <c r="E267" t="s">
        <v>345</v>
      </c>
      <c r="F267" t="s">
        <v>287</v>
      </c>
      <c r="G267">
        <v>1</v>
      </c>
      <c r="H267" s="4">
        <v>180</v>
      </c>
      <c r="I267" s="3">
        <v>0</v>
      </c>
      <c r="J267" t="s">
        <v>45</v>
      </c>
      <c r="K267" t="s">
        <v>46</v>
      </c>
      <c r="L267" t="s">
        <v>1013</v>
      </c>
      <c r="M267" t="s">
        <v>79</v>
      </c>
      <c r="N267" t="s">
        <v>80</v>
      </c>
      <c r="O267" t="s">
        <v>66</v>
      </c>
      <c r="P267" t="s">
        <v>67</v>
      </c>
      <c r="Q267" t="s">
        <v>52</v>
      </c>
      <c r="R267" t="s">
        <v>347</v>
      </c>
      <c r="S267" t="s">
        <v>54</v>
      </c>
      <c r="T267" t="s">
        <v>289</v>
      </c>
      <c r="U267" s="5">
        <v>43</v>
      </c>
      <c r="V267" s="5" t="s">
        <v>56</v>
      </c>
      <c r="W267" s="5">
        <v>56</v>
      </c>
      <c r="X267" s="5">
        <v>6.9</v>
      </c>
      <c r="Y267" s="5">
        <v>4</v>
      </c>
      <c r="Z267" s="5" t="s">
        <v>94</v>
      </c>
      <c r="AA267" s="6">
        <v>129.6</v>
      </c>
      <c r="AB267" s="8">
        <f t="shared" si="52"/>
        <v>180</v>
      </c>
      <c r="AC267" s="8">
        <f t="shared" si="53"/>
        <v>0</v>
      </c>
      <c r="AD267" s="8">
        <f t="shared" si="54"/>
        <v>180</v>
      </c>
      <c r="AE267" s="8">
        <f t="shared" si="55"/>
        <v>129.6</v>
      </c>
      <c r="AF267" s="8">
        <f t="shared" si="56"/>
        <v>50.400000000000006</v>
      </c>
      <c r="AG267" s="9">
        <f t="shared" si="57"/>
        <v>0.28000000000000003</v>
      </c>
      <c r="AH267" s="10">
        <f t="shared" si="58"/>
        <v>2025</v>
      </c>
      <c r="AI267" s="10">
        <f t="shared" si="59"/>
        <v>4</v>
      </c>
      <c r="AJ267" s="10" t="str">
        <f t="shared" si="60"/>
        <v>2025-04</v>
      </c>
      <c r="AK267" s="10" t="str">
        <f t="shared" si="61"/>
        <v>T2</v>
      </c>
      <c r="AL267" s="10" t="str">
        <f t="shared" si="62"/>
        <v>40-49</v>
      </c>
      <c r="AM267" s="10" t="str">
        <f t="shared" si="63"/>
        <v>moyen</v>
      </c>
      <c r="AN267" s="10" t="s">
        <v>2839</v>
      </c>
      <c r="AO267" s="10" t="str">
        <f t="shared" si="64"/>
        <v>Faible</v>
      </c>
    </row>
    <row r="268" spans="1:41">
      <c r="A268" t="s">
        <v>1014</v>
      </c>
      <c r="B268" s="2">
        <v>45703</v>
      </c>
      <c r="C268" t="s">
        <v>1015</v>
      </c>
      <c r="D268" t="s">
        <v>333</v>
      </c>
      <c r="E268" t="s">
        <v>163</v>
      </c>
      <c r="F268" t="s">
        <v>62</v>
      </c>
      <c r="G268">
        <v>1</v>
      </c>
      <c r="H268" s="4">
        <v>65</v>
      </c>
      <c r="I268" s="3">
        <v>0.1</v>
      </c>
      <c r="J268" t="s">
        <v>77</v>
      </c>
      <c r="K268" t="s">
        <v>46</v>
      </c>
      <c r="L268" t="s">
        <v>1016</v>
      </c>
      <c r="M268" t="s">
        <v>69</v>
      </c>
      <c r="N268" t="s">
        <v>112</v>
      </c>
      <c r="O268" t="s">
        <v>336</v>
      </c>
      <c r="P268" t="s">
        <v>51</v>
      </c>
      <c r="Q268" t="s">
        <v>52</v>
      </c>
      <c r="R268" t="s">
        <v>167</v>
      </c>
      <c r="S268" t="s">
        <v>123</v>
      </c>
      <c r="T268" t="s">
        <v>70</v>
      </c>
      <c r="U268" s="5">
        <v>60</v>
      </c>
      <c r="V268" s="5" t="s">
        <v>56</v>
      </c>
      <c r="W268" s="5">
        <v>14</v>
      </c>
      <c r="X268" s="5">
        <v>4.5</v>
      </c>
      <c r="Y268" s="5">
        <v>7</v>
      </c>
      <c r="Z268" s="5" t="s">
        <v>117</v>
      </c>
      <c r="AA268" s="6">
        <v>47.45</v>
      </c>
      <c r="AB268" s="8">
        <f t="shared" si="52"/>
        <v>65</v>
      </c>
      <c r="AC268" s="8">
        <f t="shared" si="53"/>
        <v>6.5</v>
      </c>
      <c r="AD268" s="8">
        <f t="shared" si="54"/>
        <v>58.5</v>
      </c>
      <c r="AE268" s="8">
        <f t="shared" si="55"/>
        <v>47.45</v>
      </c>
      <c r="AF268" s="8">
        <f t="shared" si="56"/>
        <v>11.049999999999997</v>
      </c>
      <c r="AG268" s="9">
        <f t="shared" si="57"/>
        <v>0.18888888888888883</v>
      </c>
      <c r="AH268" s="10">
        <f t="shared" si="58"/>
        <v>2025</v>
      </c>
      <c r="AI268" s="10">
        <f t="shared" si="59"/>
        <v>2</v>
      </c>
      <c r="AJ268" s="10" t="str">
        <f t="shared" si="60"/>
        <v>2025-02</v>
      </c>
      <c r="AK268" s="10" t="str">
        <f t="shared" si="61"/>
        <v>T1</v>
      </c>
      <c r="AL268" s="10" t="str">
        <f t="shared" si="62"/>
        <v>50+</v>
      </c>
      <c r="AM268" s="10" t="str">
        <f t="shared" si="63"/>
        <v>faible</v>
      </c>
      <c r="AN268" s="10" t="s">
        <v>2837</v>
      </c>
      <c r="AO268" s="10" t="str">
        <f t="shared" si="64"/>
        <v>Faible</v>
      </c>
    </row>
    <row r="269" spans="1:41">
      <c r="A269" t="s">
        <v>1017</v>
      </c>
      <c r="B269" s="2">
        <v>45680</v>
      </c>
      <c r="C269" t="s">
        <v>1018</v>
      </c>
      <c r="D269" t="s">
        <v>188</v>
      </c>
      <c r="E269" t="s">
        <v>109</v>
      </c>
      <c r="F269" t="s">
        <v>779</v>
      </c>
      <c r="G269">
        <v>1</v>
      </c>
      <c r="H269" s="4">
        <v>350</v>
      </c>
      <c r="I269" s="3">
        <v>0</v>
      </c>
      <c r="J269" t="s">
        <v>90</v>
      </c>
      <c r="K269" t="s">
        <v>46</v>
      </c>
      <c r="L269" t="s">
        <v>1019</v>
      </c>
      <c r="M269" t="s">
        <v>123</v>
      </c>
      <c r="N269" t="s">
        <v>112</v>
      </c>
      <c r="O269" t="s">
        <v>192</v>
      </c>
      <c r="P269" t="s">
        <v>51</v>
      </c>
      <c r="Q269" t="s">
        <v>114</v>
      </c>
      <c r="R269" t="s">
        <v>115</v>
      </c>
      <c r="S269" t="s">
        <v>65</v>
      </c>
      <c r="T269" t="s">
        <v>781</v>
      </c>
      <c r="U269" s="5">
        <v>26</v>
      </c>
      <c r="V269" s="5" t="s">
        <v>56</v>
      </c>
      <c r="W269" s="5">
        <v>61</v>
      </c>
      <c r="X269" s="5">
        <v>7.2</v>
      </c>
      <c r="Y269" s="5">
        <v>2</v>
      </c>
      <c r="Z269" s="5" t="s">
        <v>94</v>
      </c>
      <c r="AA269" s="6">
        <v>213.5</v>
      </c>
      <c r="AB269" s="8">
        <f t="shared" si="52"/>
        <v>350</v>
      </c>
      <c r="AC269" s="8">
        <f t="shared" si="53"/>
        <v>0</v>
      </c>
      <c r="AD269" s="8">
        <f t="shared" si="54"/>
        <v>350</v>
      </c>
      <c r="AE269" s="8">
        <f t="shared" si="55"/>
        <v>213.5</v>
      </c>
      <c r="AF269" s="8">
        <f t="shared" si="56"/>
        <v>136.5</v>
      </c>
      <c r="AG269" s="9">
        <f t="shared" si="57"/>
        <v>0.39</v>
      </c>
      <c r="AH269" s="10">
        <f t="shared" si="58"/>
        <v>2025</v>
      </c>
      <c r="AI269" s="10">
        <f t="shared" si="59"/>
        <v>1</v>
      </c>
      <c r="AJ269" s="10" t="str">
        <f t="shared" si="60"/>
        <v>2025-01</v>
      </c>
      <c r="AK269" s="10" t="str">
        <f t="shared" si="61"/>
        <v>T1</v>
      </c>
      <c r="AL269" s="10" t="str">
        <f t="shared" si="62"/>
        <v>22-29</v>
      </c>
      <c r="AM269" s="10" t="str">
        <f t="shared" si="63"/>
        <v>bon</v>
      </c>
      <c r="AN269" s="10" t="s">
        <v>2838</v>
      </c>
      <c r="AO269" s="10" t="str">
        <f t="shared" si="64"/>
        <v>Faible</v>
      </c>
    </row>
    <row r="270" spans="1:41">
      <c r="A270" t="s">
        <v>1020</v>
      </c>
      <c r="B270" s="2">
        <v>45728</v>
      </c>
      <c r="C270" t="s">
        <v>1021</v>
      </c>
      <c r="D270" t="s">
        <v>340</v>
      </c>
      <c r="E270" t="s">
        <v>75</v>
      </c>
      <c r="F270" t="s">
        <v>323</v>
      </c>
      <c r="G270">
        <v>3</v>
      </c>
      <c r="H270" s="4">
        <v>22</v>
      </c>
      <c r="I270" s="3">
        <v>0</v>
      </c>
      <c r="J270" t="s">
        <v>45</v>
      </c>
      <c r="K270" t="s">
        <v>46</v>
      </c>
      <c r="L270" t="s">
        <v>1022</v>
      </c>
      <c r="M270" t="s">
        <v>65</v>
      </c>
      <c r="N270" t="s">
        <v>255</v>
      </c>
      <c r="O270" t="s">
        <v>342</v>
      </c>
      <c r="P270" t="s">
        <v>103</v>
      </c>
      <c r="Q270" t="s">
        <v>143</v>
      </c>
      <c r="R270" t="s">
        <v>83</v>
      </c>
      <c r="S270" t="s">
        <v>69</v>
      </c>
      <c r="T270" t="s">
        <v>325</v>
      </c>
      <c r="U270" s="5">
        <v>36</v>
      </c>
      <c r="V270" s="5" t="s">
        <v>56</v>
      </c>
      <c r="W270" s="5">
        <v>34</v>
      </c>
      <c r="X270" s="5">
        <v>5.6</v>
      </c>
      <c r="Y270" s="5">
        <v>7</v>
      </c>
      <c r="Z270" s="5" t="s">
        <v>94</v>
      </c>
      <c r="AA270" s="6">
        <v>14.96</v>
      </c>
      <c r="AB270" s="8">
        <f t="shared" si="52"/>
        <v>66</v>
      </c>
      <c r="AC270" s="8">
        <f t="shared" si="53"/>
        <v>0</v>
      </c>
      <c r="AD270" s="8">
        <f t="shared" si="54"/>
        <v>66</v>
      </c>
      <c r="AE270" s="8">
        <f t="shared" si="55"/>
        <v>44.88</v>
      </c>
      <c r="AF270" s="8">
        <f t="shared" si="56"/>
        <v>21.119999999999997</v>
      </c>
      <c r="AG270" s="9">
        <f t="shared" si="57"/>
        <v>0.31999999999999995</v>
      </c>
      <c r="AH270" s="10">
        <f t="shared" si="58"/>
        <v>2025</v>
      </c>
      <c r="AI270" s="10">
        <f t="shared" si="59"/>
        <v>3</v>
      </c>
      <c r="AJ270" s="10" t="str">
        <f t="shared" si="60"/>
        <v>2025-03</v>
      </c>
      <c r="AK270" s="10" t="str">
        <f t="shared" si="61"/>
        <v>T1</v>
      </c>
      <c r="AL270" s="10" t="str">
        <f t="shared" si="62"/>
        <v>30-39</v>
      </c>
      <c r="AM270" s="10" t="str">
        <f t="shared" si="63"/>
        <v>moyen</v>
      </c>
      <c r="AN270" s="10" t="s">
        <v>2837</v>
      </c>
      <c r="AO270" s="10" t="str">
        <f t="shared" si="64"/>
        <v>Faible</v>
      </c>
    </row>
    <row r="271" spans="1:41">
      <c r="A271" t="s">
        <v>1023</v>
      </c>
      <c r="B271" s="2">
        <v>45720</v>
      </c>
      <c r="C271" t="s">
        <v>1024</v>
      </c>
      <c r="D271" t="s">
        <v>333</v>
      </c>
      <c r="E271" t="s">
        <v>139</v>
      </c>
      <c r="F271" t="s">
        <v>424</v>
      </c>
      <c r="G271">
        <v>3</v>
      </c>
      <c r="H271" s="4">
        <v>65</v>
      </c>
      <c r="I271" s="3">
        <v>0</v>
      </c>
      <c r="J271" t="s">
        <v>63</v>
      </c>
      <c r="K271" t="s">
        <v>46</v>
      </c>
      <c r="L271" t="s">
        <v>1025</v>
      </c>
      <c r="M271" t="s">
        <v>123</v>
      </c>
      <c r="N271" t="s">
        <v>101</v>
      </c>
      <c r="O271" t="s">
        <v>336</v>
      </c>
      <c r="P271" t="s">
        <v>51</v>
      </c>
      <c r="Q271" t="s">
        <v>52</v>
      </c>
      <c r="R271" t="s">
        <v>144</v>
      </c>
      <c r="S271" t="s">
        <v>65</v>
      </c>
      <c r="T271" t="s">
        <v>426</v>
      </c>
      <c r="U271" s="5">
        <v>29</v>
      </c>
      <c r="V271" s="5" t="s">
        <v>85</v>
      </c>
      <c r="W271" s="5">
        <v>43</v>
      </c>
      <c r="X271" s="5">
        <v>8</v>
      </c>
      <c r="Y271" s="5">
        <v>2</v>
      </c>
      <c r="Z271" s="5" t="s">
        <v>117</v>
      </c>
      <c r="AA271" s="6">
        <v>47.45</v>
      </c>
      <c r="AB271" s="8">
        <f t="shared" si="52"/>
        <v>195</v>
      </c>
      <c r="AC271" s="8">
        <f t="shared" si="53"/>
        <v>0</v>
      </c>
      <c r="AD271" s="8">
        <f t="shared" si="54"/>
        <v>195</v>
      </c>
      <c r="AE271" s="8">
        <f t="shared" si="55"/>
        <v>142.35000000000002</v>
      </c>
      <c r="AF271" s="8">
        <f t="shared" si="56"/>
        <v>52.649999999999977</v>
      </c>
      <c r="AG271" s="9">
        <f t="shared" si="57"/>
        <v>0.26999999999999991</v>
      </c>
      <c r="AH271" s="10">
        <f t="shared" si="58"/>
        <v>2025</v>
      </c>
      <c r="AI271" s="10">
        <f t="shared" si="59"/>
        <v>3</v>
      </c>
      <c r="AJ271" s="10" t="str">
        <f t="shared" si="60"/>
        <v>2025-03</v>
      </c>
      <c r="AK271" s="10" t="str">
        <f t="shared" si="61"/>
        <v>T1</v>
      </c>
      <c r="AL271" s="10" t="str">
        <f t="shared" si="62"/>
        <v>22-29</v>
      </c>
      <c r="AM271" s="10" t="str">
        <f t="shared" si="63"/>
        <v>bon</v>
      </c>
      <c r="AN271" s="10" t="s">
        <v>2838</v>
      </c>
      <c r="AO271" s="10" t="str">
        <f t="shared" si="64"/>
        <v>Faible</v>
      </c>
    </row>
    <row r="272" spans="1:41">
      <c r="A272" t="s">
        <v>1026</v>
      </c>
      <c r="B272" s="2">
        <v>45705</v>
      </c>
      <c r="C272" t="s">
        <v>1027</v>
      </c>
      <c r="D272" t="s">
        <v>108</v>
      </c>
      <c r="E272" t="s">
        <v>277</v>
      </c>
      <c r="F272" t="s">
        <v>156</v>
      </c>
      <c r="G272">
        <v>1</v>
      </c>
      <c r="H272" s="4">
        <v>240</v>
      </c>
      <c r="I272" s="3">
        <v>0</v>
      </c>
      <c r="J272" t="s">
        <v>90</v>
      </c>
      <c r="K272" t="s">
        <v>46</v>
      </c>
      <c r="L272" t="s">
        <v>1028</v>
      </c>
      <c r="M272" t="s">
        <v>54</v>
      </c>
      <c r="N272" t="s">
        <v>255</v>
      </c>
      <c r="O272" t="s">
        <v>113</v>
      </c>
      <c r="P272" t="s">
        <v>82</v>
      </c>
      <c r="Q272" t="s">
        <v>114</v>
      </c>
      <c r="R272" t="s">
        <v>279</v>
      </c>
      <c r="S272" t="s">
        <v>54</v>
      </c>
      <c r="T272" t="s">
        <v>159</v>
      </c>
      <c r="U272" s="5">
        <v>31</v>
      </c>
      <c r="V272" s="5" t="s">
        <v>85</v>
      </c>
      <c r="W272" s="5">
        <v>30</v>
      </c>
      <c r="X272" s="5">
        <v>3.9</v>
      </c>
      <c r="Y272" s="5">
        <v>8</v>
      </c>
      <c r="Z272" s="5" t="s">
        <v>117</v>
      </c>
      <c r="AA272" s="6">
        <v>177.6</v>
      </c>
      <c r="AB272" s="8">
        <f t="shared" si="52"/>
        <v>240</v>
      </c>
      <c r="AC272" s="8">
        <f t="shared" si="53"/>
        <v>0</v>
      </c>
      <c r="AD272" s="8">
        <f t="shared" si="54"/>
        <v>240</v>
      </c>
      <c r="AE272" s="8">
        <f t="shared" si="55"/>
        <v>177.6</v>
      </c>
      <c r="AF272" s="8">
        <f t="shared" si="56"/>
        <v>62.400000000000006</v>
      </c>
      <c r="AG272" s="9">
        <f t="shared" si="57"/>
        <v>0.26</v>
      </c>
      <c r="AH272" s="10">
        <f t="shared" si="58"/>
        <v>2025</v>
      </c>
      <c r="AI272" s="10">
        <f t="shared" si="59"/>
        <v>2</v>
      </c>
      <c r="AJ272" s="10" t="str">
        <f t="shared" si="60"/>
        <v>2025-02</v>
      </c>
      <c r="AK272" s="10" t="str">
        <f t="shared" si="61"/>
        <v>T1</v>
      </c>
      <c r="AL272" s="10" t="str">
        <f t="shared" si="62"/>
        <v>30-39</v>
      </c>
      <c r="AM272" s="10" t="str">
        <f t="shared" si="63"/>
        <v>faible</v>
      </c>
      <c r="AN272" s="10" t="s">
        <v>2837</v>
      </c>
      <c r="AO272" s="10" t="str">
        <f t="shared" si="64"/>
        <v>Faible</v>
      </c>
    </row>
    <row r="273" spans="1:41">
      <c r="A273" t="s">
        <v>1029</v>
      </c>
      <c r="B273" s="2">
        <v>45911</v>
      </c>
      <c r="C273" t="s">
        <v>1030</v>
      </c>
      <c r="D273" t="s">
        <v>181</v>
      </c>
      <c r="E273" t="s">
        <v>214</v>
      </c>
      <c r="F273" t="s">
        <v>282</v>
      </c>
      <c r="G273">
        <v>1</v>
      </c>
      <c r="H273" s="4">
        <v>145</v>
      </c>
      <c r="I273" s="3">
        <v>0</v>
      </c>
      <c r="J273" t="s">
        <v>45</v>
      </c>
      <c r="K273" t="s">
        <v>46</v>
      </c>
      <c r="L273" t="s">
        <v>1031</v>
      </c>
      <c r="M273" t="s">
        <v>69</v>
      </c>
      <c r="N273" t="s">
        <v>80</v>
      </c>
      <c r="O273" t="s">
        <v>184</v>
      </c>
      <c r="P273" t="s">
        <v>103</v>
      </c>
      <c r="Q273" t="s">
        <v>52</v>
      </c>
      <c r="R273" t="s">
        <v>216</v>
      </c>
      <c r="S273" t="s">
        <v>65</v>
      </c>
      <c r="T273" t="s">
        <v>284</v>
      </c>
      <c r="U273" s="5">
        <v>56</v>
      </c>
      <c r="V273" s="5" t="s">
        <v>56</v>
      </c>
      <c r="W273" s="5">
        <v>9</v>
      </c>
      <c r="X273" s="5">
        <v>6</v>
      </c>
      <c r="Y273" s="5">
        <v>4</v>
      </c>
      <c r="Z273" s="5" t="s">
        <v>117</v>
      </c>
      <c r="AA273" s="6">
        <v>97.15</v>
      </c>
      <c r="AB273" s="8">
        <f t="shared" si="52"/>
        <v>145</v>
      </c>
      <c r="AC273" s="8">
        <f t="shared" si="53"/>
        <v>0</v>
      </c>
      <c r="AD273" s="8">
        <f t="shared" si="54"/>
        <v>145</v>
      </c>
      <c r="AE273" s="8">
        <f t="shared" si="55"/>
        <v>97.15</v>
      </c>
      <c r="AF273" s="8">
        <f t="shared" si="56"/>
        <v>47.849999999999994</v>
      </c>
      <c r="AG273" s="9">
        <f t="shared" si="57"/>
        <v>0.32999999999999996</v>
      </c>
      <c r="AH273" s="10">
        <f t="shared" si="58"/>
        <v>2025</v>
      </c>
      <c r="AI273" s="10">
        <f t="shared" si="59"/>
        <v>9</v>
      </c>
      <c r="AJ273" s="10" t="str">
        <f t="shared" si="60"/>
        <v>2025-09</v>
      </c>
      <c r="AK273" s="10" t="str">
        <f t="shared" si="61"/>
        <v>T3</v>
      </c>
      <c r="AL273" s="10" t="str">
        <f t="shared" si="62"/>
        <v>50+</v>
      </c>
      <c r="AM273" s="10" t="str">
        <f t="shared" si="63"/>
        <v>moyen</v>
      </c>
      <c r="AN273" s="10" t="s">
        <v>2839</v>
      </c>
      <c r="AO273" s="10" t="str">
        <f t="shared" si="64"/>
        <v>Faible</v>
      </c>
    </row>
    <row r="274" spans="1:41">
      <c r="A274" t="s">
        <v>1032</v>
      </c>
      <c r="B274" s="2">
        <v>45832</v>
      </c>
      <c r="C274" t="s">
        <v>1033</v>
      </c>
      <c r="D274" t="s">
        <v>181</v>
      </c>
      <c r="E274" t="s">
        <v>277</v>
      </c>
      <c r="F274" t="s">
        <v>444</v>
      </c>
      <c r="G274">
        <v>1</v>
      </c>
      <c r="H274" s="4">
        <v>145</v>
      </c>
      <c r="I274" s="3">
        <v>0.05</v>
      </c>
      <c r="J274" t="s">
        <v>77</v>
      </c>
      <c r="K274" t="s">
        <v>46</v>
      </c>
      <c r="L274" t="s">
        <v>1034</v>
      </c>
      <c r="M274" t="s">
        <v>79</v>
      </c>
      <c r="N274" t="s">
        <v>101</v>
      </c>
      <c r="O274" t="s">
        <v>184</v>
      </c>
      <c r="P274" t="s">
        <v>103</v>
      </c>
      <c r="Q274" t="s">
        <v>52</v>
      </c>
      <c r="R274" t="s">
        <v>279</v>
      </c>
      <c r="S274" t="s">
        <v>54</v>
      </c>
      <c r="T274" t="s">
        <v>446</v>
      </c>
      <c r="U274" s="5">
        <v>42</v>
      </c>
      <c r="V274" s="5" t="s">
        <v>56</v>
      </c>
      <c r="W274" s="5">
        <v>7</v>
      </c>
      <c r="X274" s="5">
        <v>8.1</v>
      </c>
      <c r="Y274" s="5">
        <v>3</v>
      </c>
      <c r="Z274" s="5" t="s">
        <v>117</v>
      </c>
      <c r="AA274" s="6">
        <v>97.15</v>
      </c>
      <c r="AB274" s="8">
        <f t="shared" si="52"/>
        <v>145</v>
      </c>
      <c r="AC274" s="8">
        <f t="shared" si="53"/>
        <v>7.25</v>
      </c>
      <c r="AD274" s="8">
        <f t="shared" si="54"/>
        <v>137.75</v>
      </c>
      <c r="AE274" s="8">
        <f t="shared" si="55"/>
        <v>97.15</v>
      </c>
      <c r="AF274" s="8">
        <f t="shared" si="56"/>
        <v>40.599999999999994</v>
      </c>
      <c r="AG274" s="9">
        <f t="shared" si="57"/>
        <v>0.29473684210526313</v>
      </c>
      <c r="AH274" s="10">
        <f t="shared" si="58"/>
        <v>2025</v>
      </c>
      <c r="AI274" s="10">
        <f t="shared" si="59"/>
        <v>6</v>
      </c>
      <c r="AJ274" s="10" t="str">
        <f t="shared" si="60"/>
        <v>2025-06</v>
      </c>
      <c r="AK274" s="10" t="str">
        <f t="shared" si="61"/>
        <v>T2</v>
      </c>
      <c r="AL274" s="10" t="str">
        <f t="shared" si="62"/>
        <v>40-49</v>
      </c>
      <c r="AM274" s="10" t="str">
        <f t="shared" si="63"/>
        <v>bon</v>
      </c>
      <c r="AN274" s="10" t="s">
        <v>2838</v>
      </c>
      <c r="AO274" s="10" t="str">
        <f t="shared" si="64"/>
        <v>Faible</v>
      </c>
    </row>
    <row r="275" spans="1:41">
      <c r="A275" t="s">
        <v>1035</v>
      </c>
      <c r="B275" s="2">
        <v>45862</v>
      </c>
      <c r="C275" t="s">
        <v>993</v>
      </c>
      <c r="D275" t="s">
        <v>155</v>
      </c>
      <c r="E275" t="s">
        <v>207</v>
      </c>
      <c r="F275" t="s">
        <v>202</v>
      </c>
      <c r="G275">
        <v>1</v>
      </c>
      <c r="H275" s="4">
        <v>48</v>
      </c>
      <c r="I275" s="3">
        <v>0</v>
      </c>
      <c r="J275" t="s">
        <v>63</v>
      </c>
      <c r="K275" t="s">
        <v>46</v>
      </c>
      <c r="L275" t="s">
        <v>994</v>
      </c>
      <c r="M275" t="s">
        <v>123</v>
      </c>
      <c r="N275" t="s">
        <v>80</v>
      </c>
      <c r="O275" t="s">
        <v>158</v>
      </c>
      <c r="P275" t="s">
        <v>51</v>
      </c>
      <c r="Q275" t="s">
        <v>143</v>
      </c>
      <c r="R275" t="s">
        <v>210</v>
      </c>
      <c r="S275" t="s">
        <v>79</v>
      </c>
      <c r="T275" t="s">
        <v>204</v>
      </c>
      <c r="U275" s="5">
        <v>46</v>
      </c>
      <c r="V275" s="5" t="s">
        <v>56</v>
      </c>
      <c r="W275" s="5">
        <v>22</v>
      </c>
      <c r="X275" s="5">
        <v>5.2</v>
      </c>
      <c r="Y275" s="5">
        <v>7</v>
      </c>
      <c r="Z275" s="5" t="s">
        <v>94</v>
      </c>
      <c r="AA275" s="6">
        <v>37.44</v>
      </c>
      <c r="AB275" s="8">
        <f t="shared" si="52"/>
        <v>48</v>
      </c>
      <c r="AC275" s="8">
        <f t="shared" si="53"/>
        <v>0</v>
      </c>
      <c r="AD275" s="8">
        <f t="shared" si="54"/>
        <v>48</v>
      </c>
      <c r="AE275" s="8">
        <f t="shared" si="55"/>
        <v>37.44</v>
      </c>
      <c r="AF275" s="8">
        <f t="shared" si="56"/>
        <v>10.560000000000002</v>
      </c>
      <c r="AG275" s="9">
        <f t="shared" si="57"/>
        <v>0.22000000000000006</v>
      </c>
      <c r="AH275" s="10">
        <f t="shared" si="58"/>
        <v>2025</v>
      </c>
      <c r="AI275" s="10">
        <f t="shared" si="59"/>
        <v>7</v>
      </c>
      <c r="AJ275" s="10" t="str">
        <f t="shared" si="60"/>
        <v>2025-07</v>
      </c>
      <c r="AK275" s="10" t="str">
        <f t="shared" si="61"/>
        <v>T3</v>
      </c>
      <c r="AL275" s="10" t="str">
        <f t="shared" si="62"/>
        <v>40-49</v>
      </c>
      <c r="AM275" s="10" t="str">
        <f t="shared" si="63"/>
        <v>moyen</v>
      </c>
      <c r="AN275" s="10" t="s">
        <v>2837</v>
      </c>
      <c r="AO275" s="10" t="str">
        <f t="shared" si="64"/>
        <v>Faible</v>
      </c>
    </row>
    <row r="276" spans="1:41">
      <c r="A276" t="s">
        <v>1036</v>
      </c>
      <c r="B276" s="2">
        <v>45712</v>
      </c>
      <c r="C276" t="s">
        <v>1037</v>
      </c>
      <c r="D276" t="s">
        <v>97</v>
      </c>
      <c r="E276" t="s">
        <v>98</v>
      </c>
      <c r="F276" t="s">
        <v>233</v>
      </c>
      <c r="G276">
        <v>4</v>
      </c>
      <c r="H276" s="4">
        <v>520</v>
      </c>
      <c r="I276" s="3">
        <v>0</v>
      </c>
      <c r="J276" t="s">
        <v>90</v>
      </c>
      <c r="K276" t="s">
        <v>46</v>
      </c>
      <c r="L276" t="s">
        <v>1038</v>
      </c>
      <c r="M276" t="s">
        <v>65</v>
      </c>
      <c r="N276" t="s">
        <v>49</v>
      </c>
      <c r="O276" t="s">
        <v>102</v>
      </c>
      <c r="P276" t="s">
        <v>103</v>
      </c>
      <c r="Q276" t="s">
        <v>52</v>
      </c>
      <c r="R276" t="s">
        <v>104</v>
      </c>
      <c r="S276" t="s">
        <v>79</v>
      </c>
      <c r="T276" t="s">
        <v>235</v>
      </c>
      <c r="U276" s="5">
        <v>54</v>
      </c>
      <c r="V276" s="5" t="s">
        <v>56</v>
      </c>
      <c r="W276" s="5">
        <v>12</v>
      </c>
      <c r="X276" s="5">
        <v>7.5</v>
      </c>
      <c r="Y276" s="5">
        <v>3</v>
      </c>
      <c r="Z276" s="5" t="s">
        <v>57</v>
      </c>
      <c r="AA276" s="6">
        <v>348.4</v>
      </c>
      <c r="AB276" s="8">
        <f t="shared" si="52"/>
        <v>2080</v>
      </c>
      <c r="AC276" s="8">
        <f t="shared" si="53"/>
        <v>0</v>
      </c>
      <c r="AD276" s="8">
        <f t="shared" si="54"/>
        <v>2080</v>
      </c>
      <c r="AE276" s="8">
        <f t="shared" si="55"/>
        <v>1393.6</v>
      </c>
      <c r="AF276" s="8">
        <f t="shared" si="56"/>
        <v>686.40000000000009</v>
      </c>
      <c r="AG276" s="9">
        <f t="shared" si="57"/>
        <v>0.33000000000000007</v>
      </c>
      <c r="AH276" s="10">
        <f t="shared" si="58"/>
        <v>2025</v>
      </c>
      <c r="AI276" s="10">
        <f t="shared" si="59"/>
        <v>2</v>
      </c>
      <c r="AJ276" s="10" t="str">
        <f t="shared" si="60"/>
        <v>2025-02</v>
      </c>
      <c r="AK276" s="10" t="str">
        <f t="shared" si="61"/>
        <v>T1</v>
      </c>
      <c r="AL276" s="10" t="str">
        <f t="shared" si="62"/>
        <v>50+</v>
      </c>
      <c r="AM276" s="10" t="str">
        <f t="shared" si="63"/>
        <v>bon</v>
      </c>
      <c r="AN276" s="10" t="s">
        <v>2838</v>
      </c>
      <c r="AO276" s="10" t="str">
        <f t="shared" si="64"/>
        <v>Elevée</v>
      </c>
    </row>
    <row r="277" spans="1:41">
      <c r="A277" t="s">
        <v>1039</v>
      </c>
      <c r="B277" s="2">
        <v>45996</v>
      </c>
      <c r="C277" t="s">
        <v>1040</v>
      </c>
      <c r="D277" t="s">
        <v>340</v>
      </c>
      <c r="E277" t="s">
        <v>120</v>
      </c>
      <c r="F277" t="s">
        <v>676</v>
      </c>
      <c r="G277">
        <v>3</v>
      </c>
      <c r="H277" s="4">
        <v>22</v>
      </c>
      <c r="I277" s="3">
        <v>0</v>
      </c>
      <c r="J277" t="s">
        <v>77</v>
      </c>
      <c r="K277" t="s">
        <v>46</v>
      </c>
      <c r="L277" t="s">
        <v>1041</v>
      </c>
      <c r="M277" t="s">
        <v>65</v>
      </c>
      <c r="N277" t="s">
        <v>49</v>
      </c>
      <c r="O277" t="s">
        <v>342</v>
      </c>
      <c r="P277" t="s">
        <v>103</v>
      </c>
      <c r="Q277" t="s">
        <v>143</v>
      </c>
      <c r="R277" t="s">
        <v>124</v>
      </c>
      <c r="S277" t="s">
        <v>48</v>
      </c>
      <c r="T277" t="s">
        <v>678</v>
      </c>
      <c r="U277" s="5">
        <v>38</v>
      </c>
      <c r="V277" s="5" t="s">
        <v>85</v>
      </c>
      <c r="W277" s="5">
        <v>15</v>
      </c>
      <c r="X277" s="5">
        <v>4.0999999999999996</v>
      </c>
      <c r="Y277" s="5">
        <v>8</v>
      </c>
      <c r="Z277" s="5" t="s">
        <v>57</v>
      </c>
      <c r="AA277" s="6">
        <v>14.96</v>
      </c>
      <c r="AB277" s="8">
        <f t="shared" si="52"/>
        <v>66</v>
      </c>
      <c r="AC277" s="8">
        <f t="shared" si="53"/>
        <v>0</v>
      </c>
      <c r="AD277" s="8">
        <f t="shared" si="54"/>
        <v>66</v>
      </c>
      <c r="AE277" s="8">
        <f t="shared" si="55"/>
        <v>44.88</v>
      </c>
      <c r="AF277" s="8">
        <f t="shared" si="56"/>
        <v>21.119999999999997</v>
      </c>
      <c r="AG277" s="9">
        <f t="shared" si="57"/>
        <v>0.31999999999999995</v>
      </c>
      <c r="AH277" s="10">
        <f t="shared" si="58"/>
        <v>2025</v>
      </c>
      <c r="AI277" s="10">
        <f t="shared" si="59"/>
        <v>12</v>
      </c>
      <c r="AJ277" s="10" t="str">
        <f t="shared" si="60"/>
        <v>2025-12</v>
      </c>
      <c r="AK277" s="10" t="str">
        <f t="shared" si="61"/>
        <v>T4</v>
      </c>
      <c r="AL277" s="10" t="str">
        <f t="shared" si="62"/>
        <v>30-39</v>
      </c>
      <c r="AM277" s="10" t="str">
        <f t="shared" si="63"/>
        <v>faible</v>
      </c>
      <c r="AN277" s="10" t="s">
        <v>2837</v>
      </c>
      <c r="AO277" s="10" t="str">
        <f t="shared" si="64"/>
        <v>Faible</v>
      </c>
    </row>
    <row r="278" spans="1:41">
      <c r="A278" t="s">
        <v>1042</v>
      </c>
      <c r="B278" s="2">
        <v>45735</v>
      </c>
      <c r="C278" t="s">
        <v>1043</v>
      </c>
      <c r="D278" t="s">
        <v>60</v>
      </c>
      <c r="E278" t="s">
        <v>129</v>
      </c>
      <c r="F278" t="s">
        <v>429</v>
      </c>
      <c r="G278">
        <v>2</v>
      </c>
      <c r="H278" s="4">
        <v>180</v>
      </c>
      <c r="I278" s="3">
        <v>0.02</v>
      </c>
      <c r="J278" t="s">
        <v>77</v>
      </c>
      <c r="K278" t="s">
        <v>46</v>
      </c>
      <c r="L278" t="s">
        <v>1044</v>
      </c>
      <c r="M278" t="s">
        <v>65</v>
      </c>
      <c r="N278" t="s">
        <v>112</v>
      </c>
      <c r="O278" t="s">
        <v>66</v>
      </c>
      <c r="P278" t="s">
        <v>67</v>
      </c>
      <c r="Q278" t="s">
        <v>52</v>
      </c>
      <c r="R278" t="s">
        <v>134</v>
      </c>
      <c r="S278" t="s">
        <v>123</v>
      </c>
      <c r="T278" t="s">
        <v>431</v>
      </c>
      <c r="U278" s="5">
        <v>46</v>
      </c>
      <c r="V278" s="5" t="s">
        <v>56</v>
      </c>
      <c r="W278" s="5">
        <v>35</v>
      </c>
      <c r="X278" s="5">
        <v>4.3</v>
      </c>
      <c r="Y278" s="5">
        <v>9</v>
      </c>
      <c r="Z278" s="5" t="s">
        <v>57</v>
      </c>
      <c r="AA278" s="6">
        <v>129.6</v>
      </c>
      <c r="AB278" s="8">
        <f t="shared" si="52"/>
        <v>360</v>
      </c>
      <c r="AC278" s="8">
        <f t="shared" si="53"/>
        <v>7.2</v>
      </c>
      <c r="AD278" s="8">
        <f t="shared" si="54"/>
        <v>352.8</v>
      </c>
      <c r="AE278" s="8">
        <f t="shared" si="55"/>
        <v>259.2</v>
      </c>
      <c r="AF278" s="8">
        <f t="shared" si="56"/>
        <v>93.600000000000023</v>
      </c>
      <c r="AG278" s="9">
        <f t="shared" si="57"/>
        <v>0.26530612244897966</v>
      </c>
      <c r="AH278" s="10">
        <f t="shared" si="58"/>
        <v>2025</v>
      </c>
      <c r="AI278" s="10">
        <f t="shared" si="59"/>
        <v>3</v>
      </c>
      <c r="AJ278" s="10" t="str">
        <f t="shared" si="60"/>
        <v>2025-03</v>
      </c>
      <c r="AK278" s="10" t="str">
        <f t="shared" si="61"/>
        <v>T1</v>
      </c>
      <c r="AL278" s="10" t="str">
        <f t="shared" si="62"/>
        <v>40-49</v>
      </c>
      <c r="AM278" s="10" t="str">
        <f t="shared" si="63"/>
        <v>faible</v>
      </c>
      <c r="AN278" s="10" t="s">
        <v>2837</v>
      </c>
      <c r="AO278" s="10" t="str">
        <f t="shared" si="64"/>
        <v>Faible</v>
      </c>
    </row>
    <row r="279" spans="1:41">
      <c r="A279" t="s">
        <v>1045</v>
      </c>
      <c r="B279" s="2">
        <v>45990</v>
      </c>
      <c r="C279" t="s">
        <v>1046</v>
      </c>
      <c r="D279" t="s">
        <v>60</v>
      </c>
      <c r="E279" t="s">
        <v>345</v>
      </c>
      <c r="F279" t="s">
        <v>197</v>
      </c>
      <c r="G279">
        <v>2</v>
      </c>
      <c r="H279" s="4">
        <v>180</v>
      </c>
      <c r="I279" s="3">
        <v>0.02</v>
      </c>
      <c r="J279" t="s">
        <v>45</v>
      </c>
      <c r="K279" t="s">
        <v>46</v>
      </c>
      <c r="L279" t="s">
        <v>1047</v>
      </c>
      <c r="M279" t="s">
        <v>79</v>
      </c>
      <c r="N279" t="s">
        <v>80</v>
      </c>
      <c r="O279" t="s">
        <v>66</v>
      </c>
      <c r="P279" t="s">
        <v>67</v>
      </c>
      <c r="Q279" t="s">
        <v>52</v>
      </c>
      <c r="R279" t="s">
        <v>347</v>
      </c>
      <c r="S279" t="s">
        <v>54</v>
      </c>
      <c r="T279" t="s">
        <v>199</v>
      </c>
      <c r="U279" s="5">
        <v>40</v>
      </c>
      <c r="V279" s="5" t="s">
        <v>56</v>
      </c>
      <c r="W279" s="5">
        <v>23</v>
      </c>
      <c r="X279" s="5">
        <v>7.3</v>
      </c>
      <c r="Y279" s="5">
        <v>3</v>
      </c>
      <c r="Z279" s="5" t="s">
        <v>117</v>
      </c>
      <c r="AA279" s="6">
        <v>129.6</v>
      </c>
      <c r="AB279" s="8">
        <f t="shared" si="52"/>
        <v>360</v>
      </c>
      <c r="AC279" s="8">
        <f t="shared" si="53"/>
        <v>7.2</v>
      </c>
      <c r="AD279" s="8">
        <f t="shared" si="54"/>
        <v>352.8</v>
      </c>
      <c r="AE279" s="8">
        <f t="shared" si="55"/>
        <v>259.2</v>
      </c>
      <c r="AF279" s="8">
        <f t="shared" si="56"/>
        <v>93.600000000000023</v>
      </c>
      <c r="AG279" s="9">
        <f t="shared" si="57"/>
        <v>0.26530612244897966</v>
      </c>
      <c r="AH279" s="10">
        <f t="shared" si="58"/>
        <v>2025</v>
      </c>
      <c r="AI279" s="10">
        <f t="shared" si="59"/>
        <v>11</v>
      </c>
      <c r="AJ279" s="10" t="str">
        <f t="shared" si="60"/>
        <v>2025-11</v>
      </c>
      <c r="AK279" s="10" t="str">
        <f t="shared" si="61"/>
        <v>T4</v>
      </c>
      <c r="AL279" s="10" t="str">
        <f t="shared" si="62"/>
        <v>40-49</v>
      </c>
      <c r="AM279" s="10" t="str">
        <f t="shared" si="63"/>
        <v>bon</v>
      </c>
      <c r="AN279" s="10" t="s">
        <v>2838</v>
      </c>
      <c r="AO279" s="10" t="str">
        <f t="shared" si="64"/>
        <v>Faible</v>
      </c>
    </row>
    <row r="280" spans="1:41">
      <c r="A280" t="s">
        <v>1048</v>
      </c>
      <c r="B280" s="2">
        <v>45969</v>
      </c>
      <c r="C280" t="s">
        <v>1003</v>
      </c>
      <c r="D280" t="s">
        <v>128</v>
      </c>
      <c r="E280" t="s">
        <v>109</v>
      </c>
      <c r="F280" t="s">
        <v>297</v>
      </c>
      <c r="G280">
        <v>2</v>
      </c>
      <c r="H280" s="4">
        <v>190</v>
      </c>
      <c r="I280" s="3">
        <v>0.02</v>
      </c>
      <c r="J280" t="s">
        <v>90</v>
      </c>
      <c r="K280" t="s">
        <v>46</v>
      </c>
      <c r="L280" t="s">
        <v>1004</v>
      </c>
      <c r="M280" t="s">
        <v>65</v>
      </c>
      <c r="N280" t="s">
        <v>80</v>
      </c>
      <c r="O280" t="s">
        <v>132</v>
      </c>
      <c r="P280" t="s">
        <v>133</v>
      </c>
      <c r="Q280" t="s">
        <v>52</v>
      </c>
      <c r="R280" t="s">
        <v>115</v>
      </c>
      <c r="S280" t="s">
        <v>65</v>
      </c>
      <c r="T280" t="s">
        <v>299</v>
      </c>
      <c r="U280" s="5">
        <v>55</v>
      </c>
      <c r="V280" s="5" t="s">
        <v>56</v>
      </c>
      <c r="W280" s="5">
        <v>55</v>
      </c>
      <c r="X280" s="5">
        <v>6.6</v>
      </c>
      <c r="Y280" s="5">
        <v>5</v>
      </c>
      <c r="Z280" s="5" t="s">
        <v>57</v>
      </c>
      <c r="AA280" s="6">
        <v>148.19999999999999</v>
      </c>
      <c r="AB280" s="8">
        <f t="shared" si="52"/>
        <v>380</v>
      </c>
      <c r="AC280" s="8">
        <f t="shared" si="53"/>
        <v>7.6000000000000005</v>
      </c>
      <c r="AD280" s="8">
        <f t="shared" si="54"/>
        <v>372.4</v>
      </c>
      <c r="AE280" s="8">
        <f t="shared" si="55"/>
        <v>296.39999999999998</v>
      </c>
      <c r="AF280" s="8">
        <f t="shared" si="56"/>
        <v>76</v>
      </c>
      <c r="AG280" s="9">
        <f t="shared" si="57"/>
        <v>0.20408163265306123</v>
      </c>
      <c r="AH280" s="10">
        <f t="shared" si="58"/>
        <v>2025</v>
      </c>
      <c r="AI280" s="10">
        <f t="shared" si="59"/>
        <v>11</v>
      </c>
      <c r="AJ280" s="10" t="str">
        <f t="shared" si="60"/>
        <v>2025-11</v>
      </c>
      <c r="AK280" s="10" t="str">
        <f t="shared" si="61"/>
        <v>T4</v>
      </c>
      <c r="AL280" s="10" t="str">
        <f t="shared" si="62"/>
        <v>50+</v>
      </c>
      <c r="AM280" s="10" t="str">
        <f t="shared" si="63"/>
        <v>moyen</v>
      </c>
      <c r="AN280" s="10" t="s">
        <v>2839</v>
      </c>
      <c r="AO280" s="10" t="str">
        <f t="shared" si="64"/>
        <v>Faible</v>
      </c>
    </row>
    <row r="281" spans="1:41">
      <c r="A281" t="s">
        <v>1049</v>
      </c>
      <c r="B281" s="2">
        <v>45685</v>
      </c>
      <c r="C281" t="s">
        <v>1050</v>
      </c>
      <c r="D281" t="s">
        <v>97</v>
      </c>
      <c r="E281" t="s">
        <v>163</v>
      </c>
      <c r="F281" t="s">
        <v>388</v>
      </c>
      <c r="G281">
        <v>5</v>
      </c>
      <c r="H281" s="4">
        <v>520</v>
      </c>
      <c r="I281" s="3">
        <v>0.05</v>
      </c>
      <c r="J281" t="s">
        <v>77</v>
      </c>
      <c r="K281" t="s">
        <v>46</v>
      </c>
      <c r="L281" t="s">
        <v>1051</v>
      </c>
      <c r="M281" t="s">
        <v>54</v>
      </c>
      <c r="N281" t="s">
        <v>80</v>
      </c>
      <c r="O281" t="s">
        <v>102</v>
      </c>
      <c r="P281" t="s">
        <v>103</v>
      </c>
      <c r="Q281" t="s">
        <v>52</v>
      </c>
      <c r="R281" t="s">
        <v>167</v>
      </c>
      <c r="S281" t="s">
        <v>123</v>
      </c>
      <c r="T281" t="s">
        <v>390</v>
      </c>
      <c r="U281" s="5">
        <v>43</v>
      </c>
      <c r="V281" s="5" t="s">
        <v>56</v>
      </c>
      <c r="W281" s="5">
        <v>49</v>
      </c>
      <c r="X281" s="5">
        <v>8</v>
      </c>
      <c r="Y281" s="5">
        <v>1</v>
      </c>
      <c r="Z281" s="5" t="s">
        <v>57</v>
      </c>
      <c r="AA281" s="6">
        <v>348.4</v>
      </c>
      <c r="AB281" s="8">
        <f t="shared" si="52"/>
        <v>2600</v>
      </c>
      <c r="AC281" s="8">
        <f t="shared" si="53"/>
        <v>130</v>
      </c>
      <c r="AD281" s="8">
        <f t="shared" si="54"/>
        <v>2470</v>
      </c>
      <c r="AE281" s="8">
        <f t="shared" si="55"/>
        <v>1742</v>
      </c>
      <c r="AF281" s="8">
        <f t="shared" si="56"/>
        <v>728</v>
      </c>
      <c r="AG281" s="9">
        <f t="shared" si="57"/>
        <v>0.29473684210526313</v>
      </c>
      <c r="AH281" s="10">
        <f t="shared" si="58"/>
        <v>2025</v>
      </c>
      <c r="AI281" s="10">
        <f t="shared" si="59"/>
        <v>1</v>
      </c>
      <c r="AJ281" s="10" t="str">
        <f t="shared" si="60"/>
        <v>2025-01</v>
      </c>
      <c r="AK281" s="10" t="str">
        <f t="shared" si="61"/>
        <v>T1</v>
      </c>
      <c r="AL281" s="10" t="str">
        <f t="shared" si="62"/>
        <v>40-49</v>
      </c>
      <c r="AM281" s="10" t="str">
        <f t="shared" si="63"/>
        <v>bon</v>
      </c>
      <c r="AN281" s="10" t="s">
        <v>2838</v>
      </c>
      <c r="AO281" s="10" t="str">
        <f t="shared" si="64"/>
        <v>Elevée</v>
      </c>
    </row>
    <row r="282" spans="1:41">
      <c r="A282" t="s">
        <v>1052</v>
      </c>
      <c r="B282" s="2">
        <v>45975</v>
      </c>
      <c r="C282" t="s">
        <v>1053</v>
      </c>
      <c r="D282" t="s">
        <v>97</v>
      </c>
      <c r="E282" t="s">
        <v>109</v>
      </c>
      <c r="F282" t="s">
        <v>156</v>
      </c>
      <c r="G282">
        <v>3</v>
      </c>
      <c r="H282" s="4">
        <v>520</v>
      </c>
      <c r="I282" s="3">
        <v>0.02</v>
      </c>
      <c r="J282" t="s">
        <v>63</v>
      </c>
      <c r="K282" t="s">
        <v>46</v>
      </c>
      <c r="L282" t="s">
        <v>1054</v>
      </c>
      <c r="M282" t="s">
        <v>123</v>
      </c>
      <c r="N282" t="s">
        <v>49</v>
      </c>
      <c r="O282" t="s">
        <v>102</v>
      </c>
      <c r="P282" t="s">
        <v>103</v>
      </c>
      <c r="Q282" t="s">
        <v>52</v>
      </c>
      <c r="R282" t="s">
        <v>115</v>
      </c>
      <c r="S282" t="s">
        <v>65</v>
      </c>
      <c r="T282" t="s">
        <v>159</v>
      </c>
      <c r="U282" s="5">
        <v>50</v>
      </c>
      <c r="V282" s="5" t="s">
        <v>85</v>
      </c>
      <c r="W282" s="5">
        <v>54</v>
      </c>
      <c r="X282" s="5">
        <v>8.1999999999999993</v>
      </c>
      <c r="Y282" s="5">
        <v>1</v>
      </c>
      <c r="Z282" s="5" t="s">
        <v>57</v>
      </c>
      <c r="AA282" s="6">
        <v>348.4</v>
      </c>
      <c r="AB282" s="8">
        <f t="shared" si="52"/>
        <v>1560</v>
      </c>
      <c r="AC282" s="8">
        <f t="shared" si="53"/>
        <v>31.2</v>
      </c>
      <c r="AD282" s="8">
        <f t="shared" si="54"/>
        <v>1528.8</v>
      </c>
      <c r="AE282" s="8">
        <f t="shared" si="55"/>
        <v>1045.1999999999998</v>
      </c>
      <c r="AF282" s="8">
        <f t="shared" si="56"/>
        <v>483.60000000000014</v>
      </c>
      <c r="AG282" s="9">
        <f t="shared" si="57"/>
        <v>0.31632653061224497</v>
      </c>
      <c r="AH282" s="10">
        <f t="shared" si="58"/>
        <v>2025</v>
      </c>
      <c r="AI282" s="10">
        <f t="shared" si="59"/>
        <v>11</v>
      </c>
      <c r="AJ282" s="10" t="str">
        <f t="shared" si="60"/>
        <v>2025-11</v>
      </c>
      <c r="AK282" s="10" t="str">
        <f t="shared" si="61"/>
        <v>T4</v>
      </c>
      <c r="AL282" s="10" t="str">
        <f t="shared" si="62"/>
        <v>50+</v>
      </c>
      <c r="AM282" s="10" t="str">
        <f t="shared" si="63"/>
        <v>bon</v>
      </c>
      <c r="AN282" s="10" t="s">
        <v>2838</v>
      </c>
      <c r="AO282" s="10" t="str">
        <f t="shared" si="64"/>
        <v>Elevée</v>
      </c>
    </row>
    <row r="283" spans="1:41">
      <c r="A283" t="s">
        <v>1055</v>
      </c>
      <c r="B283" s="2">
        <v>45745</v>
      </c>
      <c r="C283" t="s">
        <v>1056</v>
      </c>
      <c r="D283" t="s">
        <v>340</v>
      </c>
      <c r="E283" t="s">
        <v>277</v>
      </c>
      <c r="F283" t="s">
        <v>429</v>
      </c>
      <c r="G283">
        <v>4</v>
      </c>
      <c r="H283" s="4">
        <v>22</v>
      </c>
      <c r="I283" s="3">
        <v>0</v>
      </c>
      <c r="J283" t="s">
        <v>77</v>
      </c>
      <c r="K283" t="s">
        <v>46</v>
      </c>
      <c r="L283" t="s">
        <v>1057</v>
      </c>
      <c r="M283" t="s">
        <v>48</v>
      </c>
      <c r="N283" t="s">
        <v>49</v>
      </c>
      <c r="O283" t="s">
        <v>342</v>
      </c>
      <c r="P283" t="s">
        <v>103</v>
      </c>
      <c r="Q283" t="s">
        <v>143</v>
      </c>
      <c r="R283" t="s">
        <v>279</v>
      </c>
      <c r="S283" t="s">
        <v>54</v>
      </c>
      <c r="T283" t="s">
        <v>431</v>
      </c>
      <c r="U283" s="5">
        <v>58</v>
      </c>
      <c r="V283" s="5" t="s">
        <v>56</v>
      </c>
      <c r="W283" s="5">
        <v>50</v>
      </c>
      <c r="X283" s="5">
        <v>5.3</v>
      </c>
      <c r="Y283" s="5">
        <v>6</v>
      </c>
      <c r="Z283" s="5" t="s">
        <v>57</v>
      </c>
      <c r="AA283" s="6">
        <v>14.96</v>
      </c>
      <c r="AB283" s="8">
        <f t="shared" si="52"/>
        <v>88</v>
      </c>
      <c r="AC283" s="8">
        <f t="shared" si="53"/>
        <v>0</v>
      </c>
      <c r="AD283" s="8">
        <f t="shared" si="54"/>
        <v>88</v>
      </c>
      <c r="AE283" s="8">
        <f t="shared" si="55"/>
        <v>59.84</v>
      </c>
      <c r="AF283" s="8">
        <f t="shared" si="56"/>
        <v>28.159999999999997</v>
      </c>
      <c r="AG283" s="9">
        <f t="shared" si="57"/>
        <v>0.31999999999999995</v>
      </c>
      <c r="AH283" s="10">
        <f t="shared" si="58"/>
        <v>2025</v>
      </c>
      <c r="AI283" s="10">
        <f t="shared" si="59"/>
        <v>3</v>
      </c>
      <c r="AJ283" s="10" t="str">
        <f t="shared" si="60"/>
        <v>2025-03</v>
      </c>
      <c r="AK283" s="10" t="str">
        <f t="shared" si="61"/>
        <v>T1</v>
      </c>
      <c r="AL283" s="10" t="str">
        <f t="shared" si="62"/>
        <v>50+</v>
      </c>
      <c r="AM283" s="10" t="str">
        <f t="shared" si="63"/>
        <v>moyen</v>
      </c>
      <c r="AN283" s="10" t="s">
        <v>2839</v>
      </c>
      <c r="AO283" s="10" t="str">
        <f t="shared" si="64"/>
        <v>Faible</v>
      </c>
    </row>
    <row r="284" spans="1:41">
      <c r="A284" t="s">
        <v>1058</v>
      </c>
      <c r="B284" s="2">
        <v>45915</v>
      </c>
      <c r="C284" t="s">
        <v>1059</v>
      </c>
      <c r="D284" t="s">
        <v>138</v>
      </c>
      <c r="E284" t="s">
        <v>345</v>
      </c>
      <c r="F284" t="s">
        <v>968</v>
      </c>
      <c r="G284">
        <v>6</v>
      </c>
      <c r="H284" s="4">
        <v>120</v>
      </c>
      <c r="I284" s="3">
        <v>0.05</v>
      </c>
      <c r="J284" t="s">
        <v>63</v>
      </c>
      <c r="K284" t="s">
        <v>46</v>
      </c>
      <c r="L284" t="s">
        <v>1060</v>
      </c>
      <c r="M284" t="s">
        <v>79</v>
      </c>
      <c r="N284" t="s">
        <v>101</v>
      </c>
      <c r="O284" t="s">
        <v>142</v>
      </c>
      <c r="P284" t="s">
        <v>51</v>
      </c>
      <c r="Q284" t="s">
        <v>143</v>
      </c>
      <c r="R284" t="s">
        <v>347</v>
      </c>
      <c r="S284" t="s">
        <v>54</v>
      </c>
      <c r="T284" t="s">
        <v>970</v>
      </c>
      <c r="U284" s="5">
        <v>38</v>
      </c>
      <c r="V284" s="5" t="s">
        <v>85</v>
      </c>
      <c r="W284" s="5">
        <v>25</v>
      </c>
      <c r="X284" s="5">
        <v>7</v>
      </c>
      <c r="Y284" s="5">
        <v>3</v>
      </c>
      <c r="Z284" s="5" t="s">
        <v>71</v>
      </c>
      <c r="AA284" s="6">
        <v>73.2</v>
      </c>
      <c r="AB284" s="8">
        <f t="shared" si="52"/>
        <v>720</v>
      </c>
      <c r="AC284" s="8">
        <f t="shared" si="53"/>
        <v>36</v>
      </c>
      <c r="AD284" s="8">
        <f t="shared" si="54"/>
        <v>684</v>
      </c>
      <c r="AE284" s="8">
        <f t="shared" si="55"/>
        <v>439.20000000000005</v>
      </c>
      <c r="AF284" s="8">
        <f t="shared" si="56"/>
        <v>244.79999999999995</v>
      </c>
      <c r="AG284" s="9">
        <f t="shared" si="57"/>
        <v>0.35789473684210521</v>
      </c>
      <c r="AH284" s="10">
        <f t="shared" si="58"/>
        <v>2025</v>
      </c>
      <c r="AI284" s="10">
        <f t="shared" si="59"/>
        <v>9</v>
      </c>
      <c r="AJ284" s="10" t="str">
        <f t="shared" si="60"/>
        <v>2025-09</v>
      </c>
      <c r="AK284" s="10" t="str">
        <f t="shared" si="61"/>
        <v>T3</v>
      </c>
      <c r="AL284" s="10" t="str">
        <f t="shared" si="62"/>
        <v>30-39</v>
      </c>
      <c r="AM284" s="10" t="str">
        <f t="shared" si="63"/>
        <v>bon</v>
      </c>
      <c r="AN284" s="10" t="s">
        <v>2838</v>
      </c>
      <c r="AO284" s="10" t="str">
        <f t="shared" si="64"/>
        <v>Moyenne</v>
      </c>
    </row>
    <row r="285" spans="1:41">
      <c r="A285" t="s">
        <v>1061</v>
      </c>
      <c r="B285" s="2">
        <v>45693</v>
      </c>
      <c r="C285" t="s">
        <v>1062</v>
      </c>
      <c r="D285" t="s">
        <v>128</v>
      </c>
      <c r="E285" t="s">
        <v>189</v>
      </c>
      <c r="F285" t="s">
        <v>140</v>
      </c>
      <c r="G285">
        <v>1</v>
      </c>
      <c r="H285" s="4">
        <v>190</v>
      </c>
      <c r="I285" s="3">
        <v>0</v>
      </c>
      <c r="J285" t="s">
        <v>63</v>
      </c>
      <c r="K285" t="s">
        <v>46</v>
      </c>
      <c r="L285" t="s">
        <v>1063</v>
      </c>
      <c r="M285" t="s">
        <v>79</v>
      </c>
      <c r="N285" t="s">
        <v>255</v>
      </c>
      <c r="O285" t="s">
        <v>132</v>
      </c>
      <c r="P285" t="s">
        <v>133</v>
      </c>
      <c r="Q285" t="s">
        <v>52</v>
      </c>
      <c r="R285" t="s">
        <v>193</v>
      </c>
      <c r="S285" t="s">
        <v>79</v>
      </c>
      <c r="T285" t="s">
        <v>145</v>
      </c>
      <c r="U285" s="5">
        <v>46</v>
      </c>
      <c r="V285" s="5" t="s">
        <v>56</v>
      </c>
      <c r="W285" s="5">
        <v>45</v>
      </c>
      <c r="X285" s="5">
        <v>6.6</v>
      </c>
      <c r="Y285" s="5">
        <v>3</v>
      </c>
      <c r="Z285" s="5" t="s">
        <v>71</v>
      </c>
      <c r="AA285" s="6">
        <v>148.19999999999999</v>
      </c>
      <c r="AB285" s="8">
        <f t="shared" si="52"/>
        <v>190</v>
      </c>
      <c r="AC285" s="8">
        <f t="shared" si="53"/>
        <v>0</v>
      </c>
      <c r="AD285" s="8">
        <f t="shared" si="54"/>
        <v>190</v>
      </c>
      <c r="AE285" s="8">
        <f t="shared" si="55"/>
        <v>148.19999999999999</v>
      </c>
      <c r="AF285" s="8">
        <f t="shared" si="56"/>
        <v>41.800000000000011</v>
      </c>
      <c r="AG285" s="9">
        <f t="shared" si="57"/>
        <v>0.22000000000000006</v>
      </c>
      <c r="AH285" s="10">
        <f t="shared" si="58"/>
        <v>2025</v>
      </c>
      <c r="AI285" s="10">
        <f t="shared" si="59"/>
        <v>2</v>
      </c>
      <c r="AJ285" s="10" t="str">
        <f t="shared" si="60"/>
        <v>2025-02</v>
      </c>
      <c r="AK285" s="10" t="str">
        <f t="shared" si="61"/>
        <v>T1</v>
      </c>
      <c r="AL285" s="10" t="str">
        <f t="shared" si="62"/>
        <v>40-49</v>
      </c>
      <c r="AM285" s="10" t="str">
        <f t="shared" si="63"/>
        <v>moyen</v>
      </c>
      <c r="AN285" s="10" t="s">
        <v>2838</v>
      </c>
      <c r="AO285" s="10" t="str">
        <f t="shared" si="64"/>
        <v>Faible</v>
      </c>
    </row>
    <row r="286" spans="1:41">
      <c r="A286" t="s">
        <v>1064</v>
      </c>
      <c r="B286" s="2">
        <v>45668</v>
      </c>
      <c r="C286" t="s">
        <v>1065</v>
      </c>
      <c r="D286" t="s">
        <v>272</v>
      </c>
      <c r="E286" t="s">
        <v>129</v>
      </c>
      <c r="F286" t="s">
        <v>238</v>
      </c>
      <c r="G286">
        <v>1</v>
      </c>
      <c r="H286" s="4">
        <v>420</v>
      </c>
      <c r="I286" s="3">
        <v>0</v>
      </c>
      <c r="J286" t="s">
        <v>90</v>
      </c>
      <c r="K286" t="s">
        <v>46</v>
      </c>
      <c r="L286" t="s">
        <v>1066</v>
      </c>
      <c r="M286" t="s">
        <v>54</v>
      </c>
      <c r="N286" t="s">
        <v>255</v>
      </c>
      <c r="O286" t="s">
        <v>274</v>
      </c>
      <c r="P286" t="s">
        <v>133</v>
      </c>
      <c r="Q286" t="s">
        <v>114</v>
      </c>
      <c r="R286" t="s">
        <v>134</v>
      </c>
      <c r="S286" t="s">
        <v>123</v>
      </c>
      <c r="T286" t="s">
        <v>240</v>
      </c>
      <c r="U286" s="5">
        <v>38</v>
      </c>
      <c r="V286" s="5" t="s">
        <v>85</v>
      </c>
      <c r="W286" s="5">
        <v>6</v>
      </c>
      <c r="X286" s="5">
        <v>2.9</v>
      </c>
      <c r="Y286" s="5">
        <v>9</v>
      </c>
      <c r="Z286" s="5" t="s">
        <v>117</v>
      </c>
      <c r="AA286" s="6">
        <v>273</v>
      </c>
      <c r="AB286" s="8">
        <f t="shared" si="52"/>
        <v>420</v>
      </c>
      <c r="AC286" s="8">
        <f t="shared" si="53"/>
        <v>0</v>
      </c>
      <c r="AD286" s="8">
        <f t="shared" si="54"/>
        <v>420</v>
      </c>
      <c r="AE286" s="8">
        <f t="shared" si="55"/>
        <v>273</v>
      </c>
      <c r="AF286" s="8">
        <f t="shared" si="56"/>
        <v>147</v>
      </c>
      <c r="AG286" s="9">
        <f t="shared" si="57"/>
        <v>0.35</v>
      </c>
      <c r="AH286" s="10">
        <f t="shared" si="58"/>
        <v>2025</v>
      </c>
      <c r="AI286" s="10">
        <f t="shared" si="59"/>
        <v>1</v>
      </c>
      <c r="AJ286" s="10" t="str">
        <f t="shared" si="60"/>
        <v>2025-01</v>
      </c>
      <c r="AK286" s="10" t="str">
        <f t="shared" si="61"/>
        <v>T1</v>
      </c>
      <c r="AL286" s="10" t="str">
        <f t="shared" si="62"/>
        <v>30-39</v>
      </c>
      <c r="AM286" s="10" t="str">
        <f t="shared" si="63"/>
        <v>faible</v>
      </c>
      <c r="AN286" s="10" t="s">
        <v>2837</v>
      </c>
      <c r="AO286" s="10" t="str">
        <f t="shared" si="64"/>
        <v>Faible</v>
      </c>
    </row>
    <row r="287" spans="1:41">
      <c r="A287" t="s">
        <v>1067</v>
      </c>
      <c r="B287" s="2">
        <v>45658</v>
      </c>
      <c r="C287" t="s">
        <v>127</v>
      </c>
      <c r="D287" t="s">
        <v>60</v>
      </c>
      <c r="E287" t="s">
        <v>277</v>
      </c>
      <c r="F287" t="s">
        <v>89</v>
      </c>
      <c r="G287">
        <v>2</v>
      </c>
      <c r="H287" s="4">
        <v>180</v>
      </c>
      <c r="I287" s="3">
        <v>0</v>
      </c>
      <c r="J287" t="s">
        <v>63</v>
      </c>
      <c r="K287" t="s">
        <v>46</v>
      </c>
      <c r="L287" t="s">
        <v>131</v>
      </c>
      <c r="M287" t="s">
        <v>65</v>
      </c>
      <c r="N287" t="s">
        <v>101</v>
      </c>
      <c r="O287" t="s">
        <v>66</v>
      </c>
      <c r="P287" t="s">
        <v>67</v>
      </c>
      <c r="Q287" t="s">
        <v>52</v>
      </c>
      <c r="R287" t="s">
        <v>279</v>
      </c>
      <c r="S287" t="s">
        <v>54</v>
      </c>
      <c r="T287" t="s">
        <v>93</v>
      </c>
      <c r="U287" s="5">
        <v>56</v>
      </c>
      <c r="V287" s="5" t="s">
        <v>85</v>
      </c>
      <c r="W287" s="5">
        <v>28</v>
      </c>
      <c r="X287" s="5">
        <v>3.9</v>
      </c>
      <c r="Y287" s="5">
        <v>8</v>
      </c>
      <c r="Z287" s="5" t="s">
        <v>71</v>
      </c>
      <c r="AA287" s="6">
        <v>129.6</v>
      </c>
      <c r="AB287" s="8">
        <f t="shared" si="52"/>
        <v>360</v>
      </c>
      <c r="AC287" s="8">
        <f t="shared" si="53"/>
        <v>0</v>
      </c>
      <c r="AD287" s="8">
        <f t="shared" si="54"/>
        <v>360</v>
      </c>
      <c r="AE287" s="8">
        <f t="shared" si="55"/>
        <v>259.2</v>
      </c>
      <c r="AF287" s="8">
        <f t="shared" si="56"/>
        <v>100.80000000000001</v>
      </c>
      <c r="AG287" s="9">
        <f t="shared" si="57"/>
        <v>0.28000000000000003</v>
      </c>
      <c r="AH287" s="10">
        <f t="shared" si="58"/>
        <v>2025</v>
      </c>
      <c r="AI287" s="10">
        <f t="shared" si="59"/>
        <v>1</v>
      </c>
      <c r="AJ287" s="10" t="str">
        <f t="shared" si="60"/>
        <v>2025-01</v>
      </c>
      <c r="AK287" s="10" t="str">
        <f t="shared" si="61"/>
        <v>T1</v>
      </c>
      <c r="AL287" s="10" t="str">
        <f t="shared" si="62"/>
        <v>50+</v>
      </c>
      <c r="AM287" s="10" t="str">
        <f t="shared" si="63"/>
        <v>faible</v>
      </c>
      <c r="AN287" s="10" t="s">
        <v>2837</v>
      </c>
      <c r="AO287" s="10" t="str">
        <f t="shared" si="64"/>
        <v>Faible</v>
      </c>
    </row>
    <row r="288" spans="1:41">
      <c r="A288" t="s">
        <v>1068</v>
      </c>
      <c r="B288" s="2">
        <v>45915</v>
      </c>
      <c r="C288" t="s">
        <v>1069</v>
      </c>
      <c r="D288" t="s">
        <v>74</v>
      </c>
      <c r="E288" t="s">
        <v>163</v>
      </c>
      <c r="F288" t="s">
        <v>297</v>
      </c>
      <c r="G288">
        <v>1</v>
      </c>
      <c r="H288" s="4">
        <v>95</v>
      </c>
      <c r="I288" s="3">
        <v>0</v>
      </c>
      <c r="J288" t="s">
        <v>90</v>
      </c>
      <c r="K288" t="s">
        <v>46</v>
      </c>
      <c r="L288" t="s">
        <v>1070</v>
      </c>
      <c r="M288" t="s">
        <v>54</v>
      </c>
      <c r="N288" t="s">
        <v>80</v>
      </c>
      <c r="O288" t="s">
        <v>81</v>
      </c>
      <c r="P288" t="s">
        <v>82</v>
      </c>
      <c r="Q288" t="s">
        <v>52</v>
      </c>
      <c r="R288" t="s">
        <v>167</v>
      </c>
      <c r="S288" t="s">
        <v>123</v>
      </c>
      <c r="T288" t="s">
        <v>299</v>
      </c>
      <c r="U288" s="5">
        <v>48</v>
      </c>
      <c r="V288" s="5" t="s">
        <v>85</v>
      </c>
      <c r="W288" s="5">
        <v>29</v>
      </c>
      <c r="X288" s="5">
        <v>8.1999999999999993</v>
      </c>
      <c r="Y288" s="5">
        <v>1</v>
      </c>
      <c r="Z288" s="5" t="s">
        <v>57</v>
      </c>
      <c r="AA288" s="6">
        <v>70.3</v>
      </c>
      <c r="AB288" s="8">
        <f t="shared" si="52"/>
        <v>95</v>
      </c>
      <c r="AC288" s="8">
        <f t="shared" si="53"/>
        <v>0</v>
      </c>
      <c r="AD288" s="8">
        <f t="shared" si="54"/>
        <v>95</v>
      </c>
      <c r="AE288" s="8">
        <f t="shared" si="55"/>
        <v>70.3</v>
      </c>
      <c r="AF288" s="8">
        <f t="shared" si="56"/>
        <v>24.700000000000003</v>
      </c>
      <c r="AG288" s="9">
        <f t="shared" si="57"/>
        <v>0.26</v>
      </c>
      <c r="AH288" s="10">
        <f t="shared" si="58"/>
        <v>2025</v>
      </c>
      <c r="AI288" s="10">
        <f t="shared" si="59"/>
        <v>9</v>
      </c>
      <c r="AJ288" s="10" t="str">
        <f t="shared" si="60"/>
        <v>2025-09</v>
      </c>
      <c r="AK288" s="10" t="str">
        <f t="shared" si="61"/>
        <v>T3</v>
      </c>
      <c r="AL288" s="10" t="str">
        <f t="shared" si="62"/>
        <v>40-49</v>
      </c>
      <c r="AM288" s="10" t="str">
        <f t="shared" si="63"/>
        <v>bon</v>
      </c>
      <c r="AN288" s="10" t="s">
        <v>2838</v>
      </c>
      <c r="AO288" s="10" t="str">
        <f t="shared" si="64"/>
        <v>Faible</v>
      </c>
    </row>
    <row r="289" spans="1:41">
      <c r="A289" t="s">
        <v>1071</v>
      </c>
      <c r="B289" s="2">
        <v>45837</v>
      </c>
      <c r="C289" t="s">
        <v>1072</v>
      </c>
      <c r="D289" t="s">
        <v>155</v>
      </c>
      <c r="E289" t="s">
        <v>277</v>
      </c>
      <c r="F289" t="s">
        <v>175</v>
      </c>
      <c r="G289">
        <v>20</v>
      </c>
      <c r="H289" s="4">
        <v>48</v>
      </c>
      <c r="I289" s="3">
        <v>0</v>
      </c>
      <c r="J289" t="s">
        <v>63</v>
      </c>
      <c r="K289" t="s">
        <v>46</v>
      </c>
      <c r="L289" t="s">
        <v>1073</v>
      </c>
      <c r="M289" t="s">
        <v>79</v>
      </c>
      <c r="N289" t="s">
        <v>112</v>
      </c>
      <c r="O289" t="s">
        <v>158</v>
      </c>
      <c r="P289" t="s">
        <v>51</v>
      </c>
      <c r="Q289" t="s">
        <v>143</v>
      </c>
      <c r="R289" t="s">
        <v>279</v>
      </c>
      <c r="S289" t="s">
        <v>54</v>
      </c>
      <c r="T289" t="s">
        <v>178</v>
      </c>
      <c r="U289" s="5">
        <v>32</v>
      </c>
      <c r="V289" s="5" t="s">
        <v>56</v>
      </c>
      <c r="W289" s="5">
        <v>71</v>
      </c>
      <c r="X289" s="5">
        <v>4.8</v>
      </c>
      <c r="Y289" s="5">
        <v>6</v>
      </c>
      <c r="Z289" s="5" t="s">
        <v>57</v>
      </c>
      <c r="AA289" s="6">
        <v>37.44</v>
      </c>
      <c r="AB289" s="8">
        <f t="shared" si="52"/>
        <v>960</v>
      </c>
      <c r="AC289" s="8">
        <f t="shared" si="53"/>
        <v>0</v>
      </c>
      <c r="AD289" s="8">
        <f t="shared" si="54"/>
        <v>960</v>
      </c>
      <c r="AE289" s="8">
        <f t="shared" si="55"/>
        <v>748.8</v>
      </c>
      <c r="AF289" s="8">
        <f t="shared" si="56"/>
        <v>211.20000000000005</v>
      </c>
      <c r="AG289" s="9">
        <f t="shared" si="57"/>
        <v>0.22000000000000006</v>
      </c>
      <c r="AH289" s="10">
        <f t="shared" si="58"/>
        <v>2025</v>
      </c>
      <c r="AI289" s="10">
        <f t="shared" si="59"/>
        <v>6</v>
      </c>
      <c r="AJ289" s="10" t="str">
        <f t="shared" si="60"/>
        <v>2025-06</v>
      </c>
      <c r="AK289" s="10" t="str">
        <f t="shared" si="61"/>
        <v>T2</v>
      </c>
      <c r="AL289" s="10" t="str">
        <f t="shared" si="62"/>
        <v>30-39</v>
      </c>
      <c r="AM289" s="10" t="str">
        <f t="shared" si="63"/>
        <v>faible</v>
      </c>
      <c r="AN289" s="10" t="s">
        <v>2839</v>
      </c>
      <c r="AO289" s="10" t="str">
        <f t="shared" si="64"/>
        <v>Moyenne</v>
      </c>
    </row>
    <row r="290" spans="1:41">
      <c r="A290" t="s">
        <v>1074</v>
      </c>
      <c r="B290" s="2">
        <v>46021</v>
      </c>
      <c r="C290" t="s">
        <v>1075</v>
      </c>
      <c r="D290" t="s">
        <v>138</v>
      </c>
      <c r="E290" t="s">
        <v>315</v>
      </c>
      <c r="F290" t="s">
        <v>220</v>
      </c>
      <c r="G290">
        <v>2</v>
      </c>
      <c r="H290" s="4">
        <v>120</v>
      </c>
      <c r="I290" s="3">
        <v>0.05</v>
      </c>
      <c r="J290" t="s">
        <v>63</v>
      </c>
      <c r="K290" t="s">
        <v>46</v>
      </c>
      <c r="L290" t="s">
        <v>1076</v>
      </c>
      <c r="M290" t="s">
        <v>123</v>
      </c>
      <c r="N290" t="s">
        <v>255</v>
      </c>
      <c r="O290" t="s">
        <v>142</v>
      </c>
      <c r="P290" t="s">
        <v>51</v>
      </c>
      <c r="Q290" t="s">
        <v>143</v>
      </c>
      <c r="R290" t="s">
        <v>317</v>
      </c>
      <c r="S290" t="s">
        <v>69</v>
      </c>
      <c r="T290" t="s">
        <v>223</v>
      </c>
      <c r="U290" s="5">
        <v>59</v>
      </c>
      <c r="V290" s="5" t="s">
        <v>56</v>
      </c>
      <c r="W290" s="5">
        <v>26</v>
      </c>
      <c r="X290" s="5">
        <v>7.3</v>
      </c>
      <c r="Y290" s="5">
        <v>4</v>
      </c>
      <c r="Z290" s="5" t="s">
        <v>94</v>
      </c>
      <c r="AA290" s="6">
        <v>73.2</v>
      </c>
      <c r="AB290" s="8">
        <f t="shared" si="52"/>
        <v>240</v>
      </c>
      <c r="AC290" s="8">
        <f t="shared" si="53"/>
        <v>12</v>
      </c>
      <c r="AD290" s="8">
        <f t="shared" si="54"/>
        <v>228</v>
      </c>
      <c r="AE290" s="8">
        <f t="shared" si="55"/>
        <v>146.4</v>
      </c>
      <c r="AF290" s="8">
        <f t="shared" si="56"/>
        <v>81.599999999999994</v>
      </c>
      <c r="AG290" s="9">
        <f t="shared" si="57"/>
        <v>0.35789473684210527</v>
      </c>
      <c r="AH290" s="10">
        <f t="shared" si="58"/>
        <v>2025</v>
      </c>
      <c r="AI290" s="10">
        <f t="shared" si="59"/>
        <v>12</v>
      </c>
      <c r="AJ290" s="10" t="str">
        <f t="shared" si="60"/>
        <v>2025-12</v>
      </c>
      <c r="AK290" s="10" t="str">
        <f t="shared" si="61"/>
        <v>T4</v>
      </c>
      <c r="AL290" s="10" t="str">
        <f t="shared" si="62"/>
        <v>50+</v>
      </c>
      <c r="AM290" s="10" t="str">
        <f t="shared" si="63"/>
        <v>bon</v>
      </c>
      <c r="AN290" s="10" t="s">
        <v>2839</v>
      </c>
      <c r="AO290" s="10" t="str">
        <f t="shared" si="64"/>
        <v>Faible</v>
      </c>
    </row>
    <row r="291" spans="1:41">
      <c r="A291" t="s">
        <v>1077</v>
      </c>
      <c r="B291" s="2">
        <v>45770</v>
      </c>
      <c r="C291" t="s">
        <v>1078</v>
      </c>
      <c r="D291" t="s">
        <v>138</v>
      </c>
      <c r="E291" t="s">
        <v>98</v>
      </c>
      <c r="F291" t="s">
        <v>369</v>
      </c>
      <c r="G291">
        <v>3</v>
      </c>
      <c r="H291" s="4">
        <v>120</v>
      </c>
      <c r="I291" s="3">
        <v>0</v>
      </c>
      <c r="J291" t="s">
        <v>77</v>
      </c>
      <c r="K291" t="s">
        <v>46</v>
      </c>
      <c r="L291" t="s">
        <v>1079</v>
      </c>
      <c r="M291" t="s">
        <v>69</v>
      </c>
      <c r="N291" t="s">
        <v>49</v>
      </c>
      <c r="O291" t="s">
        <v>142</v>
      </c>
      <c r="P291" t="s">
        <v>51</v>
      </c>
      <c r="Q291" t="s">
        <v>143</v>
      </c>
      <c r="R291" t="s">
        <v>104</v>
      </c>
      <c r="S291" t="s">
        <v>79</v>
      </c>
      <c r="T291" t="s">
        <v>371</v>
      </c>
      <c r="U291" s="5">
        <v>35</v>
      </c>
      <c r="V291" s="5" t="s">
        <v>56</v>
      </c>
      <c r="W291" s="5">
        <v>14</v>
      </c>
      <c r="X291" s="5">
        <v>7.4</v>
      </c>
      <c r="Y291" s="5">
        <v>4</v>
      </c>
      <c r="Z291" s="5" t="s">
        <v>71</v>
      </c>
      <c r="AA291" s="6">
        <v>73.2</v>
      </c>
      <c r="AB291" s="8">
        <f t="shared" si="52"/>
        <v>360</v>
      </c>
      <c r="AC291" s="8">
        <f t="shared" si="53"/>
        <v>0</v>
      </c>
      <c r="AD291" s="8">
        <f t="shared" si="54"/>
        <v>360</v>
      </c>
      <c r="AE291" s="8">
        <f t="shared" si="55"/>
        <v>219.60000000000002</v>
      </c>
      <c r="AF291" s="8">
        <f t="shared" si="56"/>
        <v>140.39999999999998</v>
      </c>
      <c r="AG291" s="9">
        <f t="shared" si="57"/>
        <v>0.38999999999999996</v>
      </c>
      <c r="AH291" s="10">
        <f t="shared" si="58"/>
        <v>2025</v>
      </c>
      <c r="AI291" s="10">
        <f t="shared" si="59"/>
        <v>4</v>
      </c>
      <c r="AJ291" s="10" t="str">
        <f t="shared" si="60"/>
        <v>2025-04</v>
      </c>
      <c r="AK291" s="10" t="str">
        <f t="shared" si="61"/>
        <v>T2</v>
      </c>
      <c r="AL291" s="10" t="str">
        <f t="shared" si="62"/>
        <v>30-39</v>
      </c>
      <c r="AM291" s="10" t="str">
        <f t="shared" si="63"/>
        <v>bon</v>
      </c>
      <c r="AN291" s="10" t="s">
        <v>2839</v>
      </c>
      <c r="AO291" s="10" t="str">
        <f t="shared" si="64"/>
        <v>Faible</v>
      </c>
    </row>
    <row r="292" spans="1:41">
      <c r="A292" t="s">
        <v>1080</v>
      </c>
      <c r="B292" s="2">
        <v>46005</v>
      </c>
      <c r="C292" t="s">
        <v>1081</v>
      </c>
      <c r="D292" t="s">
        <v>128</v>
      </c>
      <c r="E292" t="s">
        <v>109</v>
      </c>
      <c r="F292" t="s">
        <v>121</v>
      </c>
      <c r="G292">
        <v>2</v>
      </c>
      <c r="H292" s="4">
        <v>190</v>
      </c>
      <c r="I292" s="3">
        <v>0</v>
      </c>
      <c r="J292" t="s">
        <v>63</v>
      </c>
      <c r="K292" t="s">
        <v>46</v>
      </c>
      <c r="L292" t="s">
        <v>1082</v>
      </c>
      <c r="M292" t="s">
        <v>65</v>
      </c>
      <c r="N292" t="s">
        <v>49</v>
      </c>
      <c r="O292" t="s">
        <v>132</v>
      </c>
      <c r="P292" t="s">
        <v>133</v>
      </c>
      <c r="Q292" t="s">
        <v>52</v>
      </c>
      <c r="R292" t="s">
        <v>115</v>
      </c>
      <c r="S292" t="s">
        <v>65</v>
      </c>
      <c r="T292" t="s">
        <v>125</v>
      </c>
      <c r="U292" s="5">
        <v>30</v>
      </c>
      <c r="V292" s="5" t="s">
        <v>56</v>
      </c>
      <c r="W292" s="5">
        <v>17</v>
      </c>
      <c r="X292" s="5">
        <v>4.3</v>
      </c>
      <c r="Y292" s="5">
        <v>7</v>
      </c>
      <c r="Z292" s="5" t="s">
        <v>117</v>
      </c>
      <c r="AA292" s="6">
        <v>148.19999999999999</v>
      </c>
      <c r="AB292" s="8">
        <f t="shared" si="52"/>
        <v>380</v>
      </c>
      <c r="AC292" s="8">
        <f t="shared" si="53"/>
        <v>0</v>
      </c>
      <c r="AD292" s="8">
        <f t="shared" si="54"/>
        <v>380</v>
      </c>
      <c r="AE292" s="8">
        <f t="shared" si="55"/>
        <v>296.39999999999998</v>
      </c>
      <c r="AF292" s="8">
        <f t="shared" si="56"/>
        <v>83.600000000000023</v>
      </c>
      <c r="AG292" s="9">
        <f t="shared" si="57"/>
        <v>0.22000000000000006</v>
      </c>
      <c r="AH292" s="10">
        <f t="shared" si="58"/>
        <v>2025</v>
      </c>
      <c r="AI292" s="10">
        <f t="shared" si="59"/>
        <v>12</v>
      </c>
      <c r="AJ292" s="10" t="str">
        <f t="shared" si="60"/>
        <v>2025-12</v>
      </c>
      <c r="AK292" s="10" t="str">
        <f t="shared" si="61"/>
        <v>T4</v>
      </c>
      <c r="AL292" s="10" t="str">
        <f t="shared" si="62"/>
        <v>30-39</v>
      </c>
      <c r="AM292" s="10" t="str">
        <f t="shared" si="63"/>
        <v>faible</v>
      </c>
      <c r="AN292" s="10" t="s">
        <v>2837</v>
      </c>
      <c r="AO292" s="10" t="str">
        <f t="shared" si="64"/>
        <v>Faible</v>
      </c>
    </row>
    <row r="293" spans="1:41">
      <c r="A293" t="s">
        <v>1083</v>
      </c>
      <c r="B293" s="2">
        <v>45954</v>
      </c>
      <c r="C293" t="s">
        <v>1084</v>
      </c>
      <c r="D293" t="s">
        <v>74</v>
      </c>
      <c r="E293" t="s">
        <v>88</v>
      </c>
      <c r="F293" t="s">
        <v>413</v>
      </c>
      <c r="G293">
        <v>3</v>
      </c>
      <c r="H293" s="4">
        <v>95</v>
      </c>
      <c r="I293" s="3">
        <v>0</v>
      </c>
      <c r="J293" t="s">
        <v>90</v>
      </c>
      <c r="K293" t="s">
        <v>46</v>
      </c>
      <c r="L293" t="s">
        <v>1085</v>
      </c>
      <c r="M293" t="s">
        <v>65</v>
      </c>
      <c r="N293" t="s">
        <v>101</v>
      </c>
      <c r="O293" t="s">
        <v>81</v>
      </c>
      <c r="P293" t="s">
        <v>82</v>
      </c>
      <c r="Q293" t="s">
        <v>52</v>
      </c>
      <c r="R293" t="s">
        <v>92</v>
      </c>
      <c r="S293" t="s">
        <v>48</v>
      </c>
      <c r="T293" t="s">
        <v>415</v>
      </c>
      <c r="U293" s="5">
        <v>42</v>
      </c>
      <c r="V293" s="5" t="s">
        <v>85</v>
      </c>
      <c r="W293" s="5">
        <v>7</v>
      </c>
      <c r="X293" s="5">
        <v>5.7</v>
      </c>
      <c r="Y293" s="5">
        <v>6</v>
      </c>
      <c r="Z293" s="5" t="s">
        <v>94</v>
      </c>
      <c r="AA293" s="6">
        <v>70.3</v>
      </c>
      <c r="AB293" s="8">
        <f t="shared" si="52"/>
        <v>285</v>
      </c>
      <c r="AC293" s="8">
        <f t="shared" si="53"/>
        <v>0</v>
      </c>
      <c r="AD293" s="8">
        <f t="shared" si="54"/>
        <v>285</v>
      </c>
      <c r="AE293" s="8">
        <f t="shared" si="55"/>
        <v>210.89999999999998</v>
      </c>
      <c r="AF293" s="8">
        <f t="shared" si="56"/>
        <v>74.100000000000023</v>
      </c>
      <c r="AG293" s="9">
        <f t="shared" si="57"/>
        <v>0.26000000000000006</v>
      </c>
      <c r="AH293" s="10">
        <f t="shared" si="58"/>
        <v>2025</v>
      </c>
      <c r="AI293" s="10">
        <f t="shared" si="59"/>
        <v>10</v>
      </c>
      <c r="AJ293" s="10" t="str">
        <f t="shared" si="60"/>
        <v>2025-10</v>
      </c>
      <c r="AK293" s="10" t="str">
        <f t="shared" si="61"/>
        <v>T4</v>
      </c>
      <c r="AL293" s="10" t="str">
        <f t="shared" si="62"/>
        <v>40-49</v>
      </c>
      <c r="AM293" s="10" t="str">
        <f t="shared" si="63"/>
        <v>moyen</v>
      </c>
      <c r="AN293" s="10" t="s">
        <v>2839</v>
      </c>
      <c r="AO293" s="10" t="str">
        <f t="shared" si="64"/>
        <v>Faible</v>
      </c>
    </row>
    <row r="294" spans="1:41">
      <c r="A294" t="s">
        <v>1086</v>
      </c>
      <c r="B294" s="2">
        <v>45662</v>
      </c>
      <c r="C294" t="s">
        <v>1087</v>
      </c>
      <c r="D294" t="s">
        <v>60</v>
      </c>
      <c r="E294" t="s">
        <v>43</v>
      </c>
      <c r="F294" t="s">
        <v>388</v>
      </c>
      <c r="G294">
        <v>2</v>
      </c>
      <c r="H294" s="4">
        <v>180</v>
      </c>
      <c r="I294" s="3">
        <v>0.08</v>
      </c>
      <c r="J294" t="s">
        <v>45</v>
      </c>
      <c r="K294" t="s">
        <v>46</v>
      </c>
      <c r="L294" t="s">
        <v>1088</v>
      </c>
      <c r="M294" t="s">
        <v>48</v>
      </c>
      <c r="N294" t="s">
        <v>101</v>
      </c>
      <c r="O294" t="s">
        <v>66</v>
      </c>
      <c r="P294" t="s">
        <v>67</v>
      </c>
      <c r="Q294" t="s">
        <v>52</v>
      </c>
      <c r="R294" t="s">
        <v>53</v>
      </c>
      <c r="S294" t="s">
        <v>54</v>
      </c>
      <c r="T294" t="s">
        <v>390</v>
      </c>
      <c r="U294" s="5">
        <v>51</v>
      </c>
      <c r="V294" s="5" t="s">
        <v>85</v>
      </c>
      <c r="W294" s="5">
        <v>51</v>
      </c>
      <c r="X294" s="5">
        <v>6</v>
      </c>
      <c r="Y294" s="5">
        <v>4</v>
      </c>
      <c r="Z294" s="5" t="s">
        <v>57</v>
      </c>
      <c r="AA294" s="6">
        <v>129.6</v>
      </c>
      <c r="AB294" s="8">
        <f t="shared" si="52"/>
        <v>360</v>
      </c>
      <c r="AC294" s="8">
        <f t="shared" si="53"/>
        <v>28.8</v>
      </c>
      <c r="AD294" s="8">
        <f t="shared" si="54"/>
        <v>331.2</v>
      </c>
      <c r="AE294" s="8">
        <f t="shared" si="55"/>
        <v>259.2</v>
      </c>
      <c r="AF294" s="8">
        <f t="shared" si="56"/>
        <v>72</v>
      </c>
      <c r="AG294" s="9">
        <f t="shared" si="57"/>
        <v>0.21739130434782608</v>
      </c>
      <c r="AH294" s="10">
        <f t="shared" si="58"/>
        <v>2025</v>
      </c>
      <c r="AI294" s="10">
        <f t="shared" si="59"/>
        <v>1</v>
      </c>
      <c r="AJ294" s="10" t="str">
        <f t="shared" si="60"/>
        <v>2025-01</v>
      </c>
      <c r="AK294" s="10" t="str">
        <f t="shared" si="61"/>
        <v>T1</v>
      </c>
      <c r="AL294" s="10" t="str">
        <f t="shared" si="62"/>
        <v>50+</v>
      </c>
      <c r="AM294" s="10" t="str">
        <f t="shared" si="63"/>
        <v>moyen</v>
      </c>
      <c r="AN294" s="10" t="s">
        <v>2839</v>
      </c>
      <c r="AO294" s="10" t="str">
        <f t="shared" si="64"/>
        <v>Faible</v>
      </c>
    </row>
    <row r="295" spans="1:41">
      <c r="A295" t="s">
        <v>1089</v>
      </c>
      <c r="B295" s="2">
        <v>45741</v>
      </c>
      <c r="C295" t="s">
        <v>1090</v>
      </c>
      <c r="D295" t="s">
        <v>74</v>
      </c>
      <c r="E295" t="s">
        <v>61</v>
      </c>
      <c r="F295" t="s">
        <v>424</v>
      </c>
      <c r="G295">
        <v>2</v>
      </c>
      <c r="H295" s="4">
        <v>95</v>
      </c>
      <c r="I295" s="3">
        <v>0</v>
      </c>
      <c r="J295" t="s">
        <v>90</v>
      </c>
      <c r="K295" t="s">
        <v>46</v>
      </c>
      <c r="L295" t="s">
        <v>1091</v>
      </c>
      <c r="M295" t="s">
        <v>69</v>
      </c>
      <c r="N295" t="s">
        <v>112</v>
      </c>
      <c r="O295" t="s">
        <v>81</v>
      </c>
      <c r="P295" t="s">
        <v>82</v>
      </c>
      <c r="Q295" t="s">
        <v>52</v>
      </c>
      <c r="R295" t="s">
        <v>68</v>
      </c>
      <c r="S295" t="s">
        <v>69</v>
      </c>
      <c r="T295" t="s">
        <v>426</v>
      </c>
      <c r="U295" s="5">
        <v>48</v>
      </c>
      <c r="V295" s="5" t="s">
        <v>85</v>
      </c>
      <c r="W295" s="5">
        <v>4</v>
      </c>
      <c r="X295" s="5">
        <v>7.2</v>
      </c>
      <c r="Y295" s="5">
        <v>2</v>
      </c>
      <c r="Z295" s="5" t="s">
        <v>71</v>
      </c>
      <c r="AA295" s="6">
        <v>70.3</v>
      </c>
      <c r="AB295" s="8">
        <f t="shared" si="52"/>
        <v>190</v>
      </c>
      <c r="AC295" s="8">
        <f t="shared" si="53"/>
        <v>0</v>
      </c>
      <c r="AD295" s="8">
        <f t="shared" si="54"/>
        <v>190</v>
      </c>
      <c r="AE295" s="8">
        <f t="shared" si="55"/>
        <v>140.6</v>
      </c>
      <c r="AF295" s="8">
        <f t="shared" si="56"/>
        <v>49.400000000000006</v>
      </c>
      <c r="AG295" s="9">
        <f t="shared" si="57"/>
        <v>0.26</v>
      </c>
      <c r="AH295" s="10">
        <f t="shared" si="58"/>
        <v>2025</v>
      </c>
      <c r="AI295" s="10">
        <f t="shared" si="59"/>
        <v>3</v>
      </c>
      <c r="AJ295" s="10" t="str">
        <f t="shared" si="60"/>
        <v>2025-03</v>
      </c>
      <c r="AK295" s="10" t="str">
        <f t="shared" si="61"/>
        <v>T1</v>
      </c>
      <c r="AL295" s="10" t="str">
        <f t="shared" si="62"/>
        <v>40-49</v>
      </c>
      <c r="AM295" s="10" t="str">
        <f t="shared" si="63"/>
        <v>bon</v>
      </c>
      <c r="AN295" s="10" t="s">
        <v>2838</v>
      </c>
      <c r="AO295" s="10" t="str">
        <f t="shared" si="64"/>
        <v>Faible</v>
      </c>
    </row>
    <row r="296" spans="1:41">
      <c r="A296" t="s">
        <v>1092</v>
      </c>
      <c r="B296" s="2">
        <v>45802</v>
      </c>
      <c r="C296" t="s">
        <v>1093</v>
      </c>
      <c r="D296" t="s">
        <v>155</v>
      </c>
      <c r="E296" t="s">
        <v>219</v>
      </c>
      <c r="F296" t="s">
        <v>429</v>
      </c>
      <c r="G296">
        <v>5</v>
      </c>
      <c r="H296" s="4">
        <v>48</v>
      </c>
      <c r="I296" s="3">
        <v>0</v>
      </c>
      <c r="J296" t="s">
        <v>90</v>
      </c>
      <c r="K296" t="s">
        <v>46</v>
      </c>
      <c r="L296" t="s">
        <v>1094</v>
      </c>
      <c r="M296" t="s">
        <v>54</v>
      </c>
      <c r="N296" t="s">
        <v>112</v>
      </c>
      <c r="O296" t="s">
        <v>158</v>
      </c>
      <c r="P296" t="s">
        <v>51</v>
      </c>
      <c r="Q296" t="s">
        <v>143</v>
      </c>
      <c r="R296" t="s">
        <v>222</v>
      </c>
      <c r="S296" t="s">
        <v>123</v>
      </c>
      <c r="T296" t="s">
        <v>431</v>
      </c>
      <c r="U296" s="5">
        <v>32</v>
      </c>
      <c r="V296" s="5" t="s">
        <v>56</v>
      </c>
      <c r="W296" s="5">
        <v>37</v>
      </c>
      <c r="X296" s="5">
        <v>5.4</v>
      </c>
      <c r="Y296" s="5">
        <v>5</v>
      </c>
      <c r="Z296" s="5" t="s">
        <v>94</v>
      </c>
      <c r="AA296" s="6">
        <v>37.44</v>
      </c>
      <c r="AB296" s="8">
        <f t="shared" si="52"/>
        <v>240</v>
      </c>
      <c r="AC296" s="8">
        <f t="shared" si="53"/>
        <v>0</v>
      </c>
      <c r="AD296" s="8">
        <f t="shared" si="54"/>
        <v>240</v>
      </c>
      <c r="AE296" s="8">
        <f t="shared" si="55"/>
        <v>187.2</v>
      </c>
      <c r="AF296" s="8">
        <f t="shared" si="56"/>
        <v>52.800000000000011</v>
      </c>
      <c r="AG296" s="9">
        <f t="shared" si="57"/>
        <v>0.22000000000000006</v>
      </c>
      <c r="AH296" s="10">
        <f t="shared" si="58"/>
        <v>2025</v>
      </c>
      <c r="AI296" s="10">
        <f t="shared" si="59"/>
        <v>5</v>
      </c>
      <c r="AJ296" s="10" t="str">
        <f t="shared" si="60"/>
        <v>2025-05</v>
      </c>
      <c r="AK296" s="10" t="str">
        <f t="shared" si="61"/>
        <v>T2</v>
      </c>
      <c r="AL296" s="10" t="str">
        <f t="shared" si="62"/>
        <v>30-39</v>
      </c>
      <c r="AM296" s="10" t="str">
        <f t="shared" si="63"/>
        <v>moyen</v>
      </c>
      <c r="AN296" s="10" t="s">
        <v>2839</v>
      </c>
      <c r="AO296" s="10" t="str">
        <f t="shared" si="64"/>
        <v>Faible</v>
      </c>
    </row>
    <row r="297" spans="1:41">
      <c r="A297" t="s">
        <v>1095</v>
      </c>
      <c r="B297" s="2">
        <v>45658</v>
      </c>
      <c r="C297" t="s">
        <v>1018</v>
      </c>
      <c r="D297" t="s">
        <v>333</v>
      </c>
      <c r="E297" t="s">
        <v>315</v>
      </c>
      <c r="F297" t="s">
        <v>424</v>
      </c>
      <c r="G297">
        <v>1</v>
      </c>
      <c r="H297" s="4">
        <v>65</v>
      </c>
      <c r="I297" s="3">
        <v>0</v>
      </c>
      <c r="J297" t="s">
        <v>77</v>
      </c>
      <c r="K297" t="s">
        <v>46</v>
      </c>
      <c r="L297" t="s">
        <v>1019</v>
      </c>
      <c r="M297" t="s">
        <v>123</v>
      </c>
      <c r="N297" t="s">
        <v>112</v>
      </c>
      <c r="O297" t="s">
        <v>336</v>
      </c>
      <c r="P297" t="s">
        <v>51</v>
      </c>
      <c r="Q297" t="s">
        <v>52</v>
      </c>
      <c r="R297" t="s">
        <v>317</v>
      </c>
      <c r="S297" t="s">
        <v>69</v>
      </c>
      <c r="T297" t="s">
        <v>426</v>
      </c>
      <c r="U297" s="5">
        <v>26</v>
      </c>
      <c r="V297" s="5" t="s">
        <v>56</v>
      </c>
      <c r="W297" s="5">
        <v>61</v>
      </c>
      <c r="X297" s="5">
        <v>7.4</v>
      </c>
      <c r="Y297" s="5">
        <v>2</v>
      </c>
      <c r="Z297" s="5" t="s">
        <v>57</v>
      </c>
      <c r="AA297" s="6">
        <v>47.45</v>
      </c>
      <c r="AB297" s="8">
        <f t="shared" si="52"/>
        <v>65</v>
      </c>
      <c r="AC297" s="8">
        <f t="shared" si="53"/>
        <v>0</v>
      </c>
      <c r="AD297" s="8">
        <f t="shared" si="54"/>
        <v>65</v>
      </c>
      <c r="AE297" s="8">
        <f t="shared" si="55"/>
        <v>47.45</v>
      </c>
      <c r="AF297" s="8">
        <f t="shared" si="56"/>
        <v>17.549999999999997</v>
      </c>
      <c r="AG297" s="9">
        <f t="shared" si="57"/>
        <v>0.26999999999999996</v>
      </c>
      <c r="AH297" s="10">
        <f t="shared" si="58"/>
        <v>2025</v>
      </c>
      <c r="AI297" s="10">
        <f t="shared" si="59"/>
        <v>1</v>
      </c>
      <c r="AJ297" s="10" t="str">
        <f t="shared" si="60"/>
        <v>2025-01</v>
      </c>
      <c r="AK297" s="10" t="str">
        <f t="shared" si="61"/>
        <v>T1</v>
      </c>
      <c r="AL297" s="10" t="str">
        <f t="shared" si="62"/>
        <v>22-29</v>
      </c>
      <c r="AM297" s="10" t="str">
        <f t="shared" si="63"/>
        <v>bon</v>
      </c>
      <c r="AN297" s="10" t="s">
        <v>2838</v>
      </c>
      <c r="AO297" s="10" t="str">
        <f t="shared" si="64"/>
        <v>Faible</v>
      </c>
    </row>
    <row r="298" spans="1:41">
      <c r="A298" t="s">
        <v>1096</v>
      </c>
      <c r="B298" s="2">
        <v>45796</v>
      </c>
      <c r="C298" t="s">
        <v>1097</v>
      </c>
      <c r="D298" t="s">
        <v>42</v>
      </c>
      <c r="E298" t="s">
        <v>214</v>
      </c>
      <c r="F298" t="s">
        <v>502</v>
      </c>
      <c r="G298">
        <v>1</v>
      </c>
      <c r="H298" s="4">
        <v>260</v>
      </c>
      <c r="I298" s="3">
        <v>0.08</v>
      </c>
      <c r="J298" t="s">
        <v>45</v>
      </c>
      <c r="K298" t="s">
        <v>46</v>
      </c>
      <c r="L298" t="s">
        <v>1098</v>
      </c>
      <c r="M298" t="s">
        <v>54</v>
      </c>
      <c r="N298" t="s">
        <v>112</v>
      </c>
      <c r="O298" t="s">
        <v>50</v>
      </c>
      <c r="P298" t="s">
        <v>51</v>
      </c>
      <c r="Q298" t="s">
        <v>52</v>
      </c>
      <c r="R298" t="s">
        <v>216</v>
      </c>
      <c r="S298" t="s">
        <v>65</v>
      </c>
      <c r="T298" t="s">
        <v>504</v>
      </c>
      <c r="U298" s="5">
        <v>37</v>
      </c>
      <c r="V298" s="5" t="s">
        <v>85</v>
      </c>
      <c r="W298" s="5">
        <v>25</v>
      </c>
      <c r="X298" s="5">
        <v>6.2</v>
      </c>
      <c r="Y298" s="5">
        <v>6</v>
      </c>
      <c r="Z298" s="5" t="s">
        <v>94</v>
      </c>
      <c r="AA298" s="6">
        <v>189.8</v>
      </c>
      <c r="AB298" s="8">
        <f t="shared" si="52"/>
        <v>260</v>
      </c>
      <c r="AC298" s="8">
        <f t="shared" si="53"/>
        <v>20.8</v>
      </c>
      <c r="AD298" s="8">
        <f t="shared" si="54"/>
        <v>239.2</v>
      </c>
      <c r="AE298" s="8">
        <f t="shared" si="55"/>
        <v>189.8</v>
      </c>
      <c r="AF298" s="8">
        <f t="shared" si="56"/>
        <v>49.399999999999977</v>
      </c>
      <c r="AG298" s="9">
        <f t="shared" si="57"/>
        <v>0.2065217391304347</v>
      </c>
      <c r="AH298" s="10">
        <f t="shared" si="58"/>
        <v>2025</v>
      </c>
      <c r="AI298" s="10">
        <f t="shared" si="59"/>
        <v>5</v>
      </c>
      <c r="AJ298" s="10" t="str">
        <f t="shared" si="60"/>
        <v>2025-05</v>
      </c>
      <c r="AK298" s="10" t="str">
        <f t="shared" si="61"/>
        <v>T2</v>
      </c>
      <c r="AL298" s="10" t="str">
        <f t="shared" si="62"/>
        <v>30-39</v>
      </c>
      <c r="AM298" s="10" t="str">
        <f t="shared" si="63"/>
        <v>moyen</v>
      </c>
      <c r="AN298" s="10" t="s">
        <v>2839</v>
      </c>
      <c r="AO298" s="10" t="str">
        <f t="shared" si="64"/>
        <v>Faible</v>
      </c>
    </row>
    <row r="299" spans="1:41">
      <c r="A299" t="s">
        <v>1099</v>
      </c>
      <c r="B299" s="2">
        <v>45900</v>
      </c>
      <c r="C299" t="s">
        <v>1100</v>
      </c>
      <c r="D299" t="s">
        <v>74</v>
      </c>
      <c r="E299" t="s">
        <v>163</v>
      </c>
      <c r="F299" t="s">
        <v>413</v>
      </c>
      <c r="G299">
        <v>6</v>
      </c>
      <c r="H299" s="4">
        <v>95</v>
      </c>
      <c r="I299" s="3">
        <v>0</v>
      </c>
      <c r="J299" t="s">
        <v>63</v>
      </c>
      <c r="K299" t="s">
        <v>46</v>
      </c>
      <c r="L299" t="s">
        <v>1101</v>
      </c>
      <c r="M299" t="s">
        <v>65</v>
      </c>
      <c r="N299" t="s">
        <v>255</v>
      </c>
      <c r="O299" t="s">
        <v>81</v>
      </c>
      <c r="P299" t="s">
        <v>82</v>
      </c>
      <c r="Q299" t="s">
        <v>52</v>
      </c>
      <c r="R299" t="s">
        <v>167</v>
      </c>
      <c r="S299" t="s">
        <v>123</v>
      </c>
      <c r="T299" t="s">
        <v>415</v>
      </c>
      <c r="U299" s="5">
        <v>60</v>
      </c>
      <c r="V299" s="5" t="s">
        <v>85</v>
      </c>
      <c r="W299" s="5">
        <v>51</v>
      </c>
      <c r="X299" s="5">
        <v>5</v>
      </c>
      <c r="Y299" s="5">
        <v>8</v>
      </c>
      <c r="Z299" s="5" t="s">
        <v>71</v>
      </c>
      <c r="AA299" s="6">
        <v>70.3</v>
      </c>
      <c r="AB299" s="8">
        <f t="shared" si="52"/>
        <v>570</v>
      </c>
      <c r="AC299" s="8">
        <f t="shared" si="53"/>
        <v>0</v>
      </c>
      <c r="AD299" s="8">
        <f t="shared" si="54"/>
        <v>570</v>
      </c>
      <c r="AE299" s="8">
        <f t="shared" si="55"/>
        <v>421.79999999999995</v>
      </c>
      <c r="AF299" s="8">
        <f t="shared" si="56"/>
        <v>148.20000000000005</v>
      </c>
      <c r="AG299" s="9">
        <f t="shared" si="57"/>
        <v>0.26000000000000006</v>
      </c>
      <c r="AH299" s="10">
        <f t="shared" si="58"/>
        <v>2025</v>
      </c>
      <c r="AI299" s="10">
        <f t="shared" si="59"/>
        <v>8</v>
      </c>
      <c r="AJ299" s="10" t="str">
        <f t="shared" si="60"/>
        <v>2025-08</v>
      </c>
      <c r="AK299" s="10" t="str">
        <f t="shared" si="61"/>
        <v>T3</v>
      </c>
      <c r="AL299" s="10" t="str">
        <f t="shared" si="62"/>
        <v>50+</v>
      </c>
      <c r="AM299" s="10" t="str">
        <f t="shared" si="63"/>
        <v>moyen</v>
      </c>
      <c r="AN299" s="10" t="s">
        <v>2837</v>
      </c>
      <c r="AO299" s="10" t="str">
        <f t="shared" si="64"/>
        <v>Moyenne</v>
      </c>
    </row>
    <row r="300" spans="1:41">
      <c r="A300" t="s">
        <v>1102</v>
      </c>
      <c r="B300" s="2">
        <v>45817</v>
      </c>
      <c r="C300" t="s">
        <v>1103</v>
      </c>
      <c r="D300" t="s">
        <v>340</v>
      </c>
      <c r="E300" t="s">
        <v>43</v>
      </c>
      <c r="F300" t="s">
        <v>396</v>
      </c>
      <c r="G300">
        <v>1</v>
      </c>
      <c r="H300" s="4">
        <v>22</v>
      </c>
      <c r="I300" s="3">
        <v>0.02</v>
      </c>
      <c r="J300" t="s">
        <v>77</v>
      </c>
      <c r="K300" t="s">
        <v>46</v>
      </c>
      <c r="L300" t="s">
        <v>1104</v>
      </c>
      <c r="M300" t="s">
        <v>123</v>
      </c>
      <c r="N300" t="s">
        <v>101</v>
      </c>
      <c r="O300" t="s">
        <v>342</v>
      </c>
      <c r="P300" t="s">
        <v>103</v>
      </c>
      <c r="Q300" t="s">
        <v>143</v>
      </c>
      <c r="R300" t="s">
        <v>53</v>
      </c>
      <c r="S300" t="s">
        <v>54</v>
      </c>
      <c r="T300" t="s">
        <v>398</v>
      </c>
      <c r="U300" s="5">
        <v>51</v>
      </c>
      <c r="V300" s="5" t="s">
        <v>85</v>
      </c>
      <c r="W300" s="5">
        <v>32</v>
      </c>
      <c r="X300" s="5">
        <v>4.9000000000000004</v>
      </c>
      <c r="Y300" s="5">
        <v>7</v>
      </c>
      <c r="Z300" s="5" t="s">
        <v>71</v>
      </c>
      <c r="AA300" s="6">
        <v>14.96</v>
      </c>
      <c r="AB300" s="8">
        <f t="shared" si="52"/>
        <v>22</v>
      </c>
      <c r="AC300" s="8">
        <f t="shared" si="53"/>
        <v>0.44</v>
      </c>
      <c r="AD300" s="8">
        <f t="shared" si="54"/>
        <v>21.56</v>
      </c>
      <c r="AE300" s="8">
        <f t="shared" si="55"/>
        <v>14.96</v>
      </c>
      <c r="AF300" s="8">
        <f t="shared" si="56"/>
        <v>6.5999999999999979</v>
      </c>
      <c r="AG300" s="9">
        <f t="shared" si="57"/>
        <v>0.30612244897959173</v>
      </c>
      <c r="AH300" s="10">
        <f t="shared" si="58"/>
        <v>2025</v>
      </c>
      <c r="AI300" s="10">
        <f t="shared" si="59"/>
        <v>6</v>
      </c>
      <c r="AJ300" s="10" t="str">
        <f t="shared" si="60"/>
        <v>2025-06</v>
      </c>
      <c r="AK300" s="10" t="str">
        <f t="shared" si="61"/>
        <v>T2</v>
      </c>
      <c r="AL300" s="10" t="str">
        <f t="shared" si="62"/>
        <v>50+</v>
      </c>
      <c r="AM300" s="10" t="str">
        <f t="shared" si="63"/>
        <v>faible</v>
      </c>
      <c r="AN300" s="10" t="s">
        <v>2837</v>
      </c>
      <c r="AO300" s="10" t="str">
        <f t="shared" si="64"/>
        <v>Faible</v>
      </c>
    </row>
    <row r="301" spans="1:41">
      <c r="A301" t="s">
        <v>1105</v>
      </c>
      <c r="B301" s="2">
        <v>45871</v>
      </c>
      <c r="C301" t="s">
        <v>1106</v>
      </c>
      <c r="D301" t="s">
        <v>181</v>
      </c>
      <c r="E301" t="s">
        <v>109</v>
      </c>
      <c r="F301" t="s">
        <v>248</v>
      </c>
      <c r="G301">
        <v>3</v>
      </c>
      <c r="H301" s="4">
        <v>145</v>
      </c>
      <c r="I301" s="3">
        <v>0</v>
      </c>
      <c r="K301" t="s">
        <v>46</v>
      </c>
      <c r="L301" t="s">
        <v>1107</v>
      </c>
      <c r="M301" t="s">
        <v>65</v>
      </c>
      <c r="N301" t="s">
        <v>101</v>
      </c>
      <c r="O301" t="s">
        <v>184</v>
      </c>
      <c r="P301" t="s">
        <v>103</v>
      </c>
      <c r="Q301" t="s">
        <v>52</v>
      </c>
      <c r="R301" t="s">
        <v>115</v>
      </c>
      <c r="S301" t="s">
        <v>65</v>
      </c>
      <c r="T301" t="s">
        <v>250</v>
      </c>
      <c r="U301" s="5">
        <v>30</v>
      </c>
      <c r="V301" s="5" t="s">
        <v>56</v>
      </c>
      <c r="W301" s="5">
        <v>51</v>
      </c>
      <c r="X301" s="5">
        <v>5.5</v>
      </c>
      <c r="Y301" s="5">
        <v>6</v>
      </c>
      <c r="Z301" s="5" t="s">
        <v>94</v>
      </c>
      <c r="AA301" s="6">
        <v>97.15</v>
      </c>
      <c r="AB301" s="8">
        <f t="shared" si="52"/>
        <v>435</v>
      </c>
      <c r="AC301" s="8">
        <f t="shared" si="53"/>
        <v>0</v>
      </c>
      <c r="AD301" s="8">
        <f t="shared" si="54"/>
        <v>435</v>
      </c>
      <c r="AE301" s="8">
        <f t="shared" si="55"/>
        <v>291.45000000000005</v>
      </c>
      <c r="AF301" s="8">
        <f t="shared" si="56"/>
        <v>143.54999999999995</v>
      </c>
      <c r="AG301" s="9">
        <f t="shared" si="57"/>
        <v>0.3299999999999999</v>
      </c>
      <c r="AH301" s="10">
        <f t="shared" si="58"/>
        <v>2025</v>
      </c>
      <c r="AI301" s="10">
        <f t="shared" si="59"/>
        <v>8</v>
      </c>
      <c r="AJ301" s="10" t="str">
        <f t="shared" si="60"/>
        <v>2025-08</v>
      </c>
      <c r="AK301" s="10" t="str">
        <f t="shared" si="61"/>
        <v>T3</v>
      </c>
      <c r="AL301" s="10" t="str">
        <f t="shared" si="62"/>
        <v>30-39</v>
      </c>
      <c r="AM301" s="10" t="str">
        <f t="shared" si="63"/>
        <v>moyen</v>
      </c>
      <c r="AN301" s="10" t="s">
        <v>2839</v>
      </c>
      <c r="AO301" s="10" t="str">
        <f t="shared" si="64"/>
        <v>Faible</v>
      </c>
    </row>
    <row r="302" spans="1:41">
      <c r="A302" t="s">
        <v>1108</v>
      </c>
      <c r="B302" s="2">
        <v>45881</v>
      </c>
      <c r="C302" t="s">
        <v>1109</v>
      </c>
      <c r="D302" t="s">
        <v>128</v>
      </c>
      <c r="E302" t="s">
        <v>226</v>
      </c>
      <c r="F302" t="s">
        <v>208</v>
      </c>
      <c r="G302">
        <v>1</v>
      </c>
      <c r="H302" s="4">
        <v>190</v>
      </c>
      <c r="I302" s="3">
        <v>0.05</v>
      </c>
      <c r="J302" t="s">
        <v>63</v>
      </c>
      <c r="K302" t="s">
        <v>46</v>
      </c>
      <c r="L302" t="s">
        <v>1110</v>
      </c>
      <c r="M302" t="s">
        <v>54</v>
      </c>
      <c r="N302" t="s">
        <v>49</v>
      </c>
      <c r="O302" t="s">
        <v>132</v>
      </c>
      <c r="P302" t="s">
        <v>133</v>
      </c>
      <c r="Q302" t="s">
        <v>52</v>
      </c>
      <c r="R302" t="s">
        <v>229</v>
      </c>
      <c r="S302" t="s">
        <v>48</v>
      </c>
      <c r="T302" t="s">
        <v>211</v>
      </c>
      <c r="U302" s="5">
        <v>35</v>
      </c>
      <c r="V302" s="5" t="s">
        <v>85</v>
      </c>
      <c r="W302" s="5">
        <v>56</v>
      </c>
      <c r="X302" s="5">
        <v>5.7</v>
      </c>
      <c r="Y302" s="5">
        <v>5</v>
      </c>
      <c r="Z302" s="5" t="s">
        <v>94</v>
      </c>
      <c r="AA302" s="6">
        <v>148.19999999999999</v>
      </c>
      <c r="AB302" s="8">
        <f t="shared" si="52"/>
        <v>190</v>
      </c>
      <c r="AC302" s="8">
        <f t="shared" si="53"/>
        <v>9.5</v>
      </c>
      <c r="AD302" s="8">
        <f t="shared" si="54"/>
        <v>180.5</v>
      </c>
      <c r="AE302" s="8">
        <f t="shared" si="55"/>
        <v>148.19999999999999</v>
      </c>
      <c r="AF302" s="8">
        <f t="shared" si="56"/>
        <v>32.300000000000011</v>
      </c>
      <c r="AG302" s="9">
        <f t="shared" si="57"/>
        <v>0.17894736842105269</v>
      </c>
      <c r="AH302" s="10">
        <f t="shared" si="58"/>
        <v>2025</v>
      </c>
      <c r="AI302" s="10">
        <f t="shared" si="59"/>
        <v>8</v>
      </c>
      <c r="AJ302" s="10" t="str">
        <f t="shared" si="60"/>
        <v>2025-08</v>
      </c>
      <c r="AK302" s="10" t="str">
        <f t="shared" si="61"/>
        <v>T3</v>
      </c>
      <c r="AL302" s="10" t="str">
        <f t="shared" si="62"/>
        <v>30-39</v>
      </c>
      <c r="AM302" s="10" t="str">
        <f t="shared" si="63"/>
        <v>moyen</v>
      </c>
      <c r="AN302" s="10" t="s">
        <v>2839</v>
      </c>
      <c r="AO302" s="10" t="str">
        <f t="shared" si="64"/>
        <v>Faible</v>
      </c>
    </row>
    <row r="303" spans="1:41">
      <c r="A303" t="s">
        <v>1111</v>
      </c>
      <c r="B303" s="2">
        <v>45876</v>
      </c>
      <c r="C303" t="s">
        <v>1112</v>
      </c>
      <c r="D303" t="s">
        <v>60</v>
      </c>
      <c r="E303" t="s">
        <v>139</v>
      </c>
      <c r="F303" t="s">
        <v>328</v>
      </c>
      <c r="G303">
        <v>2</v>
      </c>
      <c r="H303" s="4">
        <v>180</v>
      </c>
      <c r="I303" s="3">
        <v>0.02</v>
      </c>
      <c r="J303" t="s">
        <v>63</v>
      </c>
      <c r="K303" t="s">
        <v>46</v>
      </c>
      <c r="L303" t="s">
        <v>1113</v>
      </c>
      <c r="M303" t="s">
        <v>123</v>
      </c>
      <c r="N303" t="s">
        <v>101</v>
      </c>
      <c r="O303" t="s">
        <v>66</v>
      </c>
      <c r="P303" t="s">
        <v>67</v>
      </c>
      <c r="Q303" t="s">
        <v>52</v>
      </c>
      <c r="R303" t="s">
        <v>144</v>
      </c>
      <c r="S303" t="s">
        <v>65</v>
      </c>
      <c r="T303" t="s">
        <v>330</v>
      </c>
      <c r="U303" s="5">
        <v>49</v>
      </c>
      <c r="V303" s="5" t="s">
        <v>56</v>
      </c>
      <c r="W303" s="5">
        <v>51</v>
      </c>
      <c r="X303" s="5">
        <v>8.5</v>
      </c>
      <c r="Y303" s="5">
        <v>2</v>
      </c>
      <c r="Z303" s="5" t="s">
        <v>71</v>
      </c>
      <c r="AA303" s="6">
        <v>129.6</v>
      </c>
      <c r="AB303" s="8">
        <f t="shared" si="52"/>
        <v>360</v>
      </c>
      <c r="AC303" s="8">
        <f t="shared" si="53"/>
        <v>7.2</v>
      </c>
      <c r="AD303" s="8">
        <f t="shared" si="54"/>
        <v>352.8</v>
      </c>
      <c r="AE303" s="8">
        <f t="shared" si="55"/>
        <v>259.2</v>
      </c>
      <c r="AF303" s="8">
        <f t="shared" si="56"/>
        <v>93.600000000000023</v>
      </c>
      <c r="AG303" s="9">
        <f t="shared" si="57"/>
        <v>0.26530612244897966</v>
      </c>
      <c r="AH303" s="10">
        <f t="shared" si="58"/>
        <v>2025</v>
      </c>
      <c r="AI303" s="10">
        <f t="shared" si="59"/>
        <v>8</v>
      </c>
      <c r="AJ303" s="10" t="str">
        <f t="shared" si="60"/>
        <v>2025-08</v>
      </c>
      <c r="AK303" s="10" t="str">
        <f t="shared" si="61"/>
        <v>T3</v>
      </c>
      <c r="AL303" s="10" t="str">
        <f t="shared" si="62"/>
        <v>40-49</v>
      </c>
      <c r="AM303" s="10" t="str">
        <f t="shared" si="63"/>
        <v>bon</v>
      </c>
      <c r="AN303" s="10" t="s">
        <v>2838</v>
      </c>
      <c r="AO303" s="10" t="str">
        <f t="shared" si="64"/>
        <v>Faible</v>
      </c>
    </row>
    <row r="304" spans="1:41">
      <c r="A304" t="s">
        <v>1114</v>
      </c>
      <c r="B304" s="2">
        <v>45729</v>
      </c>
      <c r="C304" t="s">
        <v>1115</v>
      </c>
      <c r="D304" t="s">
        <v>333</v>
      </c>
      <c r="E304" t="s">
        <v>214</v>
      </c>
      <c r="F304" t="s">
        <v>110</v>
      </c>
      <c r="G304">
        <v>3</v>
      </c>
      <c r="H304" s="4">
        <v>65</v>
      </c>
      <c r="I304" s="3">
        <v>0</v>
      </c>
      <c r="J304" t="s">
        <v>45</v>
      </c>
      <c r="K304" t="s">
        <v>46</v>
      </c>
      <c r="L304" t="s">
        <v>1116</v>
      </c>
      <c r="M304" t="s">
        <v>69</v>
      </c>
      <c r="N304" t="s">
        <v>112</v>
      </c>
      <c r="O304" t="s">
        <v>336</v>
      </c>
      <c r="P304" t="s">
        <v>51</v>
      </c>
      <c r="Q304" t="s">
        <v>52</v>
      </c>
      <c r="R304" t="s">
        <v>216</v>
      </c>
      <c r="S304" t="s">
        <v>65</v>
      </c>
      <c r="T304" t="s">
        <v>116</v>
      </c>
      <c r="U304" s="5">
        <v>23</v>
      </c>
      <c r="V304" s="5" t="s">
        <v>56</v>
      </c>
      <c r="W304" s="5">
        <v>29</v>
      </c>
      <c r="X304" s="5">
        <v>7.5</v>
      </c>
      <c r="Y304" s="5">
        <v>3</v>
      </c>
      <c r="Z304" s="5" t="s">
        <v>117</v>
      </c>
      <c r="AA304" s="6">
        <v>47.45</v>
      </c>
      <c r="AB304" s="8">
        <f t="shared" si="52"/>
        <v>195</v>
      </c>
      <c r="AC304" s="8">
        <f t="shared" si="53"/>
        <v>0</v>
      </c>
      <c r="AD304" s="8">
        <f t="shared" si="54"/>
        <v>195</v>
      </c>
      <c r="AE304" s="8">
        <f t="shared" si="55"/>
        <v>142.35000000000002</v>
      </c>
      <c r="AF304" s="8">
        <f t="shared" si="56"/>
        <v>52.649999999999977</v>
      </c>
      <c r="AG304" s="9">
        <f t="shared" si="57"/>
        <v>0.26999999999999991</v>
      </c>
      <c r="AH304" s="10">
        <f t="shared" si="58"/>
        <v>2025</v>
      </c>
      <c r="AI304" s="10">
        <f t="shared" si="59"/>
        <v>3</v>
      </c>
      <c r="AJ304" s="10" t="str">
        <f t="shared" si="60"/>
        <v>2025-03</v>
      </c>
      <c r="AK304" s="10" t="str">
        <f t="shared" si="61"/>
        <v>T1</v>
      </c>
      <c r="AL304" s="10" t="str">
        <f t="shared" si="62"/>
        <v>22-29</v>
      </c>
      <c r="AM304" s="10" t="str">
        <f t="shared" si="63"/>
        <v>bon</v>
      </c>
      <c r="AN304" s="10" t="s">
        <v>2838</v>
      </c>
      <c r="AO304" s="10" t="str">
        <f t="shared" si="64"/>
        <v>Faible</v>
      </c>
    </row>
    <row r="305" spans="1:41">
      <c r="A305" t="s">
        <v>1117</v>
      </c>
      <c r="B305" s="2">
        <v>45947</v>
      </c>
      <c r="C305" t="s">
        <v>494</v>
      </c>
      <c r="D305" t="s">
        <v>42</v>
      </c>
      <c r="E305" t="s">
        <v>61</v>
      </c>
      <c r="F305" t="s">
        <v>553</v>
      </c>
      <c r="G305">
        <v>5</v>
      </c>
      <c r="H305" s="4">
        <v>260</v>
      </c>
      <c r="I305" s="3">
        <v>0</v>
      </c>
      <c r="J305" t="s">
        <v>63</v>
      </c>
      <c r="K305" t="s">
        <v>46</v>
      </c>
      <c r="L305" t="s">
        <v>495</v>
      </c>
      <c r="M305" t="s">
        <v>65</v>
      </c>
      <c r="N305" t="s">
        <v>255</v>
      </c>
      <c r="O305" t="s">
        <v>50</v>
      </c>
      <c r="P305" t="s">
        <v>51</v>
      </c>
      <c r="Q305" t="s">
        <v>52</v>
      </c>
      <c r="R305" t="s">
        <v>68</v>
      </c>
      <c r="S305" t="s">
        <v>69</v>
      </c>
      <c r="T305" t="s">
        <v>555</v>
      </c>
      <c r="U305" s="5">
        <v>40</v>
      </c>
      <c r="V305" s="5" t="s">
        <v>56</v>
      </c>
      <c r="W305" s="5">
        <v>67</v>
      </c>
      <c r="X305" s="5">
        <v>8.9</v>
      </c>
      <c r="Y305" s="5">
        <v>1</v>
      </c>
      <c r="Z305" s="5" t="s">
        <v>117</v>
      </c>
      <c r="AA305" s="6">
        <v>189.8</v>
      </c>
      <c r="AB305" s="8">
        <f t="shared" si="52"/>
        <v>1300</v>
      </c>
      <c r="AC305" s="8">
        <f t="shared" si="53"/>
        <v>0</v>
      </c>
      <c r="AD305" s="8">
        <f t="shared" si="54"/>
        <v>1300</v>
      </c>
      <c r="AE305" s="8">
        <f t="shared" si="55"/>
        <v>949</v>
      </c>
      <c r="AF305" s="8">
        <f t="shared" si="56"/>
        <v>351</v>
      </c>
      <c r="AG305" s="9">
        <f t="shared" si="57"/>
        <v>0.27</v>
      </c>
      <c r="AH305" s="10">
        <f t="shared" si="58"/>
        <v>2025</v>
      </c>
      <c r="AI305" s="10">
        <f t="shared" si="59"/>
        <v>10</v>
      </c>
      <c r="AJ305" s="10" t="str">
        <f t="shared" si="60"/>
        <v>2025-10</v>
      </c>
      <c r="AK305" s="10" t="str">
        <f t="shared" si="61"/>
        <v>T4</v>
      </c>
      <c r="AL305" s="10" t="str">
        <f t="shared" si="62"/>
        <v>40-49</v>
      </c>
      <c r="AM305" s="10" t="str">
        <f t="shared" si="63"/>
        <v>bon</v>
      </c>
      <c r="AN305" s="10" t="s">
        <v>2838</v>
      </c>
      <c r="AO305" s="10" t="str">
        <f t="shared" si="64"/>
        <v>Elevée</v>
      </c>
    </row>
    <row r="306" spans="1:41">
      <c r="A306" t="s">
        <v>1118</v>
      </c>
      <c r="B306" s="2">
        <v>45685</v>
      </c>
      <c r="C306" t="s">
        <v>1119</v>
      </c>
      <c r="D306" t="s">
        <v>155</v>
      </c>
      <c r="E306" t="s">
        <v>207</v>
      </c>
      <c r="F306" t="s">
        <v>233</v>
      </c>
      <c r="G306">
        <v>1</v>
      </c>
      <c r="H306" s="4">
        <v>48</v>
      </c>
      <c r="I306" s="3">
        <v>0</v>
      </c>
      <c r="J306" t="s">
        <v>90</v>
      </c>
      <c r="K306" t="s">
        <v>46</v>
      </c>
      <c r="L306" t="s">
        <v>1120</v>
      </c>
      <c r="M306" t="s">
        <v>54</v>
      </c>
      <c r="N306" t="s">
        <v>255</v>
      </c>
      <c r="O306" t="s">
        <v>158</v>
      </c>
      <c r="P306" t="s">
        <v>51</v>
      </c>
      <c r="Q306" t="s">
        <v>143</v>
      </c>
      <c r="R306" t="s">
        <v>210</v>
      </c>
      <c r="S306" t="s">
        <v>79</v>
      </c>
      <c r="T306" t="s">
        <v>235</v>
      </c>
      <c r="U306" s="5">
        <v>34</v>
      </c>
      <c r="V306" s="5" t="s">
        <v>85</v>
      </c>
      <c r="W306" s="5">
        <v>67</v>
      </c>
      <c r="X306" s="5">
        <v>7.8</v>
      </c>
      <c r="Y306" s="5">
        <v>2</v>
      </c>
      <c r="Z306" s="5" t="s">
        <v>57</v>
      </c>
      <c r="AA306" s="6">
        <v>37.44</v>
      </c>
      <c r="AB306" s="8">
        <f t="shared" si="52"/>
        <v>48</v>
      </c>
      <c r="AC306" s="8">
        <f t="shared" si="53"/>
        <v>0</v>
      </c>
      <c r="AD306" s="8">
        <f t="shared" si="54"/>
        <v>48</v>
      </c>
      <c r="AE306" s="8">
        <f t="shared" si="55"/>
        <v>37.44</v>
      </c>
      <c r="AF306" s="8">
        <f t="shared" si="56"/>
        <v>10.560000000000002</v>
      </c>
      <c r="AG306" s="9">
        <f t="shared" si="57"/>
        <v>0.22000000000000006</v>
      </c>
      <c r="AH306" s="10">
        <f t="shared" si="58"/>
        <v>2025</v>
      </c>
      <c r="AI306" s="10">
        <f t="shared" si="59"/>
        <v>1</v>
      </c>
      <c r="AJ306" s="10" t="str">
        <f t="shared" si="60"/>
        <v>2025-01</v>
      </c>
      <c r="AK306" s="10" t="str">
        <f t="shared" si="61"/>
        <v>T1</v>
      </c>
      <c r="AL306" s="10" t="str">
        <f t="shared" si="62"/>
        <v>30-39</v>
      </c>
      <c r="AM306" s="10" t="str">
        <f t="shared" si="63"/>
        <v>bon</v>
      </c>
      <c r="AN306" s="10" t="s">
        <v>2838</v>
      </c>
      <c r="AO306" s="10" t="str">
        <f t="shared" si="64"/>
        <v>Faible</v>
      </c>
    </row>
    <row r="307" spans="1:41">
      <c r="A307" t="s">
        <v>1121</v>
      </c>
      <c r="B307" s="2">
        <v>45827</v>
      </c>
      <c r="C307" t="s">
        <v>1122</v>
      </c>
      <c r="D307" t="s">
        <v>74</v>
      </c>
      <c r="E307" t="s">
        <v>277</v>
      </c>
      <c r="F307" t="s">
        <v>182</v>
      </c>
      <c r="G307">
        <v>5</v>
      </c>
      <c r="H307" s="4">
        <v>95</v>
      </c>
      <c r="I307" s="3">
        <v>0</v>
      </c>
      <c r="J307" t="s">
        <v>90</v>
      </c>
      <c r="K307" t="s">
        <v>46</v>
      </c>
      <c r="L307" t="s">
        <v>1123</v>
      </c>
      <c r="M307" t="s">
        <v>123</v>
      </c>
      <c r="N307" t="s">
        <v>49</v>
      </c>
      <c r="O307" t="s">
        <v>81</v>
      </c>
      <c r="P307" t="s">
        <v>82</v>
      </c>
      <c r="Q307" t="s">
        <v>52</v>
      </c>
      <c r="R307" t="s">
        <v>279</v>
      </c>
      <c r="S307" t="s">
        <v>54</v>
      </c>
      <c r="T307" t="s">
        <v>185</v>
      </c>
      <c r="U307" s="5">
        <v>41</v>
      </c>
      <c r="V307" s="5" t="s">
        <v>56</v>
      </c>
      <c r="W307" s="5">
        <v>27</v>
      </c>
      <c r="X307" s="5">
        <v>7.7</v>
      </c>
      <c r="Y307" s="5">
        <v>3</v>
      </c>
      <c r="Z307" s="5" t="s">
        <v>117</v>
      </c>
      <c r="AA307" s="6">
        <v>70.3</v>
      </c>
      <c r="AB307" s="8">
        <f t="shared" si="52"/>
        <v>475</v>
      </c>
      <c r="AC307" s="8">
        <f t="shared" si="53"/>
        <v>0</v>
      </c>
      <c r="AD307" s="8">
        <f t="shared" si="54"/>
        <v>475</v>
      </c>
      <c r="AE307" s="8">
        <f t="shared" si="55"/>
        <v>351.5</v>
      </c>
      <c r="AF307" s="8">
        <f t="shared" si="56"/>
        <v>123.5</v>
      </c>
      <c r="AG307" s="9">
        <f t="shared" si="57"/>
        <v>0.26</v>
      </c>
      <c r="AH307" s="10">
        <f t="shared" si="58"/>
        <v>2025</v>
      </c>
      <c r="AI307" s="10">
        <f t="shared" si="59"/>
        <v>6</v>
      </c>
      <c r="AJ307" s="10" t="str">
        <f t="shared" si="60"/>
        <v>2025-06</v>
      </c>
      <c r="AK307" s="10" t="str">
        <f t="shared" si="61"/>
        <v>T2</v>
      </c>
      <c r="AL307" s="10" t="str">
        <f t="shared" si="62"/>
        <v>40-49</v>
      </c>
      <c r="AM307" s="10" t="str">
        <f t="shared" si="63"/>
        <v>bon</v>
      </c>
      <c r="AN307" s="10" t="s">
        <v>2838</v>
      </c>
      <c r="AO307" s="10" t="str">
        <f t="shared" si="64"/>
        <v>Faible</v>
      </c>
    </row>
    <row r="308" spans="1:41">
      <c r="A308" t="s">
        <v>1124</v>
      </c>
      <c r="B308" s="2">
        <v>45911</v>
      </c>
      <c r="C308" t="s">
        <v>1125</v>
      </c>
      <c r="D308" t="s">
        <v>42</v>
      </c>
      <c r="E308" t="s">
        <v>61</v>
      </c>
      <c r="F308" t="s">
        <v>175</v>
      </c>
      <c r="G308">
        <v>1</v>
      </c>
      <c r="H308" s="4">
        <v>260</v>
      </c>
      <c r="I308" s="3">
        <v>0.08</v>
      </c>
      <c r="J308" t="s">
        <v>45</v>
      </c>
      <c r="K308" t="s">
        <v>46</v>
      </c>
      <c r="L308" t="s">
        <v>1126</v>
      </c>
      <c r="M308" t="s">
        <v>69</v>
      </c>
      <c r="N308" t="s">
        <v>80</v>
      </c>
      <c r="O308" t="s">
        <v>50</v>
      </c>
      <c r="P308" t="s">
        <v>51</v>
      </c>
      <c r="Q308" t="s">
        <v>52</v>
      </c>
      <c r="R308" t="s">
        <v>68</v>
      </c>
      <c r="S308" t="s">
        <v>69</v>
      </c>
      <c r="T308" t="s">
        <v>178</v>
      </c>
      <c r="U308" s="5">
        <v>39</v>
      </c>
      <c r="V308" s="5" t="s">
        <v>56</v>
      </c>
      <c r="W308" s="5">
        <v>72</v>
      </c>
      <c r="X308" s="5">
        <v>5.4</v>
      </c>
      <c r="Y308" s="5">
        <v>7</v>
      </c>
      <c r="Z308" s="5" t="s">
        <v>94</v>
      </c>
      <c r="AA308" s="6">
        <v>189.8</v>
      </c>
      <c r="AB308" s="8">
        <f t="shared" si="52"/>
        <v>260</v>
      </c>
      <c r="AC308" s="8">
        <f t="shared" si="53"/>
        <v>20.8</v>
      </c>
      <c r="AD308" s="8">
        <f t="shared" si="54"/>
        <v>239.2</v>
      </c>
      <c r="AE308" s="8">
        <f t="shared" si="55"/>
        <v>189.8</v>
      </c>
      <c r="AF308" s="8">
        <f t="shared" si="56"/>
        <v>49.399999999999977</v>
      </c>
      <c r="AG308" s="9">
        <f t="shared" si="57"/>
        <v>0.2065217391304347</v>
      </c>
      <c r="AH308" s="10">
        <f t="shared" si="58"/>
        <v>2025</v>
      </c>
      <c r="AI308" s="10">
        <f t="shared" si="59"/>
        <v>9</v>
      </c>
      <c r="AJ308" s="10" t="str">
        <f t="shared" si="60"/>
        <v>2025-09</v>
      </c>
      <c r="AK308" s="10" t="str">
        <f t="shared" si="61"/>
        <v>T3</v>
      </c>
      <c r="AL308" s="10" t="str">
        <f t="shared" si="62"/>
        <v>30-39</v>
      </c>
      <c r="AM308" s="10" t="str">
        <f t="shared" si="63"/>
        <v>moyen</v>
      </c>
      <c r="AN308" s="10" t="s">
        <v>2837</v>
      </c>
      <c r="AO308" s="10" t="str">
        <f t="shared" si="64"/>
        <v>Faible</v>
      </c>
    </row>
    <row r="309" spans="1:41">
      <c r="A309" t="s">
        <v>1127</v>
      </c>
      <c r="B309" s="2">
        <v>46010</v>
      </c>
      <c r="C309" t="s">
        <v>1128</v>
      </c>
      <c r="D309" t="s">
        <v>138</v>
      </c>
      <c r="E309" t="s">
        <v>277</v>
      </c>
      <c r="F309" t="s">
        <v>267</v>
      </c>
      <c r="G309">
        <v>1</v>
      </c>
      <c r="H309" s="4">
        <v>120</v>
      </c>
      <c r="I309" s="3">
        <v>0</v>
      </c>
      <c r="J309" t="s">
        <v>90</v>
      </c>
      <c r="K309" t="s">
        <v>46</v>
      </c>
      <c r="L309" t="s">
        <v>1129</v>
      </c>
      <c r="M309" t="s">
        <v>65</v>
      </c>
      <c r="N309" t="s">
        <v>112</v>
      </c>
      <c r="O309" t="s">
        <v>142</v>
      </c>
      <c r="P309" t="s">
        <v>51</v>
      </c>
      <c r="Q309" t="s">
        <v>143</v>
      </c>
      <c r="R309" t="s">
        <v>279</v>
      </c>
      <c r="S309" t="s">
        <v>54</v>
      </c>
      <c r="T309" t="s">
        <v>269</v>
      </c>
      <c r="U309" s="5">
        <v>31</v>
      </c>
      <c r="V309" s="5" t="s">
        <v>85</v>
      </c>
      <c r="W309" s="5">
        <v>9</v>
      </c>
      <c r="X309" s="5">
        <v>8</v>
      </c>
      <c r="Y309" s="5">
        <v>1</v>
      </c>
      <c r="Z309" s="5" t="s">
        <v>71</v>
      </c>
      <c r="AA309" s="6">
        <v>73.2</v>
      </c>
      <c r="AB309" s="8">
        <f t="shared" si="52"/>
        <v>120</v>
      </c>
      <c r="AC309" s="8">
        <f t="shared" si="53"/>
        <v>0</v>
      </c>
      <c r="AD309" s="8">
        <f t="shared" si="54"/>
        <v>120</v>
      </c>
      <c r="AE309" s="8">
        <f t="shared" si="55"/>
        <v>73.2</v>
      </c>
      <c r="AF309" s="8">
        <f t="shared" si="56"/>
        <v>46.8</v>
      </c>
      <c r="AG309" s="9">
        <f t="shared" si="57"/>
        <v>0.38999999999999996</v>
      </c>
      <c r="AH309" s="10">
        <f t="shared" si="58"/>
        <v>2025</v>
      </c>
      <c r="AI309" s="10">
        <f t="shared" si="59"/>
        <v>12</v>
      </c>
      <c r="AJ309" s="10" t="str">
        <f t="shared" si="60"/>
        <v>2025-12</v>
      </c>
      <c r="AK309" s="10" t="str">
        <f t="shared" si="61"/>
        <v>T4</v>
      </c>
      <c r="AL309" s="10" t="str">
        <f t="shared" si="62"/>
        <v>30-39</v>
      </c>
      <c r="AM309" s="10" t="str">
        <f t="shared" si="63"/>
        <v>bon</v>
      </c>
      <c r="AN309" s="10" t="s">
        <v>2838</v>
      </c>
      <c r="AO309" s="10" t="str">
        <f t="shared" si="64"/>
        <v>Faible</v>
      </c>
    </row>
    <row r="310" spans="1:41">
      <c r="A310" t="s">
        <v>1130</v>
      </c>
      <c r="B310" s="2">
        <v>45711</v>
      </c>
      <c r="C310" t="s">
        <v>1131</v>
      </c>
      <c r="D310" t="s">
        <v>97</v>
      </c>
      <c r="E310" t="s">
        <v>163</v>
      </c>
      <c r="F310" t="s">
        <v>429</v>
      </c>
      <c r="G310">
        <v>2</v>
      </c>
      <c r="H310" s="4">
        <v>520</v>
      </c>
      <c r="I310" s="3">
        <v>0.1</v>
      </c>
      <c r="J310" t="s">
        <v>63</v>
      </c>
      <c r="K310" t="s">
        <v>46</v>
      </c>
      <c r="L310" t="s">
        <v>1132</v>
      </c>
      <c r="M310" t="s">
        <v>48</v>
      </c>
      <c r="N310" t="s">
        <v>80</v>
      </c>
      <c r="O310" t="s">
        <v>102</v>
      </c>
      <c r="P310" t="s">
        <v>103</v>
      </c>
      <c r="Q310" t="s">
        <v>52</v>
      </c>
      <c r="R310" t="s">
        <v>167</v>
      </c>
      <c r="S310" t="s">
        <v>123</v>
      </c>
      <c r="T310" t="s">
        <v>431</v>
      </c>
      <c r="U310" s="5">
        <v>28</v>
      </c>
      <c r="V310" s="5" t="s">
        <v>56</v>
      </c>
      <c r="W310" s="5">
        <v>34</v>
      </c>
      <c r="X310" s="5">
        <v>8</v>
      </c>
      <c r="Y310" s="5">
        <v>1</v>
      </c>
      <c r="Z310" s="5" t="s">
        <v>57</v>
      </c>
      <c r="AA310" s="6">
        <v>348.4</v>
      </c>
      <c r="AB310" s="8">
        <f t="shared" si="52"/>
        <v>1040</v>
      </c>
      <c r="AC310" s="8">
        <f t="shared" si="53"/>
        <v>104</v>
      </c>
      <c r="AD310" s="8">
        <f t="shared" si="54"/>
        <v>936</v>
      </c>
      <c r="AE310" s="8">
        <f t="shared" si="55"/>
        <v>696.8</v>
      </c>
      <c r="AF310" s="8">
        <f t="shared" si="56"/>
        <v>239.20000000000005</v>
      </c>
      <c r="AG310" s="9">
        <f t="shared" si="57"/>
        <v>0.25555555555555559</v>
      </c>
      <c r="AH310" s="10">
        <f t="shared" si="58"/>
        <v>2025</v>
      </c>
      <c r="AI310" s="10">
        <f t="shared" si="59"/>
        <v>2</v>
      </c>
      <c r="AJ310" s="10" t="str">
        <f t="shared" si="60"/>
        <v>2025-02</v>
      </c>
      <c r="AK310" s="10" t="str">
        <f t="shared" si="61"/>
        <v>T1</v>
      </c>
      <c r="AL310" s="10" t="str">
        <f t="shared" si="62"/>
        <v>22-29</v>
      </c>
      <c r="AM310" s="10" t="str">
        <f t="shared" si="63"/>
        <v>bon</v>
      </c>
      <c r="AN310" s="10" t="s">
        <v>2838</v>
      </c>
      <c r="AO310" s="10" t="str">
        <f t="shared" si="64"/>
        <v>Moyenne</v>
      </c>
    </row>
    <row r="311" spans="1:41">
      <c r="A311" t="s">
        <v>1133</v>
      </c>
      <c r="B311" s="2">
        <v>45752</v>
      </c>
      <c r="C311" t="s">
        <v>1134</v>
      </c>
      <c r="D311" t="s">
        <v>74</v>
      </c>
      <c r="E311" t="s">
        <v>226</v>
      </c>
      <c r="F311" t="s">
        <v>676</v>
      </c>
      <c r="G311">
        <v>5</v>
      </c>
      <c r="H311" s="4">
        <v>95</v>
      </c>
      <c r="I311" s="3">
        <v>0.1</v>
      </c>
      <c r="J311" t="s">
        <v>77</v>
      </c>
      <c r="K311" t="s">
        <v>46</v>
      </c>
      <c r="L311" t="s">
        <v>1135</v>
      </c>
      <c r="M311" t="s">
        <v>79</v>
      </c>
      <c r="N311" t="s">
        <v>112</v>
      </c>
      <c r="O311" t="s">
        <v>81</v>
      </c>
      <c r="P311" t="s">
        <v>82</v>
      </c>
      <c r="Q311" t="s">
        <v>52</v>
      </c>
      <c r="R311" t="s">
        <v>229</v>
      </c>
      <c r="S311" t="s">
        <v>48</v>
      </c>
      <c r="T311" t="s">
        <v>678</v>
      </c>
      <c r="U311" s="5">
        <v>33</v>
      </c>
      <c r="V311" s="5" t="s">
        <v>85</v>
      </c>
      <c r="W311" s="5">
        <v>17</v>
      </c>
      <c r="X311" s="5">
        <v>9.1</v>
      </c>
      <c r="Y311" s="5">
        <v>1</v>
      </c>
      <c r="Z311" s="5" t="s">
        <v>94</v>
      </c>
      <c r="AA311" s="6">
        <v>70.3</v>
      </c>
      <c r="AB311" s="8">
        <f t="shared" si="52"/>
        <v>475</v>
      </c>
      <c r="AC311" s="8">
        <f t="shared" si="53"/>
        <v>47.5</v>
      </c>
      <c r="AD311" s="8">
        <f t="shared" si="54"/>
        <v>427.5</v>
      </c>
      <c r="AE311" s="8">
        <f t="shared" si="55"/>
        <v>351.5</v>
      </c>
      <c r="AF311" s="8">
        <f t="shared" si="56"/>
        <v>76</v>
      </c>
      <c r="AG311" s="9">
        <f t="shared" si="57"/>
        <v>0.17777777777777778</v>
      </c>
      <c r="AH311" s="10">
        <f t="shared" si="58"/>
        <v>2025</v>
      </c>
      <c r="AI311" s="10">
        <f t="shared" si="59"/>
        <v>4</v>
      </c>
      <c r="AJ311" s="10" t="str">
        <f t="shared" si="60"/>
        <v>2025-04</v>
      </c>
      <c r="AK311" s="10" t="str">
        <f t="shared" si="61"/>
        <v>T2</v>
      </c>
      <c r="AL311" s="10" t="str">
        <f t="shared" si="62"/>
        <v>30-39</v>
      </c>
      <c r="AM311" s="10" t="str">
        <f t="shared" si="63"/>
        <v>excellent</v>
      </c>
      <c r="AN311" s="10" t="s">
        <v>2838</v>
      </c>
      <c r="AO311" s="10" t="str">
        <f t="shared" si="64"/>
        <v>Faible</v>
      </c>
    </row>
    <row r="312" spans="1:41">
      <c r="A312" t="s">
        <v>1136</v>
      </c>
      <c r="B312" s="2">
        <v>45983</v>
      </c>
      <c r="C312" t="s">
        <v>1137</v>
      </c>
      <c r="D312" t="s">
        <v>97</v>
      </c>
      <c r="E312" t="s">
        <v>129</v>
      </c>
      <c r="F312" t="s">
        <v>813</v>
      </c>
      <c r="G312">
        <v>1</v>
      </c>
      <c r="H312" s="4">
        <v>520</v>
      </c>
      <c r="I312" s="3">
        <v>0</v>
      </c>
      <c r="J312" t="s">
        <v>45</v>
      </c>
      <c r="K312" t="s">
        <v>46</v>
      </c>
      <c r="L312" t="s">
        <v>1138</v>
      </c>
      <c r="M312" t="s">
        <v>65</v>
      </c>
      <c r="N312" t="s">
        <v>101</v>
      </c>
      <c r="O312" t="s">
        <v>102</v>
      </c>
      <c r="P312" t="s">
        <v>103</v>
      </c>
      <c r="Q312" t="s">
        <v>52</v>
      </c>
      <c r="R312" t="s">
        <v>134</v>
      </c>
      <c r="S312" t="s">
        <v>123</v>
      </c>
      <c r="T312" t="s">
        <v>815</v>
      </c>
      <c r="U312" s="5">
        <v>58</v>
      </c>
      <c r="V312" s="5" t="s">
        <v>56</v>
      </c>
      <c r="W312" s="5">
        <v>68</v>
      </c>
      <c r="X312" s="5">
        <v>8.1999999999999993</v>
      </c>
      <c r="Y312" s="5">
        <v>1</v>
      </c>
      <c r="Z312" s="5" t="s">
        <v>94</v>
      </c>
      <c r="AA312" s="6">
        <v>348.4</v>
      </c>
      <c r="AB312" s="8">
        <f t="shared" si="52"/>
        <v>520</v>
      </c>
      <c r="AC312" s="8">
        <f t="shared" si="53"/>
        <v>0</v>
      </c>
      <c r="AD312" s="8">
        <f t="shared" si="54"/>
        <v>520</v>
      </c>
      <c r="AE312" s="8">
        <f t="shared" si="55"/>
        <v>348.4</v>
      </c>
      <c r="AF312" s="8">
        <f t="shared" si="56"/>
        <v>171.60000000000002</v>
      </c>
      <c r="AG312" s="9">
        <f t="shared" si="57"/>
        <v>0.33000000000000007</v>
      </c>
      <c r="AH312" s="10">
        <f t="shared" si="58"/>
        <v>2025</v>
      </c>
      <c r="AI312" s="10">
        <f t="shared" si="59"/>
        <v>11</v>
      </c>
      <c r="AJ312" s="10" t="str">
        <f t="shared" si="60"/>
        <v>2025-11</v>
      </c>
      <c r="AK312" s="10" t="str">
        <f t="shared" si="61"/>
        <v>T4</v>
      </c>
      <c r="AL312" s="10" t="str">
        <f t="shared" si="62"/>
        <v>50+</v>
      </c>
      <c r="AM312" s="10" t="str">
        <f t="shared" si="63"/>
        <v>bon</v>
      </c>
      <c r="AN312" s="10" t="s">
        <v>2838</v>
      </c>
      <c r="AO312" s="10" t="str">
        <f t="shared" si="64"/>
        <v>Moyenne</v>
      </c>
    </row>
    <row r="313" spans="1:41">
      <c r="A313" t="s">
        <v>1139</v>
      </c>
      <c r="B313" s="2">
        <v>45806</v>
      </c>
      <c r="C313" t="s">
        <v>1140</v>
      </c>
      <c r="D313" t="s">
        <v>272</v>
      </c>
      <c r="E313" t="s">
        <v>277</v>
      </c>
      <c r="F313" t="s">
        <v>350</v>
      </c>
      <c r="G313">
        <v>3</v>
      </c>
      <c r="H313" s="4">
        <v>420</v>
      </c>
      <c r="I313" s="3">
        <v>0.05</v>
      </c>
      <c r="J313" t="s">
        <v>63</v>
      </c>
      <c r="K313" t="s">
        <v>46</v>
      </c>
      <c r="L313" t="s">
        <v>1141</v>
      </c>
      <c r="M313" t="s">
        <v>79</v>
      </c>
      <c r="N313" t="s">
        <v>80</v>
      </c>
      <c r="O313" t="s">
        <v>274</v>
      </c>
      <c r="P313" t="s">
        <v>133</v>
      </c>
      <c r="Q313" t="s">
        <v>114</v>
      </c>
      <c r="R313" t="s">
        <v>279</v>
      </c>
      <c r="S313" t="s">
        <v>54</v>
      </c>
      <c r="T313" t="s">
        <v>352</v>
      </c>
      <c r="U313" s="5">
        <v>27</v>
      </c>
      <c r="V313" s="5" t="s">
        <v>85</v>
      </c>
      <c r="W313" s="5">
        <v>40</v>
      </c>
      <c r="X313" s="5">
        <v>5.3</v>
      </c>
      <c r="Y313" s="5">
        <v>6</v>
      </c>
      <c r="Z313" s="5" t="s">
        <v>71</v>
      </c>
      <c r="AA313" s="6">
        <v>273</v>
      </c>
      <c r="AB313" s="8">
        <f t="shared" si="52"/>
        <v>1260</v>
      </c>
      <c r="AC313" s="8">
        <f t="shared" si="53"/>
        <v>63</v>
      </c>
      <c r="AD313" s="8">
        <f t="shared" si="54"/>
        <v>1197</v>
      </c>
      <c r="AE313" s="8">
        <f t="shared" si="55"/>
        <v>819</v>
      </c>
      <c r="AF313" s="8">
        <f t="shared" si="56"/>
        <v>378</v>
      </c>
      <c r="AG313" s="9">
        <f t="shared" si="57"/>
        <v>0.31578947368421051</v>
      </c>
      <c r="AH313" s="10">
        <f t="shared" si="58"/>
        <v>2025</v>
      </c>
      <c r="AI313" s="10">
        <f t="shared" si="59"/>
        <v>5</v>
      </c>
      <c r="AJ313" s="10" t="str">
        <f t="shared" si="60"/>
        <v>2025-05</v>
      </c>
      <c r="AK313" s="10" t="str">
        <f t="shared" si="61"/>
        <v>T2</v>
      </c>
      <c r="AL313" s="10" t="str">
        <f t="shared" si="62"/>
        <v>22-29</v>
      </c>
      <c r="AM313" s="10" t="str">
        <f t="shared" si="63"/>
        <v>moyen</v>
      </c>
      <c r="AN313" s="10" t="s">
        <v>2839</v>
      </c>
      <c r="AO313" s="10" t="str">
        <f t="shared" si="64"/>
        <v>Elevée</v>
      </c>
    </row>
    <row r="314" spans="1:41">
      <c r="A314" t="s">
        <v>1142</v>
      </c>
      <c r="B314" s="2">
        <v>45712</v>
      </c>
      <c r="C314" t="s">
        <v>1143</v>
      </c>
      <c r="D314" t="s">
        <v>148</v>
      </c>
      <c r="E314" t="s">
        <v>226</v>
      </c>
      <c r="F314" t="s">
        <v>182</v>
      </c>
      <c r="G314">
        <v>2</v>
      </c>
      <c r="H314" s="4">
        <v>110</v>
      </c>
      <c r="I314" s="3">
        <v>0.1</v>
      </c>
      <c r="J314" t="s">
        <v>63</v>
      </c>
      <c r="K314" t="s">
        <v>46</v>
      </c>
      <c r="L314" t="s">
        <v>1144</v>
      </c>
      <c r="M314" t="s">
        <v>54</v>
      </c>
      <c r="N314" t="s">
        <v>49</v>
      </c>
      <c r="O314" t="s">
        <v>151</v>
      </c>
      <c r="P314" t="s">
        <v>103</v>
      </c>
      <c r="Q314" t="s">
        <v>114</v>
      </c>
      <c r="R314" t="s">
        <v>229</v>
      </c>
      <c r="S314" t="s">
        <v>48</v>
      </c>
      <c r="T314" t="s">
        <v>185</v>
      </c>
      <c r="U314" s="5">
        <v>47</v>
      </c>
      <c r="V314" s="5" t="s">
        <v>85</v>
      </c>
      <c r="W314" s="5">
        <v>14</v>
      </c>
      <c r="X314" s="5">
        <v>3.3</v>
      </c>
      <c r="Y314" s="5">
        <v>9</v>
      </c>
      <c r="Z314" s="5" t="s">
        <v>94</v>
      </c>
      <c r="AA314" s="6">
        <v>72.599999999999994</v>
      </c>
      <c r="AB314" s="8">
        <f t="shared" si="52"/>
        <v>220</v>
      </c>
      <c r="AC314" s="8">
        <f t="shared" si="53"/>
        <v>22</v>
      </c>
      <c r="AD314" s="8">
        <f t="shared" si="54"/>
        <v>198</v>
      </c>
      <c r="AE314" s="8">
        <f t="shared" si="55"/>
        <v>145.19999999999999</v>
      </c>
      <c r="AF314" s="8">
        <f t="shared" si="56"/>
        <v>52.800000000000011</v>
      </c>
      <c r="AG314" s="9">
        <f t="shared" si="57"/>
        <v>0.26666666666666672</v>
      </c>
      <c r="AH314" s="10">
        <f t="shared" si="58"/>
        <v>2025</v>
      </c>
      <c r="AI314" s="10">
        <f t="shared" si="59"/>
        <v>2</v>
      </c>
      <c r="AJ314" s="10" t="str">
        <f t="shared" si="60"/>
        <v>2025-02</v>
      </c>
      <c r="AK314" s="10" t="str">
        <f t="shared" si="61"/>
        <v>T1</v>
      </c>
      <c r="AL314" s="10" t="str">
        <f t="shared" si="62"/>
        <v>40-49</v>
      </c>
      <c r="AM314" s="10" t="str">
        <f t="shared" si="63"/>
        <v>faible</v>
      </c>
      <c r="AN314" s="10" t="s">
        <v>2837</v>
      </c>
      <c r="AO314" s="10" t="str">
        <f t="shared" si="64"/>
        <v>Faible</v>
      </c>
    </row>
    <row r="315" spans="1:41">
      <c r="A315" t="s">
        <v>1145</v>
      </c>
      <c r="B315" s="2">
        <v>45857</v>
      </c>
      <c r="C315" t="s">
        <v>1146</v>
      </c>
      <c r="D315" t="s">
        <v>155</v>
      </c>
      <c r="E315" t="s">
        <v>345</v>
      </c>
      <c r="F315" t="s">
        <v>44</v>
      </c>
      <c r="G315">
        <v>1</v>
      </c>
      <c r="H315" s="4">
        <v>48</v>
      </c>
      <c r="I315" s="3">
        <v>0</v>
      </c>
      <c r="J315" t="s">
        <v>90</v>
      </c>
      <c r="K315" t="s">
        <v>46</v>
      </c>
      <c r="L315" t="s">
        <v>1147</v>
      </c>
      <c r="M315" t="s">
        <v>54</v>
      </c>
      <c r="N315" t="s">
        <v>49</v>
      </c>
      <c r="O315" t="s">
        <v>158</v>
      </c>
      <c r="P315" t="s">
        <v>51</v>
      </c>
      <c r="Q315" t="s">
        <v>143</v>
      </c>
      <c r="R315" t="s">
        <v>347</v>
      </c>
      <c r="S315" t="s">
        <v>54</v>
      </c>
      <c r="T315" t="s">
        <v>55</v>
      </c>
      <c r="U315" s="5">
        <v>23</v>
      </c>
      <c r="V315" s="5" t="s">
        <v>56</v>
      </c>
      <c r="W315" s="5">
        <v>37</v>
      </c>
      <c r="X315" s="5">
        <v>4.2</v>
      </c>
      <c r="Y315" s="5">
        <v>8</v>
      </c>
      <c r="Z315" s="5" t="s">
        <v>117</v>
      </c>
      <c r="AA315" s="6">
        <v>37.44</v>
      </c>
      <c r="AB315" s="8">
        <f t="shared" si="52"/>
        <v>48</v>
      </c>
      <c r="AC315" s="8">
        <f t="shared" si="53"/>
        <v>0</v>
      </c>
      <c r="AD315" s="8">
        <f t="shared" si="54"/>
        <v>48</v>
      </c>
      <c r="AE315" s="8">
        <f t="shared" si="55"/>
        <v>37.44</v>
      </c>
      <c r="AF315" s="8">
        <f t="shared" si="56"/>
        <v>10.560000000000002</v>
      </c>
      <c r="AG315" s="9">
        <f t="shared" si="57"/>
        <v>0.22000000000000006</v>
      </c>
      <c r="AH315" s="10">
        <f t="shared" si="58"/>
        <v>2025</v>
      </c>
      <c r="AI315" s="10">
        <f t="shared" si="59"/>
        <v>7</v>
      </c>
      <c r="AJ315" s="10" t="str">
        <f t="shared" si="60"/>
        <v>2025-07</v>
      </c>
      <c r="AK315" s="10" t="str">
        <f t="shared" si="61"/>
        <v>T3</v>
      </c>
      <c r="AL315" s="10" t="str">
        <f t="shared" si="62"/>
        <v>22-29</v>
      </c>
      <c r="AM315" s="10" t="str">
        <f t="shared" si="63"/>
        <v>faible</v>
      </c>
      <c r="AN315" s="10" t="s">
        <v>2837</v>
      </c>
      <c r="AO315" s="10" t="str">
        <f t="shared" si="64"/>
        <v>Faible</v>
      </c>
    </row>
    <row r="316" spans="1:41">
      <c r="A316" t="s">
        <v>1148</v>
      </c>
      <c r="B316" s="2">
        <v>45897</v>
      </c>
      <c r="C316" t="s">
        <v>1149</v>
      </c>
      <c r="D316" t="s">
        <v>188</v>
      </c>
      <c r="E316" t="s">
        <v>315</v>
      </c>
      <c r="F316" t="s">
        <v>248</v>
      </c>
      <c r="G316">
        <v>5</v>
      </c>
      <c r="H316" s="4">
        <v>350</v>
      </c>
      <c r="I316" s="3">
        <v>0.02</v>
      </c>
      <c r="J316" t="s">
        <v>77</v>
      </c>
      <c r="K316" t="s">
        <v>46</v>
      </c>
      <c r="L316" t="s">
        <v>1150</v>
      </c>
      <c r="M316" t="s">
        <v>65</v>
      </c>
      <c r="N316" t="s">
        <v>255</v>
      </c>
      <c r="O316" t="s">
        <v>192</v>
      </c>
      <c r="P316" t="s">
        <v>51</v>
      </c>
      <c r="Q316" t="s">
        <v>114</v>
      </c>
      <c r="R316" t="s">
        <v>317</v>
      </c>
      <c r="S316" t="s">
        <v>69</v>
      </c>
      <c r="T316" t="s">
        <v>250</v>
      </c>
      <c r="U316" s="5">
        <v>48</v>
      </c>
      <c r="V316" s="5" t="s">
        <v>56</v>
      </c>
      <c r="W316" s="5">
        <v>54</v>
      </c>
      <c r="X316" s="5">
        <v>6.2</v>
      </c>
      <c r="Y316" s="5">
        <v>4</v>
      </c>
      <c r="Z316" s="5" t="s">
        <v>71</v>
      </c>
      <c r="AA316" s="6">
        <v>213.5</v>
      </c>
      <c r="AB316" s="8">
        <f t="shared" si="52"/>
        <v>1750</v>
      </c>
      <c r="AC316" s="8">
        <f t="shared" si="53"/>
        <v>35</v>
      </c>
      <c r="AD316" s="8">
        <f t="shared" si="54"/>
        <v>1715</v>
      </c>
      <c r="AE316" s="8">
        <f t="shared" si="55"/>
        <v>1067.5</v>
      </c>
      <c r="AF316" s="8">
        <f t="shared" si="56"/>
        <v>647.5</v>
      </c>
      <c r="AG316" s="9">
        <f t="shared" si="57"/>
        <v>0.37755102040816324</v>
      </c>
      <c r="AH316" s="10">
        <f t="shared" si="58"/>
        <v>2025</v>
      </c>
      <c r="AI316" s="10">
        <f t="shared" si="59"/>
        <v>8</v>
      </c>
      <c r="AJ316" s="10" t="str">
        <f t="shared" si="60"/>
        <v>2025-08</v>
      </c>
      <c r="AK316" s="10" t="str">
        <f t="shared" si="61"/>
        <v>T3</v>
      </c>
      <c r="AL316" s="10" t="str">
        <f t="shared" si="62"/>
        <v>40-49</v>
      </c>
      <c r="AM316" s="10" t="str">
        <f t="shared" si="63"/>
        <v>moyen</v>
      </c>
      <c r="AN316" s="10" t="s">
        <v>2839</v>
      </c>
      <c r="AO316" s="10" t="str">
        <f t="shared" si="64"/>
        <v>Elevée</v>
      </c>
    </row>
    <row r="317" spans="1:41">
      <c r="A317" t="s">
        <v>1151</v>
      </c>
      <c r="B317" s="2">
        <v>45915</v>
      </c>
      <c r="C317" t="s">
        <v>890</v>
      </c>
      <c r="D317" t="s">
        <v>60</v>
      </c>
      <c r="E317" t="s">
        <v>207</v>
      </c>
      <c r="F317" t="s">
        <v>302</v>
      </c>
      <c r="G317">
        <v>1</v>
      </c>
      <c r="H317" s="4">
        <v>180</v>
      </c>
      <c r="I317" s="3">
        <v>0.08</v>
      </c>
      <c r="J317" t="s">
        <v>63</v>
      </c>
      <c r="K317" t="s">
        <v>46</v>
      </c>
      <c r="L317" t="s">
        <v>891</v>
      </c>
      <c r="M317" t="s">
        <v>123</v>
      </c>
      <c r="N317" t="s">
        <v>49</v>
      </c>
      <c r="O317" t="s">
        <v>66</v>
      </c>
      <c r="P317" t="s">
        <v>67</v>
      </c>
      <c r="Q317" t="s">
        <v>52</v>
      </c>
      <c r="R317" t="s">
        <v>210</v>
      </c>
      <c r="S317" t="s">
        <v>79</v>
      </c>
      <c r="T317" t="s">
        <v>304</v>
      </c>
      <c r="U317" s="5">
        <v>57</v>
      </c>
      <c r="V317" s="5" t="s">
        <v>85</v>
      </c>
      <c r="W317" s="5">
        <v>10</v>
      </c>
      <c r="X317" s="5">
        <v>8.1</v>
      </c>
      <c r="Y317" s="5">
        <v>2</v>
      </c>
      <c r="Z317" s="5" t="s">
        <v>71</v>
      </c>
      <c r="AA317" s="6">
        <v>129.6</v>
      </c>
      <c r="AB317" s="8">
        <f t="shared" si="52"/>
        <v>180</v>
      </c>
      <c r="AC317" s="8">
        <f t="shared" si="53"/>
        <v>14.4</v>
      </c>
      <c r="AD317" s="8">
        <f t="shared" si="54"/>
        <v>165.6</v>
      </c>
      <c r="AE317" s="8">
        <f t="shared" si="55"/>
        <v>129.6</v>
      </c>
      <c r="AF317" s="8">
        <f t="shared" si="56"/>
        <v>36</v>
      </c>
      <c r="AG317" s="9">
        <f t="shared" si="57"/>
        <v>0.21739130434782608</v>
      </c>
      <c r="AH317" s="10">
        <f t="shared" si="58"/>
        <v>2025</v>
      </c>
      <c r="AI317" s="10">
        <f t="shared" si="59"/>
        <v>9</v>
      </c>
      <c r="AJ317" s="10" t="str">
        <f t="shared" si="60"/>
        <v>2025-09</v>
      </c>
      <c r="AK317" s="10" t="str">
        <f t="shared" si="61"/>
        <v>T3</v>
      </c>
      <c r="AL317" s="10" t="str">
        <f t="shared" si="62"/>
        <v>50+</v>
      </c>
      <c r="AM317" s="10" t="str">
        <f t="shared" si="63"/>
        <v>bon</v>
      </c>
      <c r="AN317" s="10" t="s">
        <v>2838</v>
      </c>
      <c r="AO317" s="10" t="str">
        <f t="shared" si="64"/>
        <v>Faible</v>
      </c>
    </row>
    <row r="318" spans="1:41">
      <c r="A318" t="s">
        <v>1152</v>
      </c>
      <c r="B318" s="2">
        <v>45946</v>
      </c>
      <c r="C318" t="s">
        <v>1153</v>
      </c>
      <c r="D318" t="s">
        <v>42</v>
      </c>
      <c r="E318" t="s">
        <v>315</v>
      </c>
      <c r="F318" t="s">
        <v>292</v>
      </c>
      <c r="G318">
        <v>2</v>
      </c>
      <c r="H318" s="4">
        <v>260</v>
      </c>
      <c r="I318" s="3">
        <v>0.08</v>
      </c>
      <c r="J318" t="s">
        <v>45</v>
      </c>
      <c r="K318" t="s">
        <v>46</v>
      </c>
      <c r="L318" t="s">
        <v>1154</v>
      </c>
      <c r="M318" t="s">
        <v>54</v>
      </c>
      <c r="N318" t="s">
        <v>49</v>
      </c>
      <c r="O318" t="s">
        <v>50</v>
      </c>
      <c r="P318" t="s">
        <v>51</v>
      </c>
      <c r="Q318" t="s">
        <v>52</v>
      </c>
      <c r="R318" t="s">
        <v>317</v>
      </c>
      <c r="S318" t="s">
        <v>69</v>
      </c>
      <c r="T318" t="s">
        <v>294</v>
      </c>
      <c r="U318" s="5">
        <v>35</v>
      </c>
      <c r="V318" s="5" t="s">
        <v>85</v>
      </c>
      <c r="W318" s="5">
        <v>51</v>
      </c>
      <c r="X318" s="5">
        <v>4.3</v>
      </c>
      <c r="Y318" s="5">
        <v>9</v>
      </c>
      <c r="Z318" s="5" t="s">
        <v>57</v>
      </c>
      <c r="AA318" s="6">
        <v>189.8</v>
      </c>
      <c r="AB318" s="8">
        <f t="shared" si="52"/>
        <v>520</v>
      </c>
      <c r="AC318" s="8">
        <f t="shared" si="53"/>
        <v>41.6</v>
      </c>
      <c r="AD318" s="8">
        <f t="shared" si="54"/>
        <v>478.4</v>
      </c>
      <c r="AE318" s="8">
        <f t="shared" si="55"/>
        <v>379.6</v>
      </c>
      <c r="AF318" s="8">
        <f t="shared" si="56"/>
        <v>98.799999999999955</v>
      </c>
      <c r="AG318" s="9">
        <f t="shared" si="57"/>
        <v>0.2065217391304347</v>
      </c>
      <c r="AH318" s="10">
        <f t="shared" si="58"/>
        <v>2025</v>
      </c>
      <c r="AI318" s="10">
        <f t="shared" si="59"/>
        <v>10</v>
      </c>
      <c r="AJ318" s="10" t="str">
        <f t="shared" si="60"/>
        <v>2025-10</v>
      </c>
      <c r="AK318" s="10" t="str">
        <f t="shared" si="61"/>
        <v>T4</v>
      </c>
      <c r="AL318" s="10" t="str">
        <f t="shared" si="62"/>
        <v>30-39</v>
      </c>
      <c r="AM318" s="10" t="str">
        <f t="shared" si="63"/>
        <v>faible</v>
      </c>
      <c r="AN318" s="10" t="s">
        <v>2837</v>
      </c>
      <c r="AO318" s="10" t="str">
        <f t="shared" si="64"/>
        <v>Faible</v>
      </c>
    </row>
    <row r="319" spans="1:41">
      <c r="A319" t="s">
        <v>1155</v>
      </c>
      <c r="B319" s="2">
        <v>45988</v>
      </c>
      <c r="C319" t="s">
        <v>1156</v>
      </c>
      <c r="D319" t="s">
        <v>148</v>
      </c>
      <c r="E319" t="s">
        <v>214</v>
      </c>
      <c r="F319" t="s">
        <v>121</v>
      </c>
      <c r="G319">
        <v>2</v>
      </c>
      <c r="H319" s="4">
        <v>110</v>
      </c>
      <c r="I319" s="3">
        <v>0.02</v>
      </c>
      <c r="J319" t="s">
        <v>45</v>
      </c>
      <c r="K319" t="s">
        <v>46</v>
      </c>
      <c r="L319" t="s">
        <v>1157</v>
      </c>
      <c r="M319" t="s">
        <v>69</v>
      </c>
      <c r="N319" t="s">
        <v>101</v>
      </c>
      <c r="O319" t="s">
        <v>151</v>
      </c>
      <c r="P319" t="s">
        <v>103</v>
      </c>
      <c r="Q319" t="s">
        <v>114</v>
      </c>
      <c r="R319" t="s">
        <v>216</v>
      </c>
      <c r="S319" t="s">
        <v>65</v>
      </c>
      <c r="T319" t="s">
        <v>125</v>
      </c>
      <c r="U319" s="5">
        <v>39</v>
      </c>
      <c r="V319" s="5" t="s">
        <v>56</v>
      </c>
      <c r="W319" s="5">
        <v>49</v>
      </c>
      <c r="X319" s="5">
        <v>7.9</v>
      </c>
      <c r="Y319" s="5">
        <v>3</v>
      </c>
      <c r="Z319" s="5" t="s">
        <v>57</v>
      </c>
      <c r="AA319" s="6">
        <v>72.599999999999994</v>
      </c>
      <c r="AB319" s="8">
        <f t="shared" si="52"/>
        <v>220</v>
      </c>
      <c r="AC319" s="8">
        <f t="shared" si="53"/>
        <v>4.4000000000000004</v>
      </c>
      <c r="AD319" s="8">
        <f t="shared" si="54"/>
        <v>215.6</v>
      </c>
      <c r="AE319" s="8">
        <f t="shared" si="55"/>
        <v>145.19999999999999</v>
      </c>
      <c r="AF319" s="8">
        <f t="shared" si="56"/>
        <v>70.400000000000006</v>
      </c>
      <c r="AG319" s="9">
        <f t="shared" si="57"/>
        <v>0.32653061224489799</v>
      </c>
      <c r="AH319" s="10">
        <f t="shared" si="58"/>
        <v>2025</v>
      </c>
      <c r="AI319" s="10">
        <f t="shared" si="59"/>
        <v>11</v>
      </c>
      <c r="AJ319" s="10" t="str">
        <f t="shared" si="60"/>
        <v>2025-11</v>
      </c>
      <c r="AK319" s="10" t="str">
        <f t="shared" si="61"/>
        <v>T4</v>
      </c>
      <c r="AL319" s="10" t="str">
        <f t="shared" si="62"/>
        <v>30-39</v>
      </c>
      <c r="AM319" s="10" t="str">
        <f t="shared" si="63"/>
        <v>bon</v>
      </c>
      <c r="AN319" s="10" t="s">
        <v>2838</v>
      </c>
      <c r="AO319" s="10" t="str">
        <f t="shared" si="64"/>
        <v>Faible</v>
      </c>
    </row>
    <row r="320" spans="1:41">
      <c r="A320" t="s">
        <v>1158</v>
      </c>
      <c r="B320" s="2">
        <v>45823</v>
      </c>
      <c r="C320" t="s">
        <v>1159</v>
      </c>
      <c r="D320" t="s">
        <v>340</v>
      </c>
      <c r="E320" t="s">
        <v>98</v>
      </c>
      <c r="F320" t="s">
        <v>182</v>
      </c>
      <c r="G320">
        <v>3</v>
      </c>
      <c r="H320" s="4">
        <v>22</v>
      </c>
      <c r="I320" s="3">
        <v>0.05</v>
      </c>
      <c r="J320" t="s">
        <v>77</v>
      </c>
      <c r="K320" t="s">
        <v>46</v>
      </c>
      <c r="L320" t="s">
        <v>1160</v>
      </c>
      <c r="M320" t="s">
        <v>69</v>
      </c>
      <c r="N320" t="s">
        <v>101</v>
      </c>
      <c r="O320" t="s">
        <v>342</v>
      </c>
      <c r="P320" t="s">
        <v>103</v>
      </c>
      <c r="Q320" t="s">
        <v>143</v>
      </c>
      <c r="R320" t="s">
        <v>104</v>
      </c>
      <c r="S320" t="s">
        <v>79</v>
      </c>
      <c r="T320" t="s">
        <v>185</v>
      </c>
      <c r="U320" s="5">
        <v>25</v>
      </c>
      <c r="V320" s="5" t="s">
        <v>56</v>
      </c>
      <c r="W320" s="5">
        <v>67</v>
      </c>
      <c r="X320" s="5">
        <v>7.3</v>
      </c>
      <c r="Y320" s="5">
        <v>3</v>
      </c>
      <c r="Z320" s="5" t="s">
        <v>117</v>
      </c>
      <c r="AA320" s="6">
        <v>14.96</v>
      </c>
      <c r="AB320" s="8">
        <f t="shared" si="52"/>
        <v>66</v>
      </c>
      <c r="AC320" s="8">
        <f t="shared" si="53"/>
        <v>3.3000000000000003</v>
      </c>
      <c r="AD320" s="8">
        <f t="shared" si="54"/>
        <v>62.7</v>
      </c>
      <c r="AE320" s="8">
        <f t="shared" si="55"/>
        <v>44.88</v>
      </c>
      <c r="AF320" s="8">
        <f t="shared" si="56"/>
        <v>17.82</v>
      </c>
      <c r="AG320" s="9">
        <f t="shared" si="57"/>
        <v>0.28421052631578947</v>
      </c>
      <c r="AH320" s="10">
        <f t="shared" si="58"/>
        <v>2025</v>
      </c>
      <c r="AI320" s="10">
        <f t="shared" si="59"/>
        <v>6</v>
      </c>
      <c r="AJ320" s="10" t="str">
        <f t="shared" si="60"/>
        <v>2025-06</v>
      </c>
      <c r="AK320" s="10" t="str">
        <f t="shared" si="61"/>
        <v>T2</v>
      </c>
      <c r="AL320" s="10" t="str">
        <f t="shared" si="62"/>
        <v>22-29</v>
      </c>
      <c r="AM320" s="10" t="str">
        <f t="shared" si="63"/>
        <v>bon</v>
      </c>
      <c r="AN320" s="10" t="s">
        <v>2838</v>
      </c>
      <c r="AO320" s="10" t="str">
        <f t="shared" si="64"/>
        <v>Faible</v>
      </c>
    </row>
    <row r="321" spans="1:41">
      <c r="A321" t="s">
        <v>1161</v>
      </c>
      <c r="B321" s="2">
        <v>45739</v>
      </c>
      <c r="C321" t="s">
        <v>1162</v>
      </c>
      <c r="D321" t="s">
        <v>174</v>
      </c>
      <c r="E321" t="s">
        <v>219</v>
      </c>
      <c r="F321" t="s">
        <v>287</v>
      </c>
      <c r="G321">
        <v>1</v>
      </c>
      <c r="H321" s="4">
        <v>780</v>
      </c>
      <c r="I321" s="3">
        <v>0.08</v>
      </c>
      <c r="J321" t="s">
        <v>90</v>
      </c>
      <c r="K321" t="s">
        <v>46</v>
      </c>
      <c r="L321" t="s">
        <v>1163</v>
      </c>
      <c r="M321" t="s">
        <v>48</v>
      </c>
      <c r="N321" t="s">
        <v>112</v>
      </c>
      <c r="O321" t="s">
        <v>177</v>
      </c>
      <c r="P321" t="s">
        <v>103</v>
      </c>
      <c r="Q321" t="s">
        <v>114</v>
      </c>
      <c r="R321" t="s">
        <v>222</v>
      </c>
      <c r="S321" t="s">
        <v>123</v>
      </c>
      <c r="T321" t="s">
        <v>289</v>
      </c>
      <c r="U321" s="5">
        <v>30</v>
      </c>
      <c r="V321" s="5" t="s">
        <v>56</v>
      </c>
      <c r="W321" s="5">
        <v>42</v>
      </c>
      <c r="X321" s="5">
        <v>5.8</v>
      </c>
      <c r="Y321" s="5">
        <v>6</v>
      </c>
      <c r="Z321" s="5" t="s">
        <v>94</v>
      </c>
      <c r="AA321" s="6">
        <v>468</v>
      </c>
      <c r="AB321" s="8">
        <f t="shared" si="52"/>
        <v>780</v>
      </c>
      <c r="AC321" s="8">
        <f t="shared" si="53"/>
        <v>62.4</v>
      </c>
      <c r="AD321" s="8">
        <f t="shared" si="54"/>
        <v>717.6</v>
      </c>
      <c r="AE321" s="8">
        <f t="shared" si="55"/>
        <v>468</v>
      </c>
      <c r="AF321" s="8">
        <f t="shared" si="56"/>
        <v>249.60000000000002</v>
      </c>
      <c r="AG321" s="9">
        <f t="shared" si="57"/>
        <v>0.34782608695652178</v>
      </c>
      <c r="AH321" s="10">
        <f t="shared" si="58"/>
        <v>2025</v>
      </c>
      <c r="AI321" s="10">
        <f t="shared" si="59"/>
        <v>3</v>
      </c>
      <c r="AJ321" s="10" t="str">
        <f t="shared" si="60"/>
        <v>2025-03</v>
      </c>
      <c r="AK321" s="10" t="str">
        <f t="shared" si="61"/>
        <v>T1</v>
      </c>
      <c r="AL321" s="10" t="str">
        <f t="shared" si="62"/>
        <v>30-39</v>
      </c>
      <c r="AM321" s="10" t="str">
        <f t="shared" si="63"/>
        <v>moyen</v>
      </c>
      <c r="AN321" s="10" t="s">
        <v>2839</v>
      </c>
      <c r="AO321" s="10" t="str">
        <f t="shared" si="64"/>
        <v>Moyenne</v>
      </c>
    </row>
    <row r="322" spans="1:41">
      <c r="A322" t="s">
        <v>1164</v>
      </c>
      <c r="B322" s="2">
        <v>45779</v>
      </c>
      <c r="C322" t="s">
        <v>1165</v>
      </c>
      <c r="D322" t="s">
        <v>108</v>
      </c>
      <c r="E322" t="s">
        <v>163</v>
      </c>
      <c r="F322" t="s">
        <v>253</v>
      </c>
      <c r="G322">
        <v>1</v>
      </c>
      <c r="H322" s="4">
        <v>240</v>
      </c>
      <c r="I322" s="3">
        <v>0</v>
      </c>
      <c r="J322" t="s">
        <v>63</v>
      </c>
      <c r="K322" t="s">
        <v>46</v>
      </c>
      <c r="L322" t="s">
        <v>1166</v>
      </c>
      <c r="M322" t="s">
        <v>69</v>
      </c>
      <c r="N322" t="s">
        <v>49</v>
      </c>
      <c r="O322" t="s">
        <v>113</v>
      </c>
      <c r="P322" t="s">
        <v>82</v>
      </c>
      <c r="Q322" t="s">
        <v>114</v>
      </c>
      <c r="R322" t="s">
        <v>167</v>
      </c>
      <c r="S322" t="s">
        <v>123</v>
      </c>
      <c r="T322" t="s">
        <v>256</v>
      </c>
      <c r="U322" s="5">
        <v>58</v>
      </c>
      <c r="V322" s="5" t="s">
        <v>56</v>
      </c>
      <c r="W322" s="5">
        <v>49</v>
      </c>
      <c r="X322" s="5">
        <v>7.6</v>
      </c>
      <c r="Y322" s="5">
        <v>2</v>
      </c>
      <c r="Z322" s="5" t="s">
        <v>57</v>
      </c>
      <c r="AA322" s="6">
        <v>177.6</v>
      </c>
      <c r="AB322" s="8">
        <f t="shared" si="52"/>
        <v>240</v>
      </c>
      <c r="AC322" s="8">
        <f t="shared" si="53"/>
        <v>0</v>
      </c>
      <c r="AD322" s="8">
        <f t="shared" si="54"/>
        <v>240</v>
      </c>
      <c r="AE322" s="8">
        <f t="shared" si="55"/>
        <v>177.6</v>
      </c>
      <c r="AF322" s="8">
        <f t="shared" si="56"/>
        <v>62.400000000000006</v>
      </c>
      <c r="AG322" s="9">
        <f t="shared" si="57"/>
        <v>0.26</v>
      </c>
      <c r="AH322" s="10">
        <f t="shared" si="58"/>
        <v>2025</v>
      </c>
      <c r="AI322" s="10">
        <f t="shared" si="59"/>
        <v>5</v>
      </c>
      <c r="AJ322" s="10" t="str">
        <f t="shared" si="60"/>
        <v>2025-05</v>
      </c>
      <c r="AK322" s="10" t="str">
        <f t="shared" si="61"/>
        <v>T2</v>
      </c>
      <c r="AL322" s="10" t="str">
        <f t="shared" si="62"/>
        <v>50+</v>
      </c>
      <c r="AM322" s="10" t="str">
        <f t="shared" si="63"/>
        <v>bon</v>
      </c>
      <c r="AN322" s="10" t="s">
        <v>2838</v>
      </c>
      <c r="AO322" s="10" t="str">
        <f t="shared" si="64"/>
        <v>Faible</v>
      </c>
    </row>
    <row r="323" spans="1:41">
      <c r="A323" t="s">
        <v>1167</v>
      </c>
      <c r="B323" s="2">
        <v>45786</v>
      </c>
      <c r="C323" t="s">
        <v>1168</v>
      </c>
      <c r="D323" t="s">
        <v>174</v>
      </c>
      <c r="E323" t="s">
        <v>219</v>
      </c>
      <c r="F323" t="s">
        <v>267</v>
      </c>
      <c r="G323">
        <v>1</v>
      </c>
      <c r="H323" s="4">
        <v>780</v>
      </c>
      <c r="I323" s="3">
        <v>0.1</v>
      </c>
      <c r="J323" t="s">
        <v>90</v>
      </c>
      <c r="K323" t="s">
        <v>46</v>
      </c>
      <c r="L323" t="s">
        <v>1169</v>
      </c>
      <c r="M323" t="s">
        <v>65</v>
      </c>
      <c r="N323" t="s">
        <v>255</v>
      </c>
      <c r="O323" t="s">
        <v>177</v>
      </c>
      <c r="P323" t="s">
        <v>103</v>
      </c>
      <c r="Q323" t="s">
        <v>114</v>
      </c>
      <c r="R323" t="s">
        <v>222</v>
      </c>
      <c r="S323" t="s">
        <v>123</v>
      </c>
      <c r="T323" t="s">
        <v>269</v>
      </c>
      <c r="U323" s="5">
        <v>37</v>
      </c>
      <c r="V323" s="5" t="s">
        <v>56</v>
      </c>
      <c r="W323" s="5">
        <v>51</v>
      </c>
      <c r="X323" s="5">
        <v>8.6999999999999993</v>
      </c>
      <c r="Y323" s="5">
        <v>2</v>
      </c>
      <c r="Z323" s="5" t="s">
        <v>117</v>
      </c>
      <c r="AA323" s="6">
        <v>468</v>
      </c>
      <c r="AB323" s="8">
        <f t="shared" ref="AB323:AB386" si="65">G323*H323</f>
        <v>780</v>
      </c>
      <c r="AC323" s="8">
        <f t="shared" ref="AC323:AC386" si="66">I323*AB323</f>
        <v>78</v>
      </c>
      <c r="AD323" s="8">
        <f t="shared" ref="AD323:AD386" si="67">AB323-AC323</f>
        <v>702</v>
      </c>
      <c r="AE323" s="8">
        <f t="shared" ref="AE323:AE386" si="68">G323*AA323</f>
        <v>468</v>
      </c>
      <c r="AF323" s="8">
        <f t="shared" ref="AF323:AF386" si="69">AD323-AE323</f>
        <v>234</v>
      </c>
      <c r="AG323" s="9">
        <f t="shared" ref="AG323:AG386" si="70">IFERROR(AF323/AD323,)</f>
        <v>0.33333333333333331</v>
      </c>
      <c r="AH323" s="10">
        <f t="shared" ref="AH323:AH386" si="71">YEAR(B323)</f>
        <v>2025</v>
      </c>
      <c r="AI323" s="10">
        <f t="shared" ref="AI323:AI386" si="72">MONTH(B323)</f>
        <v>5</v>
      </c>
      <c r="AJ323" s="10" t="str">
        <f t="shared" ref="AJ323:AJ386" si="73">TEXT(B323,"yyyy-mm")</f>
        <v>2025-05</v>
      </c>
      <c r="AK323" s="10" t="str">
        <f t="shared" ref="AK323:AK386" si="74">"T"&amp;ROUNDUP(MONTH(B323)/3,0)</f>
        <v>T2</v>
      </c>
      <c r="AL323" s="10" t="str">
        <f t="shared" ref="AL323:AL386" si="75">IF(U323&lt;30,"22-29",IF(U323&lt;40,"30-39",IF(U323&lt;50,"40-49","50+")))</f>
        <v>30-39</v>
      </c>
      <c r="AM323" s="10" t="str">
        <f t="shared" ref="AM323:AM386" si="76">IF(X323&lt;5,"faible",IF(X323&lt;7,"moyen",IF(X323&lt;9,"bon","excellent")))</f>
        <v>bon</v>
      </c>
      <c r="AN323" s="10" t="s">
        <v>2838</v>
      </c>
      <c r="AO323" s="10" t="str">
        <f t="shared" ref="AO323:AO386" si="77">IF(AD323&gt;=1000,"Elevée",IF(AD323&gt;=500,"Moyenne","Faible"))</f>
        <v>Moyenne</v>
      </c>
    </row>
    <row r="324" spans="1:41">
      <c r="A324" t="s">
        <v>1170</v>
      </c>
      <c r="B324" s="2">
        <v>45882</v>
      </c>
      <c r="C324" t="s">
        <v>1171</v>
      </c>
      <c r="D324" t="s">
        <v>181</v>
      </c>
      <c r="E324" t="s">
        <v>109</v>
      </c>
      <c r="F324" t="s">
        <v>164</v>
      </c>
      <c r="G324">
        <v>3</v>
      </c>
      <c r="H324" s="4">
        <v>145</v>
      </c>
      <c r="I324" s="3">
        <v>0</v>
      </c>
      <c r="J324" t="s">
        <v>45</v>
      </c>
      <c r="K324" t="s">
        <v>46</v>
      </c>
      <c r="L324" t="s">
        <v>1172</v>
      </c>
      <c r="M324" t="s">
        <v>65</v>
      </c>
      <c r="N324" t="s">
        <v>80</v>
      </c>
      <c r="O324" t="s">
        <v>184</v>
      </c>
      <c r="P324" t="s">
        <v>103</v>
      </c>
      <c r="Q324" t="s">
        <v>52</v>
      </c>
      <c r="R324" t="s">
        <v>115</v>
      </c>
      <c r="S324" t="s">
        <v>65</v>
      </c>
      <c r="T324" t="s">
        <v>168</v>
      </c>
      <c r="U324" s="5">
        <v>43</v>
      </c>
      <c r="V324" s="5" t="s">
        <v>56</v>
      </c>
      <c r="W324" s="5">
        <v>31</v>
      </c>
      <c r="X324" s="5">
        <v>8.8000000000000007</v>
      </c>
      <c r="Y324" s="5">
        <v>1</v>
      </c>
      <c r="Z324" s="5" t="s">
        <v>57</v>
      </c>
      <c r="AA324" s="6">
        <v>97.15</v>
      </c>
      <c r="AB324" s="8">
        <f t="shared" si="65"/>
        <v>435</v>
      </c>
      <c r="AC324" s="8">
        <f t="shared" si="66"/>
        <v>0</v>
      </c>
      <c r="AD324" s="8">
        <f t="shared" si="67"/>
        <v>435</v>
      </c>
      <c r="AE324" s="8">
        <f t="shared" si="68"/>
        <v>291.45000000000005</v>
      </c>
      <c r="AF324" s="8">
        <f t="shared" si="69"/>
        <v>143.54999999999995</v>
      </c>
      <c r="AG324" s="9">
        <f t="shared" si="70"/>
        <v>0.3299999999999999</v>
      </c>
      <c r="AH324" s="10">
        <f t="shared" si="71"/>
        <v>2025</v>
      </c>
      <c r="AI324" s="10">
        <f t="shared" si="72"/>
        <v>8</v>
      </c>
      <c r="AJ324" s="10" t="str">
        <f t="shared" si="73"/>
        <v>2025-08</v>
      </c>
      <c r="AK324" s="10" t="str">
        <f t="shared" si="74"/>
        <v>T3</v>
      </c>
      <c r="AL324" s="10" t="str">
        <f t="shared" si="75"/>
        <v>40-49</v>
      </c>
      <c r="AM324" s="10" t="str">
        <f t="shared" si="76"/>
        <v>bon</v>
      </c>
      <c r="AN324" s="10" t="s">
        <v>2838</v>
      </c>
      <c r="AO324" s="10" t="str">
        <f t="shared" si="77"/>
        <v>Faible</v>
      </c>
    </row>
    <row r="325" spans="1:41">
      <c r="A325" t="s">
        <v>1173</v>
      </c>
      <c r="B325" s="2">
        <v>45670</v>
      </c>
      <c r="C325" t="s">
        <v>1174</v>
      </c>
      <c r="D325" t="s">
        <v>181</v>
      </c>
      <c r="E325" t="s">
        <v>214</v>
      </c>
      <c r="F325" t="s">
        <v>89</v>
      </c>
      <c r="G325">
        <v>3</v>
      </c>
      <c r="H325" s="4">
        <v>145</v>
      </c>
      <c r="I325" s="3">
        <v>0.08</v>
      </c>
      <c r="J325" t="s">
        <v>90</v>
      </c>
      <c r="K325" t="s">
        <v>46</v>
      </c>
      <c r="L325" t="s">
        <v>1175</v>
      </c>
      <c r="M325" t="s">
        <v>69</v>
      </c>
      <c r="N325" t="s">
        <v>101</v>
      </c>
      <c r="O325" t="s">
        <v>184</v>
      </c>
      <c r="P325" t="s">
        <v>103</v>
      </c>
      <c r="Q325" t="s">
        <v>52</v>
      </c>
      <c r="R325" t="s">
        <v>216</v>
      </c>
      <c r="S325" t="s">
        <v>65</v>
      </c>
      <c r="T325" t="s">
        <v>93</v>
      </c>
      <c r="U325" s="5">
        <v>28</v>
      </c>
      <c r="V325" s="5" t="s">
        <v>85</v>
      </c>
      <c r="W325" s="5">
        <v>18</v>
      </c>
      <c r="X325" s="5">
        <v>5.9</v>
      </c>
      <c r="Y325" s="5">
        <v>5</v>
      </c>
      <c r="Z325" s="5" t="s">
        <v>57</v>
      </c>
      <c r="AA325" s="6">
        <v>97.15</v>
      </c>
      <c r="AB325" s="8">
        <f t="shared" si="65"/>
        <v>435</v>
      </c>
      <c r="AC325" s="8">
        <f t="shared" si="66"/>
        <v>34.800000000000004</v>
      </c>
      <c r="AD325" s="8">
        <f t="shared" si="67"/>
        <v>400.2</v>
      </c>
      <c r="AE325" s="8">
        <f t="shared" si="68"/>
        <v>291.45000000000005</v>
      </c>
      <c r="AF325" s="8">
        <f t="shared" si="69"/>
        <v>108.74999999999994</v>
      </c>
      <c r="AG325" s="9">
        <f t="shared" si="70"/>
        <v>0.27173913043478248</v>
      </c>
      <c r="AH325" s="10">
        <f t="shared" si="71"/>
        <v>2025</v>
      </c>
      <c r="AI325" s="10">
        <f t="shared" si="72"/>
        <v>1</v>
      </c>
      <c r="AJ325" s="10" t="str">
        <f t="shared" si="73"/>
        <v>2025-01</v>
      </c>
      <c r="AK325" s="10" t="str">
        <f t="shared" si="74"/>
        <v>T1</v>
      </c>
      <c r="AL325" s="10" t="str">
        <f t="shared" si="75"/>
        <v>22-29</v>
      </c>
      <c r="AM325" s="10" t="str">
        <f t="shared" si="76"/>
        <v>moyen</v>
      </c>
      <c r="AN325" s="10" t="s">
        <v>2839</v>
      </c>
      <c r="AO325" s="10" t="str">
        <f t="shared" si="77"/>
        <v>Faible</v>
      </c>
    </row>
    <row r="326" spans="1:41">
      <c r="A326" t="s">
        <v>1176</v>
      </c>
      <c r="B326" s="2">
        <v>45866</v>
      </c>
      <c r="C326" t="s">
        <v>1177</v>
      </c>
      <c r="D326" t="s">
        <v>138</v>
      </c>
      <c r="E326" t="s">
        <v>315</v>
      </c>
      <c r="F326" t="s">
        <v>253</v>
      </c>
      <c r="G326">
        <v>3</v>
      </c>
      <c r="H326" s="4">
        <v>120</v>
      </c>
      <c r="I326" s="3">
        <v>0.1</v>
      </c>
      <c r="J326" t="s">
        <v>90</v>
      </c>
      <c r="K326" t="s">
        <v>46</v>
      </c>
      <c r="L326" t="s">
        <v>1178</v>
      </c>
      <c r="M326" t="s">
        <v>69</v>
      </c>
      <c r="N326" t="s">
        <v>80</v>
      </c>
      <c r="O326" t="s">
        <v>142</v>
      </c>
      <c r="P326" t="s">
        <v>51</v>
      </c>
      <c r="Q326" t="s">
        <v>143</v>
      </c>
      <c r="R326" t="s">
        <v>317</v>
      </c>
      <c r="S326" t="s">
        <v>69</v>
      </c>
      <c r="T326" t="s">
        <v>256</v>
      </c>
      <c r="U326" s="5">
        <v>45</v>
      </c>
      <c r="V326" s="5" t="s">
        <v>85</v>
      </c>
      <c r="W326" s="5">
        <v>67</v>
      </c>
      <c r="X326" s="5">
        <v>4.0999999999999996</v>
      </c>
      <c r="Y326" s="5">
        <v>7</v>
      </c>
      <c r="Z326" s="5" t="s">
        <v>94</v>
      </c>
      <c r="AA326" s="6">
        <v>73.2</v>
      </c>
      <c r="AB326" s="8">
        <f t="shared" si="65"/>
        <v>360</v>
      </c>
      <c r="AC326" s="8">
        <f t="shared" si="66"/>
        <v>36</v>
      </c>
      <c r="AD326" s="8">
        <f t="shared" si="67"/>
        <v>324</v>
      </c>
      <c r="AE326" s="8">
        <f t="shared" si="68"/>
        <v>219.60000000000002</v>
      </c>
      <c r="AF326" s="8">
        <f t="shared" si="69"/>
        <v>104.39999999999998</v>
      </c>
      <c r="AG326" s="9">
        <f t="shared" si="70"/>
        <v>0.32222222222222213</v>
      </c>
      <c r="AH326" s="10">
        <f t="shared" si="71"/>
        <v>2025</v>
      </c>
      <c r="AI326" s="10">
        <f t="shared" si="72"/>
        <v>7</v>
      </c>
      <c r="AJ326" s="10" t="str">
        <f t="shared" si="73"/>
        <v>2025-07</v>
      </c>
      <c r="AK326" s="10" t="str">
        <f t="shared" si="74"/>
        <v>T3</v>
      </c>
      <c r="AL326" s="10" t="str">
        <f t="shared" si="75"/>
        <v>40-49</v>
      </c>
      <c r="AM326" s="10" t="str">
        <f t="shared" si="76"/>
        <v>faible</v>
      </c>
      <c r="AN326" s="10" t="s">
        <v>2837</v>
      </c>
      <c r="AO326" s="10" t="str">
        <f t="shared" si="77"/>
        <v>Faible</v>
      </c>
    </row>
    <row r="327" spans="1:41">
      <c r="A327" t="s">
        <v>1179</v>
      </c>
      <c r="B327" s="2">
        <v>45764</v>
      </c>
      <c r="C327" t="s">
        <v>1180</v>
      </c>
      <c r="D327" t="s">
        <v>272</v>
      </c>
      <c r="E327" t="s">
        <v>88</v>
      </c>
      <c r="F327" t="s">
        <v>149</v>
      </c>
      <c r="G327">
        <v>3</v>
      </c>
      <c r="H327" s="4">
        <v>420</v>
      </c>
      <c r="I327" s="3">
        <v>0.02</v>
      </c>
      <c r="J327" t="s">
        <v>77</v>
      </c>
      <c r="K327" t="s">
        <v>46</v>
      </c>
      <c r="L327" t="s">
        <v>1181</v>
      </c>
      <c r="M327" t="s">
        <v>79</v>
      </c>
      <c r="N327" t="s">
        <v>101</v>
      </c>
      <c r="O327" t="s">
        <v>274</v>
      </c>
      <c r="P327" t="s">
        <v>133</v>
      </c>
      <c r="Q327" t="s">
        <v>114</v>
      </c>
      <c r="R327" t="s">
        <v>92</v>
      </c>
      <c r="S327" t="s">
        <v>48</v>
      </c>
      <c r="T327" t="s">
        <v>152</v>
      </c>
      <c r="U327" s="5">
        <v>29</v>
      </c>
      <c r="V327" s="5" t="s">
        <v>56</v>
      </c>
      <c r="W327" s="5">
        <v>24</v>
      </c>
      <c r="X327" s="5">
        <v>6.1</v>
      </c>
      <c r="Y327" s="5">
        <v>5</v>
      </c>
      <c r="Z327" s="5" t="s">
        <v>94</v>
      </c>
      <c r="AA327" s="6">
        <v>273</v>
      </c>
      <c r="AB327" s="8">
        <f t="shared" si="65"/>
        <v>1260</v>
      </c>
      <c r="AC327" s="8">
        <f t="shared" si="66"/>
        <v>25.2</v>
      </c>
      <c r="AD327" s="8">
        <f t="shared" si="67"/>
        <v>1234.8</v>
      </c>
      <c r="AE327" s="8">
        <f t="shared" si="68"/>
        <v>819</v>
      </c>
      <c r="AF327" s="8">
        <f t="shared" si="69"/>
        <v>415.79999999999995</v>
      </c>
      <c r="AG327" s="9">
        <f t="shared" si="70"/>
        <v>0.33673469387755101</v>
      </c>
      <c r="AH327" s="10">
        <f t="shared" si="71"/>
        <v>2025</v>
      </c>
      <c r="AI327" s="10">
        <f t="shared" si="72"/>
        <v>4</v>
      </c>
      <c r="AJ327" s="10" t="str">
        <f t="shared" si="73"/>
        <v>2025-04</v>
      </c>
      <c r="AK327" s="10" t="str">
        <f t="shared" si="74"/>
        <v>T2</v>
      </c>
      <c r="AL327" s="10" t="str">
        <f t="shared" si="75"/>
        <v>22-29</v>
      </c>
      <c r="AM327" s="10" t="str">
        <f t="shared" si="76"/>
        <v>moyen</v>
      </c>
      <c r="AN327" s="10" t="s">
        <v>2839</v>
      </c>
      <c r="AO327" s="10" t="str">
        <f t="shared" si="77"/>
        <v>Elevée</v>
      </c>
    </row>
    <row r="328" spans="1:41">
      <c r="A328" t="s">
        <v>1182</v>
      </c>
      <c r="B328" s="2">
        <v>45978</v>
      </c>
      <c r="C328" t="s">
        <v>1183</v>
      </c>
      <c r="D328" t="s">
        <v>174</v>
      </c>
      <c r="E328" t="s">
        <v>139</v>
      </c>
      <c r="F328" t="s">
        <v>190</v>
      </c>
      <c r="G328">
        <v>2</v>
      </c>
      <c r="H328" s="4">
        <v>780</v>
      </c>
      <c r="I328" s="3">
        <v>0</v>
      </c>
      <c r="J328" t="s">
        <v>90</v>
      </c>
      <c r="K328" t="s">
        <v>46</v>
      </c>
      <c r="L328" t="s">
        <v>1184</v>
      </c>
      <c r="M328" t="s">
        <v>48</v>
      </c>
      <c r="N328" t="s">
        <v>255</v>
      </c>
      <c r="O328" t="s">
        <v>177</v>
      </c>
      <c r="P328" t="s">
        <v>103</v>
      </c>
      <c r="Q328" t="s">
        <v>114</v>
      </c>
      <c r="R328" t="s">
        <v>144</v>
      </c>
      <c r="S328" t="s">
        <v>65</v>
      </c>
      <c r="T328" t="s">
        <v>194</v>
      </c>
      <c r="U328" s="5">
        <v>56</v>
      </c>
      <c r="V328" s="5" t="s">
        <v>56</v>
      </c>
      <c r="W328" s="5">
        <v>63</v>
      </c>
      <c r="X328" s="5">
        <v>4.0999999999999996</v>
      </c>
      <c r="Y328" s="5">
        <v>8</v>
      </c>
      <c r="Z328" s="5" t="s">
        <v>57</v>
      </c>
      <c r="AA328" s="6">
        <v>468</v>
      </c>
      <c r="AB328" s="8">
        <f t="shared" si="65"/>
        <v>1560</v>
      </c>
      <c r="AC328" s="8">
        <f t="shared" si="66"/>
        <v>0</v>
      </c>
      <c r="AD328" s="8">
        <f t="shared" si="67"/>
        <v>1560</v>
      </c>
      <c r="AE328" s="8">
        <f t="shared" si="68"/>
        <v>936</v>
      </c>
      <c r="AF328" s="8">
        <f t="shared" si="69"/>
        <v>624</v>
      </c>
      <c r="AG328" s="9">
        <f t="shared" si="70"/>
        <v>0.4</v>
      </c>
      <c r="AH328" s="10">
        <f t="shared" si="71"/>
        <v>2025</v>
      </c>
      <c r="AI328" s="10">
        <f t="shared" si="72"/>
        <v>11</v>
      </c>
      <c r="AJ328" s="10" t="str">
        <f t="shared" si="73"/>
        <v>2025-11</v>
      </c>
      <c r="AK328" s="10" t="str">
        <f t="shared" si="74"/>
        <v>T4</v>
      </c>
      <c r="AL328" s="10" t="str">
        <f t="shared" si="75"/>
        <v>50+</v>
      </c>
      <c r="AM328" s="10" t="str">
        <f t="shared" si="76"/>
        <v>faible</v>
      </c>
      <c r="AN328" s="10" t="s">
        <v>2837</v>
      </c>
      <c r="AO328" s="10" t="str">
        <f t="shared" si="77"/>
        <v>Elevée</v>
      </c>
    </row>
    <row r="329" spans="1:41">
      <c r="A329" t="s">
        <v>1185</v>
      </c>
      <c r="B329" s="2">
        <v>45913</v>
      </c>
      <c r="C329" t="s">
        <v>196</v>
      </c>
      <c r="D329" t="s">
        <v>74</v>
      </c>
      <c r="E329" t="s">
        <v>345</v>
      </c>
      <c r="F329" t="s">
        <v>388</v>
      </c>
      <c r="G329">
        <v>1</v>
      </c>
      <c r="H329" s="4">
        <v>95</v>
      </c>
      <c r="I329" s="3">
        <v>0.05</v>
      </c>
      <c r="J329" t="s">
        <v>77</v>
      </c>
      <c r="K329" t="s">
        <v>46</v>
      </c>
      <c r="L329" t="s">
        <v>198</v>
      </c>
      <c r="M329" t="s">
        <v>123</v>
      </c>
      <c r="N329" t="s">
        <v>80</v>
      </c>
      <c r="O329" t="s">
        <v>81</v>
      </c>
      <c r="P329" t="s">
        <v>82</v>
      </c>
      <c r="Q329" t="s">
        <v>52</v>
      </c>
      <c r="R329" t="s">
        <v>347</v>
      </c>
      <c r="S329" t="s">
        <v>54</v>
      </c>
      <c r="T329" t="s">
        <v>390</v>
      </c>
      <c r="U329" s="5">
        <v>25</v>
      </c>
      <c r="V329" s="5" t="s">
        <v>85</v>
      </c>
      <c r="W329" s="5">
        <v>71</v>
      </c>
      <c r="X329" s="5">
        <v>4.0999999999999996</v>
      </c>
      <c r="Y329" s="5">
        <v>7</v>
      </c>
      <c r="Z329" s="5" t="s">
        <v>117</v>
      </c>
      <c r="AA329" s="6">
        <v>70.3</v>
      </c>
      <c r="AB329" s="8">
        <f t="shared" si="65"/>
        <v>95</v>
      </c>
      <c r="AC329" s="8">
        <f t="shared" si="66"/>
        <v>4.75</v>
      </c>
      <c r="AD329" s="8">
        <f t="shared" si="67"/>
        <v>90.25</v>
      </c>
      <c r="AE329" s="8">
        <f t="shared" si="68"/>
        <v>70.3</v>
      </c>
      <c r="AF329" s="8">
        <f t="shared" si="69"/>
        <v>19.950000000000003</v>
      </c>
      <c r="AG329" s="9">
        <f t="shared" si="70"/>
        <v>0.22105263157894739</v>
      </c>
      <c r="AH329" s="10">
        <f t="shared" si="71"/>
        <v>2025</v>
      </c>
      <c r="AI329" s="10">
        <f t="shared" si="72"/>
        <v>9</v>
      </c>
      <c r="AJ329" s="10" t="str">
        <f t="shared" si="73"/>
        <v>2025-09</v>
      </c>
      <c r="AK329" s="10" t="str">
        <f t="shared" si="74"/>
        <v>T3</v>
      </c>
      <c r="AL329" s="10" t="str">
        <f t="shared" si="75"/>
        <v>22-29</v>
      </c>
      <c r="AM329" s="10" t="str">
        <f t="shared" si="76"/>
        <v>faible</v>
      </c>
      <c r="AN329" s="10" t="s">
        <v>2837</v>
      </c>
      <c r="AO329" s="10" t="str">
        <f t="shared" si="77"/>
        <v>Faible</v>
      </c>
    </row>
    <row r="330" spans="1:41">
      <c r="A330" t="s">
        <v>1186</v>
      </c>
      <c r="B330" s="2">
        <v>45970</v>
      </c>
      <c r="C330" t="s">
        <v>737</v>
      </c>
      <c r="D330" t="s">
        <v>162</v>
      </c>
      <c r="E330" t="s">
        <v>207</v>
      </c>
      <c r="F330" t="s">
        <v>323</v>
      </c>
      <c r="G330">
        <v>2</v>
      </c>
      <c r="H330" s="4">
        <v>35</v>
      </c>
      <c r="I330" s="3">
        <v>0.02</v>
      </c>
      <c r="J330" t="s">
        <v>90</v>
      </c>
      <c r="K330" t="s">
        <v>46</v>
      </c>
      <c r="L330" t="s">
        <v>738</v>
      </c>
      <c r="M330" t="s">
        <v>48</v>
      </c>
      <c r="N330" t="s">
        <v>101</v>
      </c>
      <c r="O330" t="s">
        <v>166</v>
      </c>
      <c r="P330" t="s">
        <v>103</v>
      </c>
      <c r="Q330" t="s">
        <v>143</v>
      </c>
      <c r="R330" t="s">
        <v>210</v>
      </c>
      <c r="S330" t="s">
        <v>79</v>
      </c>
      <c r="T330" t="s">
        <v>325</v>
      </c>
      <c r="U330" s="5">
        <v>54</v>
      </c>
      <c r="V330" s="5" t="s">
        <v>56</v>
      </c>
      <c r="W330" s="5">
        <v>44</v>
      </c>
      <c r="X330" s="5">
        <v>4.8</v>
      </c>
      <c r="Y330" s="5">
        <v>8</v>
      </c>
      <c r="Z330" s="5" t="s">
        <v>71</v>
      </c>
      <c r="AA330" s="6">
        <v>24.15</v>
      </c>
      <c r="AB330" s="8">
        <f t="shared" si="65"/>
        <v>70</v>
      </c>
      <c r="AC330" s="8">
        <f t="shared" si="66"/>
        <v>1.4000000000000001</v>
      </c>
      <c r="AD330" s="8">
        <f t="shared" si="67"/>
        <v>68.599999999999994</v>
      </c>
      <c r="AE330" s="8">
        <f t="shared" si="68"/>
        <v>48.3</v>
      </c>
      <c r="AF330" s="8">
        <f t="shared" si="69"/>
        <v>20.299999999999997</v>
      </c>
      <c r="AG330" s="9">
        <f t="shared" si="70"/>
        <v>0.29591836734693877</v>
      </c>
      <c r="AH330" s="10">
        <f t="shared" si="71"/>
        <v>2025</v>
      </c>
      <c r="AI330" s="10">
        <f t="shared" si="72"/>
        <v>11</v>
      </c>
      <c r="AJ330" s="10" t="str">
        <f t="shared" si="73"/>
        <v>2025-11</v>
      </c>
      <c r="AK330" s="10" t="str">
        <f t="shared" si="74"/>
        <v>T4</v>
      </c>
      <c r="AL330" s="10" t="str">
        <f t="shared" si="75"/>
        <v>50+</v>
      </c>
      <c r="AM330" s="10" t="str">
        <f t="shared" si="76"/>
        <v>faible</v>
      </c>
      <c r="AN330" s="10" t="s">
        <v>2837</v>
      </c>
      <c r="AO330" s="10" t="str">
        <f t="shared" si="77"/>
        <v>Faible</v>
      </c>
    </row>
    <row r="331" spans="1:41">
      <c r="A331" t="s">
        <v>1187</v>
      </c>
      <c r="B331" s="2">
        <v>45673</v>
      </c>
      <c r="C331" t="s">
        <v>1188</v>
      </c>
      <c r="D331" t="s">
        <v>272</v>
      </c>
      <c r="E331" t="s">
        <v>109</v>
      </c>
      <c r="F331" t="s">
        <v>292</v>
      </c>
      <c r="G331">
        <v>1</v>
      </c>
      <c r="H331" s="4">
        <v>420</v>
      </c>
      <c r="I331" s="3">
        <v>0.02</v>
      </c>
      <c r="J331" t="s">
        <v>77</v>
      </c>
      <c r="K331" t="s">
        <v>46</v>
      </c>
      <c r="L331" t="s">
        <v>1189</v>
      </c>
      <c r="M331" t="s">
        <v>69</v>
      </c>
      <c r="N331" t="s">
        <v>255</v>
      </c>
      <c r="O331" t="s">
        <v>274</v>
      </c>
      <c r="P331" t="s">
        <v>133</v>
      </c>
      <c r="Q331" t="s">
        <v>114</v>
      </c>
      <c r="R331" t="s">
        <v>115</v>
      </c>
      <c r="S331" t="s">
        <v>65</v>
      </c>
      <c r="T331" t="s">
        <v>294</v>
      </c>
      <c r="U331" s="5">
        <v>50</v>
      </c>
      <c r="V331" s="5" t="s">
        <v>85</v>
      </c>
      <c r="W331" s="5">
        <v>43</v>
      </c>
      <c r="X331" s="5">
        <v>4.2</v>
      </c>
      <c r="Y331" s="5">
        <v>9</v>
      </c>
      <c r="Z331" s="5" t="s">
        <v>71</v>
      </c>
      <c r="AA331" s="6">
        <v>273</v>
      </c>
      <c r="AB331" s="8">
        <f t="shared" si="65"/>
        <v>420</v>
      </c>
      <c r="AC331" s="8">
        <f t="shared" si="66"/>
        <v>8.4</v>
      </c>
      <c r="AD331" s="8">
        <f t="shared" si="67"/>
        <v>411.6</v>
      </c>
      <c r="AE331" s="8">
        <f t="shared" si="68"/>
        <v>273</v>
      </c>
      <c r="AF331" s="8">
        <f t="shared" si="69"/>
        <v>138.60000000000002</v>
      </c>
      <c r="AG331" s="9">
        <f t="shared" si="70"/>
        <v>0.33673469387755106</v>
      </c>
      <c r="AH331" s="10">
        <f t="shared" si="71"/>
        <v>2025</v>
      </c>
      <c r="AI331" s="10">
        <f t="shared" si="72"/>
        <v>1</v>
      </c>
      <c r="AJ331" s="10" t="str">
        <f t="shared" si="73"/>
        <v>2025-01</v>
      </c>
      <c r="AK331" s="10" t="str">
        <f t="shared" si="74"/>
        <v>T1</v>
      </c>
      <c r="AL331" s="10" t="str">
        <f t="shared" si="75"/>
        <v>50+</v>
      </c>
      <c r="AM331" s="10" t="str">
        <f t="shared" si="76"/>
        <v>faible</v>
      </c>
      <c r="AN331" s="10" t="s">
        <v>2837</v>
      </c>
      <c r="AO331" s="10" t="str">
        <f t="shared" si="77"/>
        <v>Faible</v>
      </c>
    </row>
    <row r="332" spans="1:41">
      <c r="A332" t="s">
        <v>1190</v>
      </c>
      <c r="B332" s="2">
        <v>45826</v>
      </c>
      <c r="C332" t="s">
        <v>1191</v>
      </c>
      <c r="D332" t="s">
        <v>42</v>
      </c>
      <c r="E332" t="s">
        <v>88</v>
      </c>
      <c r="F332" t="s">
        <v>130</v>
      </c>
      <c r="G332">
        <v>6</v>
      </c>
      <c r="H332" s="4">
        <v>260</v>
      </c>
      <c r="I332" s="3">
        <v>0.08</v>
      </c>
      <c r="J332" t="s">
        <v>90</v>
      </c>
      <c r="K332" t="s">
        <v>46</v>
      </c>
      <c r="L332" t="s">
        <v>1192</v>
      </c>
      <c r="M332" t="s">
        <v>48</v>
      </c>
      <c r="N332" t="s">
        <v>112</v>
      </c>
      <c r="O332" t="s">
        <v>50</v>
      </c>
      <c r="P332" t="s">
        <v>51</v>
      </c>
      <c r="Q332" t="s">
        <v>52</v>
      </c>
      <c r="R332" t="s">
        <v>92</v>
      </c>
      <c r="S332" t="s">
        <v>48</v>
      </c>
      <c r="T332" t="s">
        <v>135</v>
      </c>
      <c r="U332" s="5">
        <v>56</v>
      </c>
      <c r="V332" s="5" t="s">
        <v>85</v>
      </c>
      <c r="W332" s="5">
        <v>34</v>
      </c>
      <c r="X332" s="5">
        <v>3.5</v>
      </c>
      <c r="Y332" s="5">
        <v>8</v>
      </c>
      <c r="Z332" s="5" t="s">
        <v>57</v>
      </c>
      <c r="AA332" s="6">
        <v>189.8</v>
      </c>
      <c r="AB332" s="8">
        <f t="shared" si="65"/>
        <v>1560</v>
      </c>
      <c r="AC332" s="8">
        <f t="shared" si="66"/>
        <v>124.8</v>
      </c>
      <c r="AD332" s="8">
        <f t="shared" si="67"/>
        <v>1435.2</v>
      </c>
      <c r="AE332" s="8">
        <f t="shared" si="68"/>
        <v>1138.8000000000002</v>
      </c>
      <c r="AF332" s="8">
        <f t="shared" si="69"/>
        <v>296.39999999999986</v>
      </c>
      <c r="AG332" s="9">
        <f t="shared" si="70"/>
        <v>0.20652173913043467</v>
      </c>
      <c r="AH332" s="10">
        <f t="shared" si="71"/>
        <v>2025</v>
      </c>
      <c r="AI332" s="10">
        <f t="shared" si="72"/>
        <v>6</v>
      </c>
      <c r="AJ332" s="10" t="str">
        <f t="shared" si="73"/>
        <v>2025-06</v>
      </c>
      <c r="AK332" s="10" t="str">
        <f t="shared" si="74"/>
        <v>T2</v>
      </c>
      <c r="AL332" s="10" t="str">
        <f t="shared" si="75"/>
        <v>50+</v>
      </c>
      <c r="AM332" s="10" t="str">
        <f t="shared" si="76"/>
        <v>faible</v>
      </c>
      <c r="AN332" s="10" t="s">
        <v>2837</v>
      </c>
      <c r="AO332" s="10" t="str">
        <f t="shared" si="77"/>
        <v>Elevée</v>
      </c>
    </row>
    <row r="333" spans="1:41">
      <c r="A333" t="s">
        <v>1193</v>
      </c>
      <c r="B333" s="2">
        <v>45871</v>
      </c>
      <c r="C333" t="s">
        <v>1194</v>
      </c>
      <c r="D333" t="s">
        <v>188</v>
      </c>
      <c r="E333" t="s">
        <v>315</v>
      </c>
      <c r="F333" t="s">
        <v>282</v>
      </c>
      <c r="G333">
        <v>3</v>
      </c>
      <c r="H333" s="4">
        <v>350</v>
      </c>
      <c r="I333" s="3">
        <v>0.05</v>
      </c>
      <c r="J333" t="s">
        <v>90</v>
      </c>
      <c r="K333" t="s">
        <v>46</v>
      </c>
      <c r="L333" t="s">
        <v>1195</v>
      </c>
      <c r="M333" t="s">
        <v>123</v>
      </c>
      <c r="N333" t="s">
        <v>255</v>
      </c>
      <c r="O333" t="s">
        <v>192</v>
      </c>
      <c r="P333" t="s">
        <v>51</v>
      </c>
      <c r="Q333" t="s">
        <v>114</v>
      </c>
      <c r="R333" t="s">
        <v>317</v>
      </c>
      <c r="S333" t="s">
        <v>69</v>
      </c>
      <c r="T333" t="s">
        <v>284</v>
      </c>
      <c r="U333" s="5">
        <v>22</v>
      </c>
      <c r="V333" s="5" t="s">
        <v>85</v>
      </c>
      <c r="W333" s="5">
        <v>5</v>
      </c>
      <c r="X333" s="5">
        <v>4.4000000000000004</v>
      </c>
      <c r="Y333" s="5">
        <v>8</v>
      </c>
      <c r="Z333" s="5" t="s">
        <v>57</v>
      </c>
      <c r="AA333" s="6">
        <v>213.5</v>
      </c>
      <c r="AB333" s="8">
        <f t="shared" si="65"/>
        <v>1050</v>
      </c>
      <c r="AC333" s="8">
        <f t="shared" si="66"/>
        <v>52.5</v>
      </c>
      <c r="AD333" s="8">
        <f t="shared" si="67"/>
        <v>997.5</v>
      </c>
      <c r="AE333" s="8">
        <f t="shared" si="68"/>
        <v>640.5</v>
      </c>
      <c r="AF333" s="8">
        <f t="shared" si="69"/>
        <v>357</v>
      </c>
      <c r="AG333" s="9">
        <f t="shared" si="70"/>
        <v>0.35789473684210527</v>
      </c>
      <c r="AH333" s="10">
        <f t="shared" si="71"/>
        <v>2025</v>
      </c>
      <c r="AI333" s="10">
        <f t="shared" si="72"/>
        <v>8</v>
      </c>
      <c r="AJ333" s="10" t="str">
        <f t="shared" si="73"/>
        <v>2025-08</v>
      </c>
      <c r="AK333" s="10" t="str">
        <f t="shared" si="74"/>
        <v>T3</v>
      </c>
      <c r="AL333" s="10" t="str">
        <f t="shared" si="75"/>
        <v>22-29</v>
      </c>
      <c r="AM333" s="10" t="str">
        <f t="shared" si="76"/>
        <v>faible</v>
      </c>
      <c r="AN333" s="10" t="s">
        <v>2837</v>
      </c>
      <c r="AO333" s="10" t="str">
        <f t="shared" si="77"/>
        <v>Moyenne</v>
      </c>
    </row>
    <row r="334" spans="1:41">
      <c r="A334" t="s">
        <v>1196</v>
      </c>
      <c r="B334" s="2">
        <v>45679</v>
      </c>
      <c r="C334" t="s">
        <v>793</v>
      </c>
      <c r="D334" t="s">
        <v>42</v>
      </c>
      <c r="E334" t="s">
        <v>109</v>
      </c>
      <c r="F334" t="s">
        <v>99</v>
      </c>
      <c r="G334">
        <v>1</v>
      </c>
      <c r="H334" s="4">
        <v>260</v>
      </c>
      <c r="I334" s="3">
        <v>0.02</v>
      </c>
      <c r="J334" t="s">
        <v>45</v>
      </c>
      <c r="K334" t="s">
        <v>46</v>
      </c>
      <c r="L334" t="s">
        <v>794</v>
      </c>
      <c r="M334" t="s">
        <v>54</v>
      </c>
      <c r="N334" t="s">
        <v>101</v>
      </c>
      <c r="O334" t="s">
        <v>50</v>
      </c>
      <c r="P334" t="s">
        <v>51</v>
      </c>
      <c r="Q334" t="s">
        <v>52</v>
      </c>
      <c r="R334" t="s">
        <v>115</v>
      </c>
      <c r="S334" t="s">
        <v>65</v>
      </c>
      <c r="T334" t="s">
        <v>105</v>
      </c>
      <c r="U334" s="5">
        <v>42</v>
      </c>
      <c r="V334" s="5" t="s">
        <v>56</v>
      </c>
      <c r="W334" s="5">
        <v>13</v>
      </c>
      <c r="X334" s="5">
        <v>3.3</v>
      </c>
      <c r="Y334" s="5">
        <v>9</v>
      </c>
      <c r="Z334" s="5" t="s">
        <v>94</v>
      </c>
      <c r="AA334" s="6">
        <v>189.8</v>
      </c>
      <c r="AB334" s="8">
        <f t="shared" si="65"/>
        <v>260</v>
      </c>
      <c r="AC334" s="8">
        <f t="shared" si="66"/>
        <v>5.2</v>
      </c>
      <c r="AD334" s="8">
        <f t="shared" si="67"/>
        <v>254.8</v>
      </c>
      <c r="AE334" s="8">
        <f t="shared" si="68"/>
        <v>189.8</v>
      </c>
      <c r="AF334" s="8">
        <f t="shared" si="69"/>
        <v>65</v>
      </c>
      <c r="AG334" s="9">
        <f t="shared" si="70"/>
        <v>0.25510204081632654</v>
      </c>
      <c r="AH334" s="10">
        <f t="shared" si="71"/>
        <v>2025</v>
      </c>
      <c r="AI334" s="10">
        <f t="shared" si="72"/>
        <v>1</v>
      </c>
      <c r="AJ334" s="10" t="str">
        <f t="shared" si="73"/>
        <v>2025-01</v>
      </c>
      <c r="AK334" s="10" t="str">
        <f t="shared" si="74"/>
        <v>T1</v>
      </c>
      <c r="AL334" s="10" t="str">
        <f t="shared" si="75"/>
        <v>40-49</v>
      </c>
      <c r="AM334" s="10" t="str">
        <f t="shared" si="76"/>
        <v>faible</v>
      </c>
      <c r="AN334" s="10" t="s">
        <v>2837</v>
      </c>
      <c r="AO334" s="10" t="str">
        <f t="shared" si="77"/>
        <v>Faible</v>
      </c>
    </row>
    <row r="335" spans="1:41">
      <c r="A335" t="s">
        <v>1197</v>
      </c>
      <c r="B335" s="2">
        <v>45774</v>
      </c>
      <c r="C335" t="s">
        <v>1198</v>
      </c>
      <c r="D335" t="s">
        <v>272</v>
      </c>
      <c r="E335" t="s">
        <v>43</v>
      </c>
      <c r="F335" t="s">
        <v>208</v>
      </c>
      <c r="G335">
        <v>1</v>
      </c>
      <c r="H335" s="4">
        <v>420</v>
      </c>
      <c r="I335" s="3">
        <v>0</v>
      </c>
      <c r="J335" t="s">
        <v>90</v>
      </c>
      <c r="K335" t="s">
        <v>46</v>
      </c>
      <c r="L335" t="s">
        <v>1199</v>
      </c>
      <c r="M335" t="s">
        <v>79</v>
      </c>
      <c r="N335" t="s">
        <v>80</v>
      </c>
      <c r="O335" t="s">
        <v>274</v>
      </c>
      <c r="P335" t="s">
        <v>133</v>
      </c>
      <c r="Q335" t="s">
        <v>114</v>
      </c>
      <c r="R335" t="s">
        <v>53</v>
      </c>
      <c r="S335" t="s">
        <v>54</v>
      </c>
      <c r="T335" t="s">
        <v>211</v>
      </c>
      <c r="U335" s="5">
        <v>43</v>
      </c>
      <c r="V335" s="5" t="s">
        <v>56</v>
      </c>
      <c r="W335" s="5">
        <v>6</v>
      </c>
      <c r="X335" s="5">
        <v>8.6999999999999993</v>
      </c>
      <c r="Y335" s="5">
        <v>2</v>
      </c>
      <c r="Z335" s="5" t="s">
        <v>94</v>
      </c>
      <c r="AA335" s="6">
        <v>273</v>
      </c>
      <c r="AB335" s="8">
        <f t="shared" si="65"/>
        <v>420</v>
      </c>
      <c r="AC335" s="8">
        <f t="shared" si="66"/>
        <v>0</v>
      </c>
      <c r="AD335" s="8">
        <f t="shared" si="67"/>
        <v>420</v>
      </c>
      <c r="AE335" s="8">
        <f t="shared" si="68"/>
        <v>273</v>
      </c>
      <c r="AF335" s="8">
        <f t="shared" si="69"/>
        <v>147</v>
      </c>
      <c r="AG335" s="9">
        <f t="shared" si="70"/>
        <v>0.35</v>
      </c>
      <c r="AH335" s="10">
        <f t="shared" si="71"/>
        <v>2025</v>
      </c>
      <c r="AI335" s="10">
        <f t="shared" si="72"/>
        <v>4</v>
      </c>
      <c r="AJ335" s="10" t="str">
        <f t="shared" si="73"/>
        <v>2025-04</v>
      </c>
      <c r="AK335" s="10" t="str">
        <f t="shared" si="74"/>
        <v>T2</v>
      </c>
      <c r="AL335" s="10" t="str">
        <f t="shared" si="75"/>
        <v>40-49</v>
      </c>
      <c r="AM335" s="10" t="str">
        <f t="shared" si="76"/>
        <v>bon</v>
      </c>
      <c r="AN335" s="10" t="s">
        <v>2838</v>
      </c>
      <c r="AO335" s="10" t="str">
        <f t="shared" si="77"/>
        <v>Faible</v>
      </c>
    </row>
    <row r="336" spans="1:41">
      <c r="A336" t="s">
        <v>1200</v>
      </c>
      <c r="B336" s="2">
        <v>45904</v>
      </c>
      <c r="C336" t="s">
        <v>1201</v>
      </c>
      <c r="D336" t="s">
        <v>148</v>
      </c>
      <c r="E336" t="s">
        <v>120</v>
      </c>
      <c r="F336" t="s">
        <v>130</v>
      </c>
      <c r="G336">
        <v>1</v>
      </c>
      <c r="H336" s="4">
        <v>110</v>
      </c>
      <c r="I336" s="3">
        <v>0.1</v>
      </c>
      <c r="J336" t="s">
        <v>63</v>
      </c>
      <c r="K336" t="s">
        <v>46</v>
      </c>
      <c r="L336" t="s">
        <v>1202</v>
      </c>
      <c r="M336" t="s">
        <v>79</v>
      </c>
      <c r="N336" t="s">
        <v>255</v>
      </c>
      <c r="O336" t="s">
        <v>151</v>
      </c>
      <c r="P336" t="s">
        <v>103</v>
      </c>
      <c r="Q336" t="s">
        <v>114</v>
      </c>
      <c r="R336" t="s">
        <v>124</v>
      </c>
      <c r="S336" t="s">
        <v>48</v>
      </c>
      <c r="T336" t="s">
        <v>135</v>
      </c>
      <c r="U336" s="5">
        <v>57</v>
      </c>
      <c r="V336" s="5" t="s">
        <v>56</v>
      </c>
      <c r="W336" s="5">
        <v>33</v>
      </c>
      <c r="X336" s="5">
        <v>7.8</v>
      </c>
      <c r="Y336" s="5">
        <v>2</v>
      </c>
      <c r="Z336" s="5" t="s">
        <v>57</v>
      </c>
      <c r="AA336" s="6">
        <v>72.599999999999994</v>
      </c>
      <c r="AB336" s="8">
        <f t="shared" si="65"/>
        <v>110</v>
      </c>
      <c r="AC336" s="8">
        <f t="shared" si="66"/>
        <v>11</v>
      </c>
      <c r="AD336" s="8">
        <f t="shared" si="67"/>
        <v>99</v>
      </c>
      <c r="AE336" s="8">
        <f t="shared" si="68"/>
        <v>72.599999999999994</v>
      </c>
      <c r="AF336" s="8">
        <f t="shared" si="69"/>
        <v>26.400000000000006</v>
      </c>
      <c r="AG336" s="9">
        <f t="shared" si="70"/>
        <v>0.26666666666666672</v>
      </c>
      <c r="AH336" s="10">
        <f t="shared" si="71"/>
        <v>2025</v>
      </c>
      <c r="AI336" s="10">
        <f t="shared" si="72"/>
        <v>9</v>
      </c>
      <c r="AJ336" s="10" t="str">
        <f t="shared" si="73"/>
        <v>2025-09</v>
      </c>
      <c r="AK336" s="10" t="str">
        <f t="shared" si="74"/>
        <v>T3</v>
      </c>
      <c r="AL336" s="10" t="str">
        <f t="shared" si="75"/>
        <v>50+</v>
      </c>
      <c r="AM336" s="10" t="str">
        <f t="shared" si="76"/>
        <v>bon</v>
      </c>
      <c r="AN336" s="10" t="s">
        <v>2838</v>
      </c>
      <c r="AO336" s="10" t="str">
        <f t="shared" si="77"/>
        <v>Faible</v>
      </c>
    </row>
    <row r="337" spans="1:41">
      <c r="A337" t="s">
        <v>1203</v>
      </c>
      <c r="B337" s="2">
        <v>45717</v>
      </c>
      <c r="C337" t="s">
        <v>1204</v>
      </c>
      <c r="D337" t="s">
        <v>333</v>
      </c>
      <c r="E337" t="s">
        <v>61</v>
      </c>
      <c r="F337" t="s">
        <v>248</v>
      </c>
      <c r="G337">
        <v>2</v>
      </c>
      <c r="H337" s="4">
        <v>65</v>
      </c>
      <c r="I337" s="3">
        <v>0.05</v>
      </c>
      <c r="J337" t="s">
        <v>77</v>
      </c>
      <c r="K337" t="s">
        <v>46</v>
      </c>
      <c r="L337" t="s">
        <v>1205</v>
      </c>
      <c r="M337" t="s">
        <v>65</v>
      </c>
      <c r="N337" t="s">
        <v>112</v>
      </c>
      <c r="O337" t="s">
        <v>336</v>
      </c>
      <c r="P337" t="s">
        <v>51</v>
      </c>
      <c r="Q337" t="s">
        <v>52</v>
      </c>
      <c r="R337" t="s">
        <v>68</v>
      </c>
      <c r="S337" t="s">
        <v>69</v>
      </c>
      <c r="T337" t="s">
        <v>250</v>
      </c>
      <c r="U337" s="5">
        <v>53</v>
      </c>
      <c r="V337" s="5" t="s">
        <v>85</v>
      </c>
      <c r="W337" s="5">
        <v>15</v>
      </c>
      <c r="X337" s="5">
        <v>5.6</v>
      </c>
      <c r="Y337" s="5">
        <v>7</v>
      </c>
      <c r="Z337" s="5" t="s">
        <v>57</v>
      </c>
      <c r="AA337" s="6">
        <v>47.45</v>
      </c>
      <c r="AB337" s="8">
        <f t="shared" si="65"/>
        <v>130</v>
      </c>
      <c r="AC337" s="8">
        <f t="shared" si="66"/>
        <v>6.5</v>
      </c>
      <c r="AD337" s="8">
        <f t="shared" si="67"/>
        <v>123.5</v>
      </c>
      <c r="AE337" s="8">
        <f t="shared" si="68"/>
        <v>94.9</v>
      </c>
      <c r="AF337" s="8">
        <f t="shared" si="69"/>
        <v>28.599999999999994</v>
      </c>
      <c r="AG337" s="9">
        <f t="shared" si="70"/>
        <v>0.231578947368421</v>
      </c>
      <c r="AH337" s="10">
        <f t="shared" si="71"/>
        <v>2025</v>
      </c>
      <c r="AI337" s="10">
        <f t="shared" si="72"/>
        <v>3</v>
      </c>
      <c r="AJ337" s="10" t="str">
        <f t="shared" si="73"/>
        <v>2025-03</v>
      </c>
      <c r="AK337" s="10" t="str">
        <f t="shared" si="74"/>
        <v>T1</v>
      </c>
      <c r="AL337" s="10" t="str">
        <f t="shared" si="75"/>
        <v>50+</v>
      </c>
      <c r="AM337" s="10" t="str">
        <f t="shared" si="76"/>
        <v>moyen</v>
      </c>
      <c r="AN337" s="10" t="s">
        <v>2837</v>
      </c>
      <c r="AO337" s="10" t="str">
        <f t="shared" si="77"/>
        <v>Faible</v>
      </c>
    </row>
    <row r="338" spans="1:41">
      <c r="A338" t="s">
        <v>1206</v>
      </c>
      <c r="B338" s="2">
        <v>45776</v>
      </c>
      <c r="C338" t="s">
        <v>1207</v>
      </c>
      <c r="D338" t="s">
        <v>333</v>
      </c>
      <c r="E338" t="s">
        <v>219</v>
      </c>
      <c r="F338" t="s">
        <v>259</v>
      </c>
      <c r="G338">
        <v>1</v>
      </c>
      <c r="H338" s="4">
        <v>65</v>
      </c>
      <c r="I338" s="3">
        <v>0</v>
      </c>
      <c r="J338" t="s">
        <v>45</v>
      </c>
      <c r="K338" t="s">
        <v>46</v>
      </c>
      <c r="L338" t="s">
        <v>1208</v>
      </c>
      <c r="M338" t="s">
        <v>69</v>
      </c>
      <c r="N338" t="s">
        <v>112</v>
      </c>
      <c r="O338" t="s">
        <v>336</v>
      </c>
      <c r="P338" t="s">
        <v>51</v>
      </c>
      <c r="Q338" t="s">
        <v>52</v>
      </c>
      <c r="R338" t="s">
        <v>222</v>
      </c>
      <c r="S338" t="s">
        <v>123</v>
      </c>
      <c r="T338" t="s">
        <v>261</v>
      </c>
      <c r="U338" s="5">
        <v>25</v>
      </c>
      <c r="V338" s="5" t="s">
        <v>56</v>
      </c>
      <c r="W338" s="5">
        <v>67</v>
      </c>
      <c r="X338" s="5">
        <v>8.6999999999999993</v>
      </c>
      <c r="Y338" s="5">
        <v>2</v>
      </c>
      <c r="Z338" s="5" t="s">
        <v>117</v>
      </c>
      <c r="AA338" s="6">
        <v>47.45</v>
      </c>
      <c r="AB338" s="8">
        <f t="shared" si="65"/>
        <v>65</v>
      </c>
      <c r="AC338" s="8">
        <f t="shared" si="66"/>
        <v>0</v>
      </c>
      <c r="AD338" s="8">
        <f t="shared" si="67"/>
        <v>65</v>
      </c>
      <c r="AE338" s="8">
        <f t="shared" si="68"/>
        <v>47.45</v>
      </c>
      <c r="AF338" s="8">
        <f t="shared" si="69"/>
        <v>17.549999999999997</v>
      </c>
      <c r="AG338" s="9">
        <f t="shared" si="70"/>
        <v>0.26999999999999996</v>
      </c>
      <c r="AH338" s="10">
        <f t="shared" si="71"/>
        <v>2025</v>
      </c>
      <c r="AI338" s="10">
        <f t="shared" si="72"/>
        <v>4</v>
      </c>
      <c r="AJ338" s="10" t="str">
        <f t="shared" si="73"/>
        <v>2025-04</v>
      </c>
      <c r="AK338" s="10" t="str">
        <f t="shared" si="74"/>
        <v>T2</v>
      </c>
      <c r="AL338" s="10" t="str">
        <f t="shared" si="75"/>
        <v>22-29</v>
      </c>
      <c r="AM338" s="10" t="str">
        <f t="shared" si="76"/>
        <v>bon</v>
      </c>
      <c r="AN338" s="10" t="s">
        <v>2838</v>
      </c>
      <c r="AO338" s="10" t="str">
        <f t="shared" si="77"/>
        <v>Faible</v>
      </c>
    </row>
    <row r="339" spans="1:41">
      <c r="A339" t="s">
        <v>1209</v>
      </c>
      <c r="B339" s="2">
        <v>45785</v>
      </c>
      <c r="C339" t="s">
        <v>1210</v>
      </c>
      <c r="D339" t="s">
        <v>188</v>
      </c>
      <c r="E339" t="s">
        <v>120</v>
      </c>
      <c r="F339" t="s">
        <v>548</v>
      </c>
      <c r="G339">
        <v>4</v>
      </c>
      <c r="H339" s="4">
        <v>350</v>
      </c>
      <c r="I339" s="3">
        <v>0</v>
      </c>
      <c r="J339" t="s">
        <v>90</v>
      </c>
      <c r="K339" t="s">
        <v>46</v>
      </c>
      <c r="L339" t="s">
        <v>1211</v>
      </c>
      <c r="M339" t="s">
        <v>54</v>
      </c>
      <c r="N339" t="s">
        <v>80</v>
      </c>
      <c r="O339" t="s">
        <v>192</v>
      </c>
      <c r="P339" t="s">
        <v>51</v>
      </c>
      <c r="Q339" t="s">
        <v>114</v>
      </c>
      <c r="R339" t="s">
        <v>124</v>
      </c>
      <c r="S339" t="s">
        <v>48</v>
      </c>
      <c r="T339" t="s">
        <v>550</v>
      </c>
      <c r="U339" s="5">
        <v>38</v>
      </c>
      <c r="V339" s="5" t="s">
        <v>85</v>
      </c>
      <c r="W339" s="5">
        <v>9</v>
      </c>
      <c r="X339" s="5">
        <v>5.7</v>
      </c>
      <c r="Y339" s="5">
        <v>6</v>
      </c>
      <c r="Z339" s="5" t="s">
        <v>57</v>
      </c>
      <c r="AA339" s="6">
        <v>213.5</v>
      </c>
      <c r="AB339" s="8">
        <f t="shared" si="65"/>
        <v>1400</v>
      </c>
      <c r="AC339" s="8">
        <f t="shared" si="66"/>
        <v>0</v>
      </c>
      <c r="AD339" s="8">
        <f t="shared" si="67"/>
        <v>1400</v>
      </c>
      <c r="AE339" s="8">
        <f t="shared" si="68"/>
        <v>854</v>
      </c>
      <c r="AF339" s="8">
        <f t="shared" si="69"/>
        <v>546</v>
      </c>
      <c r="AG339" s="9">
        <f t="shared" si="70"/>
        <v>0.39</v>
      </c>
      <c r="AH339" s="10">
        <f t="shared" si="71"/>
        <v>2025</v>
      </c>
      <c r="AI339" s="10">
        <f t="shared" si="72"/>
        <v>5</v>
      </c>
      <c r="AJ339" s="10" t="str">
        <f t="shared" si="73"/>
        <v>2025-05</v>
      </c>
      <c r="AK339" s="10" t="str">
        <f t="shared" si="74"/>
        <v>T2</v>
      </c>
      <c r="AL339" s="10" t="str">
        <f t="shared" si="75"/>
        <v>30-39</v>
      </c>
      <c r="AM339" s="10" t="str">
        <f t="shared" si="76"/>
        <v>moyen</v>
      </c>
      <c r="AN339" s="10" t="s">
        <v>2839</v>
      </c>
      <c r="AO339" s="10" t="str">
        <f t="shared" si="77"/>
        <v>Elevée</v>
      </c>
    </row>
    <row r="340" spans="1:41">
      <c r="A340" t="s">
        <v>1212</v>
      </c>
      <c r="B340" s="2">
        <v>45837</v>
      </c>
      <c r="C340" t="s">
        <v>1213</v>
      </c>
      <c r="D340" t="s">
        <v>74</v>
      </c>
      <c r="E340" t="s">
        <v>219</v>
      </c>
      <c r="F340" t="s">
        <v>361</v>
      </c>
      <c r="G340">
        <v>3</v>
      </c>
      <c r="H340" s="4">
        <v>95</v>
      </c>
      <c r="I340" s="3">
        <v>0</v>
      </c>
      <c r="J340" t="s">
        <v>77</v>
      </c>
      <c r="K340" t="s">
        <v>46</v>
      </c>
      <c r="L340" t="s">
        <v>1214</v>
      </c>
      <c r="M340" t="s">
        <v>79</v>
      </c>
      <c r="N340" t="s">
        <v>112</v>
      </c>
      <c r="O340" t="s">
        <v>81</v>
      </c>
      <c r="P340" t="s">
        <v>82</v>
      </c>
      <c r="Q340" t="s">
        <v>52</v>
      </c>
      <c r="R340" t="s">
        <v>222</v>
      </c>
      <c r="S340" t="s">
        <v>123</v>
      </c>
      <c r="T340" t="s">
        <v>363</v>
      </c>
      <c r="U340" s="5">
        <v>51</v>
      </c>
      <c r="V340" s="5" t="s">
        <v>85</v>
      </c>
      <c r="W340" s="5">
        <v>27</v>
      </c>
      <c r="X340" s="5">
        <v>6.6</v>
      </c>
      <c r="Y340" s="5">
        <v>3</v>
      </c>
      <c r="Z340" s="5" t="s">
        <v>57</v>
      </c>
      <c r="AA340" s="6">
        <v>70.3</v>
      </c>
      <c r="AB340" s="8">
        <f t="shared" si="65"/>
        <v>285</v>
      </c>
      <c r="AC340" s="8">
        <f t="shared" si="66"/>
        <v>0</v>
      </c>
      <c r="AD340" s="8">
        <f t="shared" si="67"/>
        <v>285</v>
      </c>
      <c r="AE340" s="8">
        <f t="shared" si="68"/>
        <v>210.89999999999998</v>
      </c>
      <c r="AF340" s="8">
        <f t="shared" si="69"/>
        <v>74.100000000000023</v>
      </c>
      <c r="AG340" s="9">
        <f t="shared" si="70"/>
        <v>0.26000000000000006</v>
      </c>
      <c r="AH340" s="10">
        <f t="shared" si="71"/>
        <v>2025</v>
      </c>
      <c r="AI340" s="10">
        <f t="shared" si="72"/>
        <v>6</v>
      </c>
      <c r="AJ340" s="10" t="str">
        <f t="shared" si="73"/>
        <v>2025-06</v>
      </c>
      <c r="AK340" s="10" t="str">
        <f t="shared" si="74"/>
        <v>T2</v>
      </c>
      <c r="AL340" s="10" t="str">
        <f t="shared" si="75"/>
        <v>50+</v>
      </c>
      <c r="AM340" s="10" t="str">
        <f t="shared" si="76"/>
        <v>moyen</v>
      </c>
      <c r="AN340" s="10" t="s">
        <v>2838</v>
      </c>
      <c r="AO340" s="10" t="str">
        <f t="shared" si="77"/>
        <v>Faible</v>
      </c>
    </row>
    <row r="341" spans="1:41">
      <c r="A341" t="s">
        <v>1215</v>
      </c>
      <c r="B341" s="2">
        <v>45697</v>
      </c>
      <c r="C341" t="s">
        <v>1216</v>
      </c>
      <c r="D341" t="s">
        <v>272</v>
      </c>
      <c r="E341" t="s">
        <v>345</v>
      </c>
      <c r="F341" t="s">
        <v>424</v>
      </c>
      <c r="G341">
        <v>1</v>
      </c>
      <c r="H341" s="4">
        <v>420</v>
      </c>
      <c r="I341" s="3">
        <v>0.05</v>
      </c>
      <c r="J341" t="s">
        <v>45</v>
      </c>
      <c r="K341" t="s">
        <v>46</v>
      </c>
      <c r="L341" t="s">
        <v>1217</v>
      </c>
      <c r="M341" t="s">
        <v>48</v>
      </c>
      <c r="N341" t="s">
        <v>49</v>
      </c>
      <c r="O341" t="s">
        <v>274</v>
      </c>
      <c r="P341" t="s">
        <v>133</v>
      </c>
      <c r="Q341" t="s">
        <v>114</v>
      </c>
      <c r="R341" t="s">
        <v>347</v>
      </c>
      <c r="S341" t="s">
        <v>54</v>
      </c>
      <c r="T341" t="s">
        <v>426</v>
      </c>
      <c r="U341" s="5">
        <v>29</v>
      </c>
      <c r="V341" s="5" t="s">
        <v>56</v>
      </c>
      <c r="W341" s="5">
        <v>14</v>
      </c>
      <c r="X341" s="5">
        <v>3.5</v>
      </c>
      <c r="Y341" s="5">
        <v>8</v>
      </c>
      <c r="Z341" s="5" t="s">
        <v>94</v>
      </c>
      <c r="AA341" s="6">
        <v>273</v>
      </c>
      <c r="AB341" s="8">
        <f t="shared" si="65"/>
        <v>420</v>
      </c>
      <c r="AC341" s="8">
        <f t="shared" si="66"/>
        <v>21</v>
      </c>
      <c r="AD341" s="8">
        <f t="shared" si="67"/>
        <v>399</v>
      </c>
      <c r="AE341" s="8">
        <f t="shared" si="68"/>
        <v>273</v>
      </c>
      <c r="AF341" s="8">
        <f t="shared" si="69"/>
        <v>126</v>
      </c>
      <c r="AG341" s="9">
        <f t="shared" si="70"/>
        <v>0.31578947368421051</v>
      </c>
      <c r="AH341" s="10">
        <f t="shared" si="71"/>
        <v>2025</v>
      </c>
      <c r="AI341" s="10">
        <f t="shared" si="72"/>
        <v>2</v>
      </c>
      <c r="AJ341" s="10" t="str">
        <f t="shared" si="73"/>
        <v>2025-02</v>
      </c>
      <c r="AK341" s="10" t="str">
        <f t="shared" si="74"/>
        <v>T1</v>
      </c>
      <c r="AL341" s="10" t="str">
        <f t="shared" si="75"/>
        <v>22-29</v>
      </c>
      <c r="AM341" s="10" t="str">
        <f t="shared" si="76"/>
        <v>faible</v>
      </c>
      <c r="AN341" s="10" t="s">
        <v>2837</v>
      </c>
      <c r="AO341" s="10" t="str">
        <f t="shared" si="77"/>
        <v>Faible</v>
      </c>
    </row>
    <row r="342" spans="1:41">
      <c r="A342" t="s">
        <v>1218</v>
      </c>
      <c r="B342" s="2">
        <v>45812</v>
      </c>
      <c r="C342" t="s">
        <v>1219</v>
      </c>
      <c r="D342" t="s">
        <v>162</v>
      </c>
      <c r="E342" t="s">
        <v>139</v>
      </c>
      <c r="F342" t="s">
        <v>502</v>
      </c>
      <c r="G342">
        <v>10</v>
      </c>
      <c r="H342" s="4">
        <v>35</v>
      </c>
      <c r="I342" s="3">
        <v>0.1</v>
      </c>
      <c r="J342" t="s">
        <v>77</v>
      </c>
      <c r="K342" t="s">
        <v>46</v>
      </c>
      <c r="L342" t="s">
        <v>1220</v>
      </c>
      <c r="M342" t="s">
        <v>65</v>
      </c>
      <c r="N342" t="s">
        <v>80</v>
      </c>
      <c r="O342" t="s">
        <v>166</v>
      </c>
      <c r="P342" t="s">
        <v>103</v>
      </c>
      <c r="Q342" t="s">
        <v>143</v>
      </c>
      <c r="R342" t="s">
        <v>144</v>
      </c>
      <c r="S342" t="s">
        <v>65</v>
      </c>
      <c r="T342" t="s">
        <v>504</v>
      </c>
      <c r="U342" s="5">
        <v>57</v>
      </c>
      <c r="V342" s="5" t="s">
        <v>56</v>
      </c>
      <c r="W342" s="5">
        <v>6</v>
      </c>
      <c r="X342" s="5">
        <v>4.5999999999999996</v>
      </c>
      <c r="Y342" s="5">
        <v>8</v>
      </c>
      <c r="Z342" s="5" t="s">
        <v>71</v>
      </c>
      <c r="AA342" s="6">
        <v>24.15</v>
      </c>
      <c r="AB342" s="8">
        <f t="shared" si="65"/>
        <v>350</v>
      </c>
      <c r="AC342" s="8">
        <f t="shared" si="66"/>
        <v>35</v>
      </c>
      <c r="AD342" s="8">
        <f t="shared" si="67"/>
        <v>315</v>
      </c>
      <c r="AE342" s="8">
        <f t="shared" si="68"/>
        <v>241.5</v>
      </c>
      <c r="AF342" s="8">
        <f t="shared" si="69"/>
        <v>73.5</v>
      </c>
      <c r="AG342" s="9">
        <f t="shared" si="70"/>
        <v>0.23333333333333334</v>
      </c>
      <c r="AH342" s="10">
        <f t="shared" si="71"/>
        <v>2025</v>
      </c>
      <c r="AI342" s="10">
        <f t="shared" si="72"/>
        <v>6</v>
      </c>
      <c r="AJ342" s="10" t="str">
        <f t="shared" si="73"/>
        <v>2025-06</v>
      </c>
      <c r="AK342" s="10" t="str">
        <f t="shared" si="74"/>
        <v>T2</v>
      </c>
      <c r="AL342" s="10" t="str">
        <f t="shared" si="75"/>
        <v>50+</v>
      </c>
      <c r="AM342" s="10" t="str">
        <f t="shared" si="76"/>
        <v>faible</v>
      </c>
      <c r="AN342" s="10" t="s">
        <v>2837</v>
      </c>
      <c r="AO342" s="10" t="str">
        <f t="shared" si="77"/>
        <v>Faible</v>
      </c>
    </row>
    <row r="343" spans="1:41">
      <c r="A343" t="s">
        <v>1221</v>
      </c>
      <c r="B343" s="2">
        <v>45935</v>
      </c>
      <c r="C343" t="s">
        <v>1222</v>
      </c>
      <c r="D343" t="s">
        <v>340</v>
      </c>
      <c r="E343" t="s">
        <v>189</v>
      </c>
      <c r="F343" t="s">
        <v>182</v>
      </c>
      <c r="G343">
        <v>2</v>
      </c>
      <c r="H343" s="4">
        <v>22</v>
      </c>
      <c r="I343" s="3">
        <v>0</v>
      </c>
      <c r="J343" t="s">
        <v>77</v>
      </c>
      <c r="K343" t="s">
        <v>46</v>
      </c>
      <c r="L343" t="s">
        <v>1223</v>
      </c>
      <c r="M343" t="s">
        <v>69</v>
      </c>
      <c r="N343" t="s">
        <v>101</v>
      </c>
      <c r="O343" t="s">
        <v>342</v>
      </c>
      <c r="P343" t="s">
        <v>103</v>
      </c>
      <c r="Q343" t="s">
        <v>143</v>
      </c>
      <c r="R343" t="s">
        <v>193</v>
      </c>
      <c r="S343" t="s">
        <v>79</v>
      </c>
      <c r="T343" t="s">
        <v>185</v>
      </c>
      <c r="U343" s="5">
        <v>31</v>
      </c>
      <c r="V343" s="5" t="s">
        <v>85</v>
      </c>
      <c r="W343" s="5">
        <v>26</v>
      </c>
      <c r="X343" s="5">
        <v>7.4</v>
      </c>
      <c r="Y343" s="5">
        <v>2</v>
      </c>
      <c r="Z343" s="5" t="s">
        <v>117</v>
      </c>
      <c r="AA343" s="6">
        <v>14.96</v>
      </c>
      <c r="AB343" s="8">
        <f t="shared" si="65"/>
        <v>44</v>
      </c>
      <c r="AC343" s="8">
        <f t="shared" si="66"/>
        <v>0</v>
      </c>
      <c r="AD343" s="8">
        <f t="shared" si="67"/>
        <v>44</v>
      </c>
      <c r="AE343" s="8">
        <f t="shared" si="68"/>
        <v>29.92</v>
      </c>
      <c r="AF343" s="8">
        <f t="shared" si="69"/>
        <v>14.079999999999998</v>
      </c>
      <c r="AG343" s="9">
        <f t="shared" si="70"/>
        <v>0.31999999999999995</v>
      </c>
      <c r="AH343" s="10">
        <f t="shared" si="71"/>
        <v>2025</v>
      </c>
      <c r="AI343" s="10">
        <f t="shared" si="72"/>
        <v>10</v>
      </c>
      <c r="AJ343" s="10" t="str">
        <f t="shared" si="73"/>
        <v>2025-10</v>
      </c>
      <c r="AK343" s="10" t="str">
        <f t="shared" si="74"/>
        <v>T4</v>
      </c>
      <c r="AL343" s="10" t="str">
        <f t="shared" si="75"/>
        <v>30-39</v>
      </c>
      <c r="AM343" s="10" t="str">
        <f t="shared" si="76"/>
        <v>bon</v>
      </c>
      <c r="AN343" s="10" t="s">
        <v>2838</v>
      </c>
      <c r="AO343" s="10" t="str">
        <f t="shared" si="77"/>
        <v>Faible</v>
      </c>
    </row>
    <row r="344" spans="1:41">
      <c r="A344" t="s">
        <v>1224</v>
      </c>
      <c r="B344" s="2">
        <v>45728</v>
      </c>
      <c r="C344" t="s">
        <v>1225</v>
      </c>
      <c r="D344" t="s">
        <v>340</v>
      </c>
      <c r="E344" t="s">
        <v>214</v>
      </c>
      <c r="F344" t="s">
        <v>429</v>
      </c>
      <c r="G344">
        <v>5</v>
      </c>
      <c r="H344" s="4">
        <v>22</v>
      </c>
      <c r="I344" s="3">
        <v>0.05</v>
      </c>
      <c r="J344" t="s">
        <v>45</v>
      </c>
      <c r="K344" t="s">
        <v>46</v>
      </c>
      <c r="L344" t="s">
        <v>1226</v>
      </c>
      <c r="M344" t="s">
        <v>69</v>
      </c>
      <c r="N344" t="s">
        <v>49</v>
      </c>
      <c r="O344" t="s">
        <v>342</v>
      </c>
      <c r="P344" t="s">
        <v>103</v>
      </c>
      <c r="Q344" t="s">
        <v>143</v>
      </c>
      <c r="R344" t="s">
        <v>216</v>
      </c>
      <c r="S344" t="s">
        <v>65</v>
      </c>
      <c r="T344" t="s">
        <v>431</v>
      </c>
      <c r="U344" s="5">
        <v>44</v>
      </c>
      <c r="V344" s="5" t="s">
        <v>85</v>
      </c>
      <c r="W344" s="5">
        <v>10</v>
      </c>
      <c r="X344" s="5">
        <v>7.4</v>
      </c>
      <c r="Y344" s="5">
        <v>2</v>
      </c>
      <c r="Z344" s="5" t="s">
        <v>57</v>
      </c>
      <c r="AA344" s="6">
        <v>14.96</v>
      </c>
      <c r="AB344" s="8">
        <f t="shared" si="65"/>
        <v>110</v>
      </c>
      <c r="AC344" s="8">
        <f t="shared" si="66"/>
        <v>5.5</v>
      </c>
      <c r="AD344" s="8">
        <f t="shared" si="67"/>
        <v>104.5</v>
      </c>
      <c r="AE344" s="8">
        <f t="shared" si="68"/>
        <v>74.800000000000011</v>
      </c>
      <c r="AF344" s="8">
        <f t="shared" si="69"/>
        <v>29.699999999999989</v>
      </c>
      <c r="AG344" s="9">
        <f t="shared" si="70"/>
        <v>0.28421052631578936</v>
      </c>
      <c r="AH344" s="10">
        <f t="shared" si="71"/>
        <v>2025</v>
      </c>
      <c r="AI344" s="10">
        <f t="shared" si="72"/>
        <v>3</v>
      </c>
      <c r="AJ344" s="10" t="str">
        <f t="shared" si="73"/>
        <v>2025-03</v>
      </c>
      <c r="AK344" s="10" t="str">
        <f t="shared" si="74"/>
        <v>T1</v>
      </c>
      <c r="AL344" s="10" t="str">
        <f t="shared" si="75"/>
        <v>40-49</v>
      </c>
      <c r="AM344" s="10" t="str">
        <f t="shared" si="76"/>
        <v>bon</v>
      </c>
      <c r="AN344" s="10" t="s">
        <v>2838</v>
      </c>
      <c r="AO344" s="10" t="str">
        <f t="shared" si="77"/>
        <v>Faible</v>
      </c>
    </row>
    <row r="345" spans="1:41">
      <c r="A345" t="s">
        <v>1227</v>
      </c>
      <c r="B345" s="2">
        <v>45730</v>
      </c>
      <c r="C345" t="s">
        <v>1228</v>
      </c>
      <c r="D345" t="s">
        <v>97</v>
      </c>
      <c r="E345" t="s">
        <v>315</v>
      </c>
      <c r="F345" t="s">
        <v>99</v>
      </c>
      <c r="G345">
        <v>1</v>
      </c>
      <c r="H345" s="4">
        <v>520</v>
      </c>
      <c r="I345" s="3">
        <v>0</v>
      </c>
      <c r="J345" t="s">
        <v>63</v>
      </c>
      <c r="K345" t="s">
        <v>46</v>
      </c>
      <c r="L345" t="s">
        <v>1229</v>
      </c>
      <c r="M345" t="s">
        <v>54</v>
      </c>
      <c r="N345" t="s">
        <v>112</v>
      </c>
      <c r="O345" t="s">
        <v>102</v>
      </c>
      <c r="P345" t="s">
        <v>103</v>
      </c>
      <c r="Q345" t="s">
        <v>52</v>
      </c>
      <c r="R345" t="s">
        <v>317</v>
      </c>
      <c r="S345" t="s">
        <v>69</v>
      </c>
      <c r="T345" t="s">
        <v>105</v>
      </c>
      <c r="U345" s="5">
        <v>29</v>
      </c>
      <c r="V345" s="5" t="s">
        <v>85</v>
      </c>
      <c r="W345" s="5">
        <v>46</v>
      </c>
      <c r="X345" s="5">
        <v>4.0999999999999996</v>
      </c>
      <c r="Y345" s="5">
        <v>8</v>
      </c>
      <c r="Z345" s="5" t="s">
        <v>94</v>
      </c>
      <c r="AA345" s="6">
        <v>348.4</v>
      </c>
      <c r="AB345" s="8">
        <f t="shared" si="65"/>
        <v>520</v>
      </c>
      <c r="AC345" s="8">
        <f t="shared" si="66"/>
        <v>0</v>
      </c>
      <c r="AD345" s="8">
        <f t="shared" si="67"/>
        <v>520</v>
      </c>
      <c r="AE345" s="8">
        <f t="shared" si="68"/>
        <v>348.4</v>
      </c>
      <c r="AF345" s="8">
        <f t="shared" si="69"/>
        <v>171.60000000000002</v>
      </c>
      <c r="AG345" s="9">
        <f t="shared" si="70"/>
        <v>0.33000000000000007</v>
      </c>
      <c r="AH345" s="10">
        <f t="shared" si="71"/>
        <v>2025</v>
      </c>
      <c r="AI345" s="10">
        <f t="shared" si="72"/>
        <v>3</v>
      </c>
      <c r="AJ345" s="10" t="str">
        <f t="shared" si="73"/>
        <v>2025-03</v>
      </c>
      <c r="AK345" s="10" t="str">
        <f t="shared" si="74"/>
        <v>T1</v>
      </c>
      <c r="AL345" s="10" t="str">
        <f t="shared" si="75"/>
        <v>22-29</v>
      </c>
      <c r="AM345" s="10" t="str">
        <f t="shared" si="76"/>
        <v>faible</v>
      </c>
      <c r="AN345" s="10" t="s">
        <v>2837</v>
      </c>
      <c r="AO345" s="10" t="str">
        <f t="shared" si="77"/>
        <v>Moyenne</v>
      </c>
    </row>
    <row r="346" spans="1:41">
      <c r="A346" t="s">
        <v>1230</v>
      </c>
      <c r="B346" s="2">
        <v>45675</v>
      </c>
      <c r="C346" t="s">
        <v>1231</v>
      </c>
      <c r="D346" t="s">
        <v>97</v>
      </c>
      <c r="E346" t="s">
        <v>120</v>
      </c>
      <c r="F346" t="s">
        <v>164</v>
      </c>
      <c r="G346">
        <v>1</v>
      </c>
      <c r="H346" s="4">
        <v>520</v>
      </c>
      <c r="I346" s="3">
        <v>0.05</v>
      </c>
      <c r="J346" t="s">
        <v>63</v>
      </c>
      <c r="K346" t="s">
        <v>46</v>
      </c>
      <c r="L346" t="s">
        <v>1232</v>
      </c>
      <c r="M346" t="s">
        <v>123</v>
      </c>
      <c r="N346" t="s">
        <v>112</v>
      </c>
      <c r="O346" t="s">
        <v>102</v>
      </c>
      <c r="P346" t="s">
        <v>103</v>
      </c>
      <c r="Q346" t="s">
        <v>52</v>
      </c>
      <c r="R346" t="s">
        <v>124</v>
      </c>
      <c r="S346" t="s">
        <v>48</v>
      </c>
      <c r="T346" t="s">
        <v>168</v>
      </c>
      <c r="U346" s="5">
        <v>26</v>
      </c>
      <c r="V346" s="5" t="s">
        <v>56</v>
      </c>
      <c r="W346" s="5">
        <v>68</v>
      </c>
      <c r="X346" s="5">
        <v>4.2</v>
      </c>
      <c r="Y346" s="5">
        <v>8</v>
      </c>
      <c r="Z346" s="5" t="s">
        <v>57</v>
      </c>
      <c r="AA346" s="6">
        <v>348.4</v>
      </c>
      <c r="AB346" s="8">
        <f t="shared" si="65"/>
        <v>520</v>
      </c>
      <c r="AC346" s="8">
        <f t="shared" si="66"/>
        <v>26</v>
      </c>
      <c r="AD346" s="8">
        <f t="shared" si="67"/>
        <v>494</v>
      </c>
      <c r="AE346" s="8">
        <f t="shared" si="68"/>
        <v>348.4</v>
      </c>
      <c r="AF346" s="8">
        <f t="shared" si="69"/>
        <v>145.60000000000002</v>
      </c>
      <c r="AG346" s="9">
        <f t="shared" si="70"/>
        <v>0.29473684210526319</v>
      </c>
      <c r="AH346" s="10">
        <f t="shared" si="71"/>
        <v>2025</v>
      </c>
      <c r="AI346" s="10">
        <f t="shared" si="72"/>
        <v>1</v>
      </c>
      <c r="AJ346" s="10" t="str">
        <f t="shared" si="73"/>
        <v>2025-01</v>
      </c>
      <c r="AK346" s="10" t="str">
        <f t="shared" si="74"/>
        <v>T1</v>
      </c>
      <c r="AL346" s="10" t="str">
        <f t="shared" si="75"/>
        <v>22-29</v>
      </c>
      <c r="AM346" s="10" t="str">
        <f t="shared" si="76"/>
        <v>faible</v>
      </c>
      <c r="AN346" s="10" t="s">
        <v>2837</v>
      </c>
      <c r="AO346" s="10" t="str">
        <f t="shared" si="77"/>
        <v>Faible</v>
      </c>
    </row>
    <row r="347" spans="1:41">
      <c r="A347" t="s">
        <v>1233</v>
      </c>
      <c r="B347" s="2">
        <v>45970</v>
      </c>
      <c r="C347" t="s">
        <v>1234</v>
      </c>
      <c r="D347" t="s">
        <v>188</v>
      </c>
      <c r="E347" t="s">
        <v>109</v>
      </c>
      <c r="F347" t="s">
        <v>302</v>
      </c>
      <c r="G347">
        <v>2</v>
      </c>
      <c r="H347" s="4">
        <v>350</v>
      </c>
      <c r="I347" s="3">
        <v>0</v>
      </c>
      <c r="J347" t="s">
        <v>63</v>
      </c>
      <c r="K347" t="s">
        <v>46</v>
      </c>
      <c r="L347" t="s">
        <v>1235</v>
      </c>
      <c r="M347" t="s">
        <v>48</v>
      </c>
      <c r="N347" t="s">
        <v>80</v>
      </c>
      <c r="O347" t="s">
        <v>192</v>
      </c>
      <c r="P347" t="s">
        <v>51</v>
      </c>
      <c r="Q347" t="s">
        <v>114</v>
      </c>
      <c r="R347" t="s">
        <v>115</v>
      </c>
      <c r="S347" t="s">
        <v>65</v>
      </c>
      <c r="T347" t="s">
        <v>304</v>
      </c>
      <c r="U347" s="5">
        <v>59</v>
      </c>
      <c r="V347" s="5" t="s">
        <v>56</v>
      </c>
      <c r="W347" s="5">
        <v>45</v>
      </c>
      <c r="X347" s="5">
        <v>6.9</v>
      </c>
      <c r="Y347" s="5">
        <v>4</v>
      </c>
      <c r="Z347" s="5" t="s">
        <v>57</v>
      </c>
      <c r="AA347" s="6">
        <v>213.5</v>
      </c>
      <c r="AB347" s="8">
        <f t="shared" si="65"/>
        <v>700</v>
      </c>
      <c r="AC347" s="8">
        <f t="shared" si="66"/>
        <v>0</v>
      </c>
      <c r="AD347" s="8">
        <f t="shared" si="67"/>
        <v>700</v>
      </c>
      <c r="AE347" s="8">
        <f t="shared" si="68"/>
        <v>427</v>
      </c>
      <c r="AF347" s="8">
        <f t="shared" si="69"/>
        <v>273</v>
      </c>
      <c r="AG347" s="9">
        <f t="shared" si="70"/>
        <v>0.39</v>
      </c>
      <c r="AH347" s="10">
        <f t="shared" si="71"/>
        <v>2025</v>
      </c>
      <c r="AI347" s="10">
        <f t="shared" si="72"/>
        <v>11</v>
      </c>
      <c r="AJ347" s="10" t="str">
        <f t="shared" si="73"/>
        <v>2025-11</v>
      </c>
      <c r="AK347" s="10" t="str">
        <f t="shared" si="74"/>
        <v>T4</v>
      </c>
      <c r="AL347" s="10" t="str">
        <f t="shared" si="75"/>
        <v>50+</v>
      </c>
      <c r="AM347" s="10" t="str">
        <f t="shared" si="76"/>
        <v>moyen</v>
      </c>
      <c r="AN347" s="10" t="s">
        <v>2839</v>
      </c>
      <c r="AO347" s="10" t="str">
        <f t="shared" si="77"/>
        <v>Moyenne</v>
      </c>
    </row>
    <row r="348" spans="1:41">
      <c r="A348" t="s">
        <v>1236</v>
      </c>
      <c r="B348" s="2">
        <v>45752</v>
      </c>
      <c r="C348" t="s">
        <v>1237</v>
      </c>
      <c r="D348" t="s">
        <v>162</v>
      </c>
      <c r="E348" t="s">
        <v>88</v>
      </c>
      <c r="F348" t="s">
        <v>310</v>
      </c>
      <c r="G348">
        <v>3</v>
      </c>
      <c r="H348" s="4">
        <v>35</v>
      </c>
      <c r="I348" s="3">
        <v>0.05</v>
      </c>
      <c r="J348" t="s">
        <v>90</v>
      </c>
      <c r="K348" t="s">
        <v>46</v>
      </c>
      <c r="L348" t="s">
        <v>1238</v>
      </c>
      <c r="M348" t="s">
        <v>48</v>
      </c>
      <c r="N348" t="s">
        <v>101</v>
      </c>
      <c r="O348" t="s">
        <v>166</v>
      </c>
      <c r="P348" t="s">
        <v>103</v>
      </c>
      <c r="Q348" t="s">
        <v>143</v>
      </c>
      <c r="R348" t="s">
        <v>92</v>
      </c>
      <c r="S348" t="s">
        <v>48</v>
      </c>
      <c r="T348" t="s">
        <v>312</v>
      </c>
      <c r="U348" s="5">
        <v>39</v>
      </c>
      <c r="V348" s="5" t="s">
        <v>85</v>
      </c>
      <c r="W348" s="5">
        <v>54</v>
      </c>
      <c r="X348" s="5">
        <v>5.0999999999999996</v>
      </c>
      <c r="Y348" s="5">
        <v>6</v>
      </c>
      <c r="Z348" s="5" t="s">
        <v>117</v>
      </c>
      <c r="AA348" s="6">
        <v>24.15</v>
      </c>
      <c r="AB348" s="8">
        <f t="shared" si="65"/>
        <v>105</v>
      </c>
      <c r="AC348" s="8">
        <f t="shared" si="66"/>
        <v>5.25</v>
      </c>
      <c r="AD348" s="8">
        <f t="shared" si="67"/>
        <v>99.75</v>
      </c>
      <c r="AE348" s="8">
        <f t="shared" si="68"/>
        <v>72.449999999999989</v>
      </c>
      <c r="AF348" s="8">
        <f t="shared" si="69"/>
        <v>27.300000000000011</v>
      </c>
      <c r="AG348" s="9">
        <f t="shared" si="70"/>
        <v>0.27368421052631592</v>
      </c>
      <c r="AH348" s="10">
        <f t="shared" si="71"/>
        <v>2025</v>
      </c>
      <c r="AI348" s="10">
        <f t="shared" si="72"/>
        <v>4</v>
      </c>
      <c r="AJ348" s="10" t="str">
        <f t="shared" si="73"/>
        <v>2025-04</v>
      </c>
      <c r="AK348" s="10" t="str">
        <f t="shared" si="74"/>
        <v>T2</v>
      </c>
      <c r="AL348" s="10" t="str">
        <f t="shared" si="75"/>
        <v>30-39</v>
      </c>
      <c r="AM348" s="10" t="str">
        <f t="shared" si="76"/>
        <v>moyen</v>
      </c>
      <c r="AN348" s="10" t="s">
        <v>2839</v>
      </c>
      <c r="AO348" s="10" t="str">
        <f t="shared" si="77"/>
        <v>Faible</v>
      </c>
    </row>
    <row r="349" spans="1:41">
      <c r="A349" t="s">
        <v>1239</v>
      </c>
      <c r="B349" s="2">
        <v>45969</v>
      </c>
      <c r="C349" t="s">
        <v>1240</v>
      </c>
      <c r="D349" t="s">
        <v>60</v>
      </c>
      <c r="E349" t="s">
        <v>120</v>
      </c>
      <c r="F349" t="s">
        <v>121</v>
      </c>
      <c r="G349">
        <v>4</v>
      </c>
      <c r="H349" s="4">
        <v>180</v>
      </c>
      <c r="I349" s="3">
        <v>0</v>
      </c>
      <c r="J349" t="s">
        <v>77</v>
      </c>
      <c r="K349" t="s">
        <v>46</v>
      </c>
      <c r="L349" t="s">
        <v>1241</v>
      </c>
      <c r="M349" t="s">
        <v>54</v>
      </c>
      <c r="N349" t="s">
        <v>255</v>
      </c>
      <c r="O349" t="s">
        <v>66</v>
      </c>
      <c r="P349" t="s">
        <v>67</v>
      </c>
      <c r="Q349" t="s">
        <v>52</v>
      </c>
      <c r="R349" t="s">
        <v>124</v>
      </c>
      <c r="S349" t="s">
        <v>48</v>
      </c>
      <c r="T349" t="s">
        <v>125</v>
      </c>
      <c r="U349" s="5">
        <v>48</v>
      </c>
      <c r="V349" s="5" t="s">
        <v>85</v>
      </c>
      <c r="W349" s="5">
        <v>64</v>
      </c>
      <c r="X349" s="5">
        <v>4.3</v>
      </c>
      <c r="Y349" s="5">
        <v>9</v>
      </c>
      <c r="Z349" s="5" t="s">
        <v>57</v>
      </c>
      <c r="AA349" s="6">
        <v>129.6</v>
      </c>
      <c r="AB349" s="8">
        <f t="shared" si="65"/>
        <v>720</v>
      </c>
      <c r="AC349" s="8">
        <f t="shared" si="66"/>
        <v>0</v>
      </c>
      <c r="AD349" s="8">
        <f t="shared" si="67"/>
        <v>720</v>
      </c>
      <c r="AE349" s="8">
        <f t="shared" si="68"/>
        <v>518.4</v>
      </c>
      <c r="AF349" s="8">
        <f t="shared" si="69"/>
        <v>201.60000000000002</v>
      </c>
      <c r="AG349" s="9">
        <f t="shared" si="70"/>
        <v>0.28000000000000003</v>
      </c>
      <c r="AH349" s="10">
        <f t="shared" si="71"/>
        <v>2025</v>
      </c>
      <c r="AI349" s="10">
        <f t="shared" si="72"/>
        <v>11</v>
      </c>
      <c r="AJ349" s="10" t="str">
        <f t="shared" si="73"/>
        <v>2025-11</v>
      </c>
      <c r="AK349" s="10" t="str">
        <f t="shared" si="74"/>
        <v>T4</v>
      </c>
      <c r="AL349" s="10" t="str">
        <f t="shared" si="75"/>
        <v>40-49</v>
      </c>
      <c r="AM349" s="10" t="str">
        <f t="shared" si="76"/>
        <v>faible</v>
      </c>
      <c r="AN349" s="10" t="s">
        <v>2837</v>
      </c>
      <c r="AO349" s="10" t="str">
        <f t="shared" si="77"/>
        <v>Moyenne</v>
      </c>
    </row>
    <row r="350" spans="1:41">
      <c r="A350" t="s">
        <v>1242</v>
      </c>
      <c r="B350" s="2">
        <v>45976</v>
      </c>
      <c r="C350" t="s">
        <v>1243</v>
      </c>
      <c r="D350" t="s">
        <v>138</v>
      </c>
      <c r="E350" t="s">
        <v>189</v>
      </c>
      <c r="F350" t="s">
        <v>99</v>
      </c>
      <c r="G350">
        <v>2</v>
      </c>
      <c r="H350" s="4">
        <v>120</v>
      </c>
      <c r="I350" s="3">
        <v>0.02</v>
      </c>
      <c r="J350" t="s">
        <v>90</v>
      </c>
      <c r="K350" t="s">
        <v>46</v>
      </c>
      <c r="L350" t="s">
        <v>1244</v>
      </c>
      <c r="M350" t="s">
        <v>69</v>
      </c>
      <c r="N350" t="s">
        <v>112</v>
      </c>
      <c r="O350" t="s">
        <v>142</v>
      </c>
      <c r="P350" t="s">
        <v>51</v>
      </c>
      <c r="Q350" t="s">
        <v>143</v>
      </c>
      <c r="R350" t="s">
        <v>193</v>
      </c>
      <c r="S350" t="s">
        <v>79</v>
      </c>
      <c r="T350" t="s">
        <v>105</v>
      </c>
      <c r="U350" s="5">
        <v>35</v>
      </c>
      <c r="V350" s="5" t="s">
        <v>85</v>
      </c>
      <c r="W350" s="5">
        <v>27</v>
      </c>
      <c r="X350" s="5">
        <v>3.5</v>
      </c>
      <c r="Y350" s="5">
        <v>8</v>
      </c>
      <c r="Z350" s="5" t="s">
        <v>57</v>
      </c>
      <c r="AA350" s="6">
        <v>73.2</v>
      </c>
      <c r="AB350" s="8">
        <f t="shared" si="65"/>
        <v>240</v>
      </c>
      <c r="AC350" s="8">
        <f t="shared" si="66"/>
        <v>4.8</v>
      </c>
      <c r="AD350" s="8">
        <f t="shared" si="67"/>
        <v>235.2</v>
      </c>
      <c r="AE350" s="8">
        <f t="shared" si="68"/>
        <v>146.4</v>
      </c>
      <c r="AF350" s="8">
        <f t="shared" si="69"/>
        <v>88.799999999999983</v>
      </c>
      <c r="AG350" s="9">
        <f t="shared" si="70"/>
        <v>0.37755102040816318</v>
      </c>
      <c r="AH350" s="10">
        <f t="shared" si="71"/>
        <v>2025</v>
      </c>
      <c r="AI350" s="10">
        <f t="shared" si="72"/>
        <v>11</v>
      </c>
      <c r="AJ350" s="10" t="str">
        <f t="shared" si="73"/>
        <v>2025-11</v>
      </c>
      <c r="AK350" s="10" t="str">
        <f t="shared" si="74"/>
        <v>T4</v>
      </c>
      <c r="AL350" s="10" t="str">
        <f t="shared" si="75"/>
        <v>30-39</v>
      </c>
      <c r="AM350" s="10" t="str">
        <f t="shared" si="76"/>
        <v>faible</v>
      </c>
      <c r="AN350" s="10" t="s">
        <v>2837</v>
      </c>
      <c r="AO350" s="10" t="str">
        <f t="shared" si="77"/>
        <v>Faible</v>
      </c>
    </row>
    <row r="351" spans="1:41">
      <c r="A351" t="s">
        <v>1245</v>
      </c>
      <c r="B351" s="2">
        <v>45875</v>
      </c>
      <c r="C351" t="s">
        <v>1246</v>
      </c>
      <c r="D351" t="s">
        <v>74</v>
      </c>
      <c r="E351" t="s">
        <v>61</v>
      </c>
      <c r="F351" t="s">
        <v>233</v>
      </c>
      <c r="G351">
        <v>3</v>
      </c>
      <c r="H351" s="4">
        <v>95</v>
      </c>
      <c r="I351" s="3">
        <v>0.05</v>
      </c>
      <c r="J351" t="s">
        <v>77</v>
      </c>
      <c r="K351" t="s">
        <v>46</v>
      </c>
      <c r="L351" t="s">
        <v>1247</v>
      </c>
      <c r="M351" t="s">
        <v>65</v>
      </c>
      <c r="N351" t="s">
        <v>255</v>
      </c>
      <c r="O351" t="s">
        <v>81</v>
      </c>
      <c r="P351" t="s">
        <v>82</v>
      </c>
      <c r="Q351" t="s">
        <v>52</v>
      </c>
      <c r="R351" t="s">
        <v>68</v>
      </c>
      <c r="S351" t="s">
        <v>69</v>
      </c>
      <c r="T351" t="s">
        <v>235</v>
      </c>
      <c r="U351" s="5">
        <v>23</v>
      </c>
      <c r="V351" s="5" t="s">
        <v>85</v>
      </c>
      <c r="W351" s="5">
        <v>63</v>
      </c>
      <c r="X351" s="5">
        <v>5.9</v>
      </c>
      <c r="Y351" s="5">
        <v>5</v>
      </c>
      <c r="Z351" s="5" t="s">
        <v>117</v>
      </c>
      <c r="AA351" s="6">
        <v>70.3</v>
      </c>
      <c r="AB351" s="8">
        <f t="shared" si="65"/>
        <v>285</v>
      </c>
      <c r="AC351" s="8">
        <f t="shared" si="66"/>
        <v>14.25</v>
      </c>
      <c r="AD351" s="8">
        <f t="shared" si="67"/>
        <v>270.75</v>
      </c>
      <c r="AE351" s="8">
        <f t="shared" si="68"/>
        <v>210.89999999999998</v>
      </c>
      <c r="AF351" s="8">
        <f t="shared" si="69"/>
        <v>59.850000000000023</v>
      </c>
      <c r="AG351" s="9">
        <f t="shared" si="70"/>
        <v>0.22105263157894744</v>
      </c>
      <c r="AH351" s="10">
        <f t="shared" si="71"/>
        <v>2025</v>
      </c>
      <c r="AI351" s="10">
        <f t="shared" si="72"/>
        <v>8</v>
      </c>
      <c r="AJ351" s="10" t="str">
        <f t="shared" si="73"/>
        <v>2025-08</v>
      </c>
      <c r="AK351" s="10" t="str">
        <f t="shared" si="74"/>
        <v>T3</v>
      </c>
      <c r="AL351" s="10" t="str">
        <f t="shared" si="75"/>
        <v>22-29</v>
      </c>
      <c r="AM351" s="10" t="str">
        <f t="shared" si="76"/>
        <v>moyen</v>
      </c>
      <c r="AN351" s="10" t="s">
        <v>2839</v>
      </c>
      <c r="AO351" s="10" t="str">
        <f t="shared" si="77"/>
        <v>Faible</v>
      </c>
    </row>
    <row r="352" spans="1:41">
      <c r="A352" t="s">
        <v>1248</v>
      </c>
      <c r="B352" s="2">
        <v>45665</v>
      </c>
      <c r="C352" t="s">
        <v>1249</v>
      </c>
      <c r="D352" t="s">
        <v>155</v>
      </c>
      <c r="E352" t="s">
        <v>163</v>
      </c>
      <c r="F352" t="s">
        <v>248</v>
      </c>
      <c r="G352">
        <v>2</v>
      </c>
      <c r="H352" s="4">
        <v>48</v>
      </c>
      <c r="I352" s="3">
        <v>0.08</v>
      </c>
      <c r="J352" t="s">
        <v>77</v>
      </c>
      <c r="K352" t="s">
        <v>46</v>
      </c>
      <c r="L352" t="s">
        <v>1250</v>
      </c>
      <c r="M352" t="s">
        <v>54</v>
      </c>
      <c r="N352" t="s">
        <v>49</v>
      </c>
      <c r="O352" t="s">
        <v>158</v>
      </c>
      <c r="P352" t="s">
        <v>51</v>
      </c>
      <c r="Q352" t="s">
        <v>143</v>
      </c>
      <c r="R352" t="s">
        <v>167</v>
      </c>
      <c r="S352" t="s">
        <v>123</v>
      </c>
      <c r="T352" t="s">
        <v>250</v>
      </c>
      <c r="U352" s="5">
        <v>40</v>
      </c>
      <c r="V352" s="5" t="s">
        <v>56</v>
      </c>
      <c r="W352" s="5">
        <v>25</v>
      </c>
      <c r="X352" s="5">
        <v>6.8</v>
      </c>
      <c r="Y352" s="5">
        <v>3</v>
      </c>
      <c r="Z352" s="5" t="s">
        <v>117</v>
      </c>
      <c r="AA352" s="6">
        <v>37.44</v>
      </c>
      <c r="AB352" s="8">
        <f t="shared" si="65"/>
        <v>96</v>
      </c>
      <c r="AC352" s="8">
        <f t="shared" si="66"/>
        <v>7.68</v>
      </c>
      <c r="AD352" s="8">
        <f t="shared" si="67"/>
        <v>88.32</v>
      </c>
      <c r="AE352" s="8">
        <f t="shared" si="68"/>
        <v>74.88</v>
      </c>
      <c r="AF352" s="8">
        <f t="shared" si="69"/>
        <v>13.439999999999998</v>
      </c>
      <c r="AG352" s="9">
        <f t="shared" si="70"/>
        <v>0.15217391304347824</v>
      </c>
      <c r="AH352" s="10">
        <f t="shared" si="71"/>
        <v>2025</v>
      </c>
      <c r="AI352" s="10">
        <f t="shared" si="72"/>
        <v>1</v>
      </c>
      <c r="AJ352" s="10" t="str">
        <f t="shared" si="73"/>
        <v>2025-01</v>
      </c>
      <c r="AK352" s="10" t="str">
        <f t="shared" si="74"/>
        <v>T1</v>
      </c>
      <c r="AL352" s="10" t="str">
        <f t="shared" si="75"/>
        <v>40-49</v>
      </c>
      <c r="AM352" s="10" t="str">
        <f t="shared" si="76"/>
        <v>moyen</v>
      </c>
      <c r="AN352" s="10" t="s">
        <v>2838</v>
      </c>
      <c r="AO352" s="10" t="str">
        <f t="shared" si="77"/>
        <v>Faible</v>
      </c>
    </row>
    <row r="353" spans="1:41">
      <c r="A353" t="s">
        <v>1251</v>
      </c>
      <c r="B353" s="2">
        <v>45860</v>
      </c>
      <c r="C353" t="s">
        <v>1252</v>
      </c>
      <c r="D353" t="s">
        <v>74</v>
      </c>
      <c r="E353" t="s">
        <v>189</v>
      </c>
      <c r="F353" t="s">
        <v>44</v>
      </c>
      <c r="G353">
        <v>1</v>
      </c>
      <c r="H353" s="4">
        <v>95</v>
      </c>
      <c r="I353" s="3">
        <v>0</v>
      </c>
      <c r="J353" t="s">
        <v>77</v>
      </c>
      <c r="K353" t="s">
        <v>46</v>
      </c>
      <c r="L353" t="s">
        <v>1253</v>
      </c>
      <c r="M353" t="s">
        <v>65</v>
      </c>
      <c r="N353" t="s">
        <v>101</v>
      </c>
      <c r="O353" t="s">
        <v>81</v>
      </c>
      <c r="P353" t="s">
        <v>82</v>
      </c>
      <c r="Q353" t="s">
        <v>52</v>
      </c>
      <c r="R353" t="s">
        <v>193</v>
      </c>
      <c r="S353" t="s">
        <v>79</v>
      </c>
      <c r="T353" t="s">
        <v>55</v>
      </c>
      <c r="U353" s="5">
        <v>53</v>
      </c>
      <c r="V353" s="5" t="s">
        <v>85</v>
      </c>
      <c r="W353" s="5">
        <v>11</v>
      </c>
      <c r="X353" s="5">
        <v>5.9</v>
      </c>
      <c r="Y353" s="5">
        <v>5</v>
      </c>
      <c r="Z353" s="5" t="s">
        <v>117</v>
      </c>
      <c r="AA353" s="6">
        <v>70.3</v>
      </c>
      <c r="AB353" s="8">
        <f t="shared" si="65"/>
        <v>95</v>
      </c>
      <c r="AC353" s="8">
        <f t="shared" si="66"/>
        <v>0</v>
      </c>
      <c r="AD353" s="8">
        <f t="shared" si="67"/>
        <v>95</v>
      </c>
      <c r="AE353" s="8">
        <f t="shared" si="68"/>
        <v>70.3</v>
      </c>
      <c r="AF353" s="8">
        <f t="shared" si="69"/>
        <v>24.700000000000003</v>
      </c>
      <c r="AG353" s="9">
        <f t="shared" si="70"/>
        <v>0.26</v>
      </c>
      <c r="AH353" s="10">
        <f t="shared" si="71"/>
        <v>2025</v>
      </c>
      <c r="AI353" s="10">
        <f t="shared" si="72"/>
        <v>7</v>
      </c>
      <c r="AJ353" s="10" t="str">
        <f t="shared" si="73"/>
        <v>2025-07</v>
      </c>
      <c r="AK353" s="10" t="str">
        <f t="shared" si="74"/>
        <v>T3</v>
      </c>
      <c r="AL353" s="10" t="str">
        <f t="shared" si="75"/>
        <v>50+</v>
      </c>
      <c r="AM353" s="10" t="str">
        <f t="shared" si="76"/>
        <v>moyen</v>
      </c>
      <c r="AN353" s="10" t="s">
        <v>2839</v>
      </c>
      <c r="AO353" s="10" t="str">
        <f t="shared" si="77"/>
        <v>Faible</v>
      </c>
    </row>
    <row r="354" spans="1:41">
      <c r="A354" t="s">
        <v>1254</v>
      </c>
      <c r="B354" s="2">
        <v>45949</v>
      </c>
      <c r="C354" t="s">
        <v>1255</v>
      </c>
      <c r="D354" t="s">
        <v>138</v>
      </c>
      <c r="E354" t="s">
        <v>345</v>
      </c>
      <c r="F354" t="s">
        <v>220</v>
      </c>
      <c r="G354">
        <v>3</v>
      </c>
      <c r="H354" s="4">
        <v>120</v>
      </c>
      <c r="I354" s="3">
        <v>0.1</v>
      </c>
      <c r="J354" t="s">
        <v>77</v>
      </c>
      <c r="K354" t="s">
        <v>46</v>
      </c>
      <c r="L354" t="s">
        <v>1256</v>
      </c>
      <c r="M354" t="s">
        <v>79</v>
      </c>
      <c r="N354" t="s">
        <v>49</v>
      </c>
      <c r="O354" t="s">
        <v>142</v>
      </c>
      <c r="P354" t="s">
        <v>51</v>
      </c>
      <c r="Q354" t="s">
        <v>143</v>
      </c>
      <c r="R354" t="s">
        <v>347</v>
      </c>
      <c r="S354" t="s">
        <v>54</v>
      </c>
      <c r="T354" t="s">
        <v>223</v>
      </c>
      <c r="U354" s="5">
        <v>31</v>
      </c>
      <c r="V354" s="5" t="s">
        <v>56</v>
      </c>
      <c r="W354" s="5">
        <v>28</v>
      </c>
      <c r="X354" s="5">
        <v>7.8</v>
      </c>
      <c r="Y354" s="5">
        <v>2</v>
      </c>
      <c r="Z354" s="5" t="s">
        <v>71</v>
      </c>
      <c r="AA354" s="6">
        <v>73.2</v>
      </c>
      <c r="AB354" s="8">
        <f t="shared" si="65"/>
        <v>360</v>
      </c>
      <c r="AC354" s="8">
        <f t="shared" si="66"/>
        <v>36</v>
      </c>
      <c r="AD354" s="8">
        <f t="shared" si="67"/>
        <v>324</v>
      </c>
      <c r="AE354" s="8">
        <f t="shared" si="68"/>
        <v>219.60000000000002</v>
      </c>
      <c r="AF354" s="8">
        <f t="shared" si="69"/>
        <v>104.39999999999998</v>
      </c>
      <c r="AG354" s="9">
        <f t="shared" si="70"/>
        <v>0.32222222222222213</v>
      </c>
      <c r="AH354" s="10">
        <f t="shared" si="71"/>
        <v>2025</v>
      </c>
      <c r="AI354" s="10">
        <f t="shared" si="72"/>
        <v>10</v>
      </c>
      <c r="AJ354" s="10" t="str">
        <f t="shared" si="73"/>
        <v>2025-10</v>
      </c>
      <c r="AK354" s="10" t="str">
        <f t="shared" si="74"/>
        <v>T4</v>
      </c>
      <c r="AL354" s="10" t="str">
        <f t="shared" si="75"/>
        <v>30-39</v>
      </c>
      <c r="AM354" s="10" t="str">
        <f t="shared" si="76"/>
        <v>bon</v>
      </c>
      <c r="AN354" s="10" t="s">
        <v>2838</v>
      </c>
      <c r="AO354" s="10" t="str">
        <f t="shared" si="77"/>
        <v>Faible</v>
      </c>
    </row>
    <row r="355" spans="1:41">
      <c r="A355" t="s">
        <v>1257</v>
      </c>
      <c r="B355" s="2">
        <v>45799</v>
      </c>
      <c r="C355" t="s">
        <v>1258</v>
      </c>
      <c r="D355" t="s">
        <v>128</v>
      </c>
      <c r="E355" t="s">
        <v>109</v>
      </c>
      <c r="F355" t="s">
        <v>253</v>
      </c>
      <c r="G355">
        <v>1</v>
      </c>
      <c r="H355" s="4">
        <v>190</v>
      </c>
      <c r="I355" s="3">
        <v>0.02</v>
      </c>
      <c r="J355" t="s">
        <v>45</v>
      </c>
      <c r="K355" t="s">
        <v>46</v>
      </c>
      <c r="L355" t="s">
        <v>1259</v>
      </c>
      <c r="M355" t="s">
        <v>79</v>
      </c>
      <c r="N355" t="s">
        <v>112</v>
      </c>
      <c r="O355" t="s">
        <v>132</v>
      </c>
      <c r="P355" t="s">
        <v>133</v>
      </c>
      <c r="Q355" t="s">
        <v>52</v>
      </c>
      <c r="R355" t="s">
        <v>115</v>
      </c>
      <c r="S355" t="s">
        <v>65</v>
      </c>
      <c r="T355" t="s">
        <v>256</v>
      </c>
      <c r="U355" s="5">
        <v>32</v>
      </c>
      <c r="V355" s="5" t="s">
        <v>85</v>
      </c>
      <c r="W355" s="5">
        <v>29</v>
      </c>
      <c r="X355" s="5">
        <v>5.0999999999999996</v>
      </c>
      <c r="Y355" s="5">
        <v>6</v>
      </c>
      <c r="Z355" s="5" t="s">
        <v>94</v>
      </c>
      <c r="AA355" s="6">
        <v>148.19999999999999</v>
      </c>
      <c r="AB355" s="8">
        <f t="shared" si="65"/>
        <v>190</v>
      </c>
      <c r="AC355" s="8">
        <f t="shared" si="66"/>
        <v>3.8000000000000003</v>
      </c>
      <c r="AD355" s="8">
        <f t="shared" si="67"/>
        <v>186.2</v>
      </c>
      <c r="AE355" s="8">
        <f t="shared" si="68"/>
        <v>148.19999999999999</v>
      </c>
      <c r="AF355" s="8">
        <f t="shared" si="69"/>
        <v>38</v>
      </c>
      <c r="AG355" s="9">
        <f t="shared" si="70"/>
        <v>0.20408163265306123</v>
      </c>
      <c r="AH355" s="10">
        <f t="shared" si="71"/>
        <v>2025</v>
      </c>
      <c r="AI355" s="10">
        <f t="shared" si="72"/>
        <v>5</v>
      </c>
      <c r="AJ355" s="10" t="str">
        <f t="shared" si="73"/>
        <v>2025-05</v>
      </c>
      <c r="AK355" s="10" t="str">
        <f t="shared" si="74"/>
        <v>T2</v>
      </c>
      <c r="AL355" s="10" t="str">
        <f t="shared" si="75"/>
        <v>30-39</v>
      </c>
      <c r="AM355" s="10" t="str">
        <f t="shared" si="76"/>
        <v>moyen</v>
      </c>
      <c r="AN355" s="10" t="s">
        <v>2839</v>
      </c>
      <c r="AO355" s="10" t="str">
        <f t="shared" si="77"/>
        <v>Faible</v>
      </c>
    </row>
    <row r="356" spans="1:41">
      <c r="A356" t="s">
        <v>1260</v>
      </c>
      <c r="B356" s="2">
        <v>45716</v>
      </c>
      <c r="C356" t="s">
        <v>1153</v>
      </c>
      <c r="D356" t="s">
        <v>42</v>
      </c>
      <c r="E356" t="s">
        <v>219</v>
      </c>
      <c r="F356" t="s">
        <v>156</v>
      </c>
      <c r="G356">
        <v>3</v>
      </c>
      <c r="H356" s="4">
        <v>260</v>
      </c>
      <c r="I356" s="3">
        <v>0</v>
      </c>
      <c r="J356" t="s">
        <v>63</v>
      </c>
      <c r="K356" t="s">
        <v>46</v>
      </c>
      <c r="L356" t="s">
        <v>1154</v>
      </c>
      <c r="M356" t="s">
        <v>54</v>
      </c>
      <c r="N356" t="s">
        <v>49</v>
      </c>
      <c r="O356" t="s">
        <v>50</v>
      </c>
      <c r="P356" t="s">
        <v>51</v>
      </c>
      <c r="Q356" t="s">
        <v>52</v>
      </c>
      <c r="R356" t="s">
        <v>222</v>
      </c>
      <c r="S356" t="s">
        <v>123</v>
      </c>
      <c r="T356" t="s">
        <v>159</v>
      </c>
      <c r="U356" s="5">
        <v>35</v>
      </c>
      <c r="V356" s="5" t="s">
        <v>85</v>
      </c>
      <c r="W356" s="5">
        <v>51</v>
      </c>
      <c r="X356" s="5">
        <v>4.5999999999999996</v>
      </c>
      <c r="Y356" s="5">
        <v>8</v>
      </c>
      <c r="Z356" s="5" t="s">
        <v>57</v>
      </c>
      <c r="AA356" s="6">
        <v>189.8</v>
      </c>
      <c r="AB356" s="8">
        <f t="shared" si="65"/>
        <v>780</v>
      </c>
      <c r="AC356" s="8">
        <f t="shared" si="66"/>
        <v>0</v>
      </c>
      <c r="AD356" s="8">
        <f t="shared" si="67"/>
        <v>780</v>
      </c>
      <c r="AE356" s="8">
        <f t="shared" si="68"/>
        <v>569.40000000000009</v>
      </c>
      <c r="AF356" s="8">
        <f t="shared" si="69"/>
        <v>210.59999999999991</v>
      </c>
      <c r="AG356" s="9">
        <f t="shared" si="70"/>
        <v>0.26999999999999991</v>
      </c>
      <c r="AH356" s="10">
        <f t="shared" si="71"/>
        <v>2025</v>
      </c>
      <c r="AI356" s="10">
        <f t="shared" si="72"/>
        <v>2</v>
      </c>
      <c r="AJ356" s="10" t="str">
        <f t="shared" si="73"/>
        <v>2025-02</v>
      </c>
      <c r="AK356" s="10" t="str">
        <f t="shared" si="74"/>
        <v>T1</v>
      </c>
      <c r="AL356" s="10" t="str">
        <f t="shared" si="75"/>
        <v>30-39</v>
      </c>
      <c r="AM356" s="10" t="str">
        <f t="shared" si="76"/>
        <v>faible</v>
      </c>
      <c r="AN356" s="10" t="s">
        <v>2837</v>
      </c>
      <c r="AO356" s="10" t="str">
        <f t="shared" si="77"/>
        <v>Moyenne</v>
      </c>
    </row>
    <row r="357" spans="1:41">
      <c r="A357" t="s">
        <v>1261</v>
      </c>
      <c r="B357" s="2">
        <v>45790</v>
      </c>
      <c r="C357" t="s">
        <v>1262</v>
      </c>
      <c r="D357" t="s">
        <v>162</v>
      </c>
      <c r="E357" t="s">
        <v>219</v>
      </c>
      <c r="F357" t="s">
        <v>502</v>
      </c>
      <c r="G357">
        <v>10</v>
      </c>
      <c r="H357" s="4">
        <v>35</v>
      </c>
      <c r="I357" s="3">
        <v>0</v>
      </c>
      <c r="J357" t="s">
        <v>77</v>
      </c>
      <c r="K357" t="s">
        <v>46</v>
      </c>
      <c r="L357" t="s">
        <v>1263</v>
      </c>
      <c r="M357" t="s">
        <v>69</v>
      </c>
      <c r="N357" t="s">
        <v>255</v>
      </c>
      <c r="O357" t="s">
        <v>166</v>
      </c>
      <c r="P357" t="s">
        <v>103</v>
      </c>
      <c r="Q357" t="s">
        <v>143</v>
      </c>
      <c r="R357" t="s">
        <v>222</v>
      </c>
      <c r="S357" t="s">
        <v>123</v>
      </c>
      <c r="T357" t="s">
        <v>504</v>
      </c>
      <c r="U357" s="5">
        <v>32</v>
      </c>
      <c r="V357" s="5" t="s">
        <v>85</v>
      </c>
      <c r="W357" s="5">
        <v>25</v>
      </c>
      <c r="X357" s="5">
        <v>6.7</v>
      </c>
      <c r="Y357" s="5">
        <v>4</v>
      </c>
      <c r="Z357" s="5" t="s">
        <v>94</v>
      </c>
      <c r="AA357" s="6">
        <v>24.15</v>
      </c>
      <c r="AB357" s="8">
        <f t="shared" si="65"/>
        <v>350</v>
      </c>
      <c r="AC357" s="8">
        <f t="shared" si="66"/>
        <v>0</v>
      </c>
      <c r="AD357" s="8">
        <f t="shared" si="67"/>
        <v>350</v>
      </c>
      <c r="AE357" s="8">
        <f t="shared" si="68"/>
        <v>241.5</v>
      </c>
      <c r="AF357" s="8">
        <f t="shared" si="69"/>
        <v>108.5</v>
      </c>
      <c r="AG357" s="9">
        <f t="shared" si="70"/>
        <v>0.31</v>
      </c>
      <c r="AH357" s="10">
        <f t="shared" si="71"/>
        <v>2025</v>
      </c>
      <c r="AI357" s="10">
        <f t="shared" si="72"/>
        <v>5</v>
      </c>
      <c r="AJ357" s="10" t="str">
        <f t="shared" si="73"/>
        <v>2025-05</v>
      </c>
      <c r="AK357" s="10" t="str">
        <f t="shared" si="74"/>
        <v>T2</v>
      </c>
      <c r="AL357" s="10" t="str">
        <f t="shared" si="75"/>
        <v>30-39</v>
      </c>
      <c r="AM357" s="10" t="str">
        <f t="shared" si="76"/>
        <v>moyen</v>
      </c>
      <c r="AN357" s="10" t="s">
        <v>2839</v>
      </c>
      <c r="AO357" s="10" t="str">
        <f t="shared" si="77"/>
        <v>Faible</v>
      </c>
    </row>
    <row r="358" spans="1:41">
      <c r="A358" t="s">
        <v>1264</v>
      </c>
      <c r="B358" s="2">
        <v>45697</v>
      </c>
      <c r="C358" t="s">
        <v>1265</v>
      </c>
      <c r="D358" t="s">
        <v>162</v>
      </c>
      <c r="E358" t="s">
        <v>315</v>
      </c>
      <c r="F358" t="s">
        <v>444</v>
      </c>
      <c r="G358">
        <v>2</v>
      </c>
      <c r="H358" s="4">
        <v>35</v>
      </c>
      <c r="I358" s="3">
        <v>0</v>
      </c>
      <c r="J358" t="s">
        <v>90</v>
      </c>
      <c r="K358" t="s">
        <v>46</v>
      </c>
      <c r="L358" t="s">
        <v>1266</v>
      </c>
      <c r="M358" t="s">
        <v>54</v>
      </c>
      <c r="N358" t="s">
        <v>80</v>
      </c>
      <c r="O358" t="s">
        <v>166</v>
      </c>
      <c r="P358" t="s">
        <v>103</v>
      </c>
      <c r="Q358" t="s">
        <v>143</v>
      </c>
      <c r="R358" t="s">
        <v>317</v>
      </c>
      <c r="S358" t="s">
        <v>69</v>
      </c>
      <c r="T358" t="s">
        <v>446</v>
      </c>
      <c r="U358" s="5">
        <v>47</v>
      </c>
      <c r="V358" s="5" t="s">
        <v>85</v>
      </c>
      <c r="W358" s="5">
        <v>41</v>
      </c>
      <c r="X358" s="5">
        <v>8</v>
      </c>
      <c r="Y358" s="5">
        <v>2</v>
      </c>
      <c r="Z358" s="5" t="s">
        <v>117</v>
      </c>
      <c r="AA358" s="6">
        <v>24.15</v>
      </c>
      <c r="AB358" s="8">
        <f t="shared" si="65"/>
        <v>70</v>
      </c>
      <c r="AC358" s="8">
        <f t="shared" si="66"/>
        <v>0</v>
      </c>
      <c r="AD358" s="8">
        <f t="shared" si="67"/>
        <v>70</v>
      </c>
      <c r="AE358" s="8">
        <f t="shared" si="68"/>
        <v>48.3</v>
      </c>
      <c r="AF358" s="8">
        <f t="shared" si="69"/>
        <v>21.700000000000003</v>
      </c>
      <c r="AG358" s="9">
        <f t="shared" si="70"/>
        <v>0.31000000000000005</v>
      </c>
      <c r="AH358" s="10">
        <f t="shared" si="71"/>
        <v>2025</v>
      </c>
      <c r="AI358" s="10">
        <f t="shared" si="72"/>
        <v>2</v>
      </c>
      <c r="AJ358" s="10" t="str">
        <f t="shared" si="73"/>
        <v>2025-02</v>
      </c>
      <c r="AK358" s="10" t="str">
        <f t="shared" si="74"/>
        <v>T1</v>
      </c>
      <c r="AL358" s="10" t="str">
        <f t="shared" si="75"/>
        <v>40-49</v>
      </c>
      <c r="AM358" s="10" t="str">
        <f t="shared" si="76"/>
        <v>bon</v>
      </c>
      <c r="AN358" s="10" t="s">
        <v>2838</v>
      </c>
      <c r="AO358" s="10" t="str">
        <f t="shared" si="77"/>
        <v>Faible</v>
      </c>
    </row>
    <row r="359" spans="1:41">
      <c r="A359" t="s">
        <v>1267</v>
      </c>
      <c r="B359" s="2">
        <v>45986</v>
      </c>
      <c r="C359" t="s">
        <v>1268</v>
      </c>
      <c r="D359" t="s">
        <v>60</v>
      </c>
      <c r="E359" t="s">
        <v>129</v>
      </c>
      <c r="F359" t="s">
        <v>282</v>
      </c>
      <c r="G359">
        <v>2</v>
      </c>
      <c r="H359" s="4">
        <v>180</v>
      </c>
      <c r="I359" s="3">
        <v>0</v>
      </c>
      <c r="J359" t="s">
        <v>45</v>
      </c>
      <c r="K359" t="s">
        <v>46</v>
      </c>
      <c r="L359" t="s">
        <v>1269</v>
      </c>
      <c r="M359" t="s">
        <v>54</v>
      </c>
      <c r="N359" t="s">
        <v>112</v>
      </c>
      <c r="O359" t="s">
        <v>66</v>
      </c>
      <c r="P359" t="s">
        <v>67</v>
      </c>
      <c r="Q359" t="s">
        <v>52</v>
      </c>
      <c r="R359" t="s">
        <v>134</v>
      </c>
      <c r="S359" t="s">
        <v>123</v>
      </c>
      <c r="T359" t="s">
        <v>284</v>
      </c>
      <c r="U359" s="5">
        <v>58</v>
      </c>
      <c r="V359" s="5" t="s">
        <v>56</v>
      </c>
      <c r="W359" s="5">
        <v>50</v>
      </c>
      <c r="X359" s="5">
        <v>6.4</v>
      </c>
      <c r="Y359" s="5">
        <v>4</v>
      </c>
      <c r="Z359" s="5" t="s">
        <v>57</v>
      </c>
      <c r="AA359" s="6">
        <v>129.6</v>
      </c>
      <c r="AB359" s="8">
        <f t="shared" si="65"/>
        <v>360</v>
      </c>
      <c r="AC359" s="8">
        <f t="shared" si="66"/>
        <v>0</v>
      </c>
      <c r="AD359" s="8">
        <f t="shared" si="67"/>
        <v>360</v>
      </c>
      <c r="AE359" s="8">
        <f t="shared" si="68"/>
        <v>259.2</v>
      </c>
      <c r="AF359" s="8">
        <f t="shared" si="69"/>
        <v>100.80000000000001</v>
      </c>
      <c r="AG359" s="9">
        <f t="shared" si="70"/>
        <v>0.28000000000000003</v>
      </c>
      <c r="AH359" s="10">
        <f t="shared" si="71"/>
        <v>2025</v>
      </c>
      <c r="AI359" s="10">
        <f t="shared" si="72"/>
        <v>11</v>
      </c>
      <c r="AJ359" s="10" t="str">
        <f t="shared" si="73"/>
        <v>2025-11</v>
      </c>
      <c r="AK359" s="10" t="str">
        <f t="shared" si="74"/>
        <v>T4</v>
      </c>
      <c r="AL359" s="10" t="str">
        <f t="shared" si="75"/>
        <v>50+</v>
      </c>
      <c r="AM359" s="10" t="str">
        <f t="shared" si="76"/>
        <v>moyen</v>
      </c>
      <c r="AN359" s="10" t="s">
        <v>2839</v>
      </c>
      <c r="AO359" s="10" t="str">
        <f t="shared" si="77"/>
        <v>Faible</v>
      </c>
    </row>
    <row r="360" spans="1:41">
      <c r="A360" t="s">
        <v>1270</v>
      </c>
      <c r="B360" s="2">
        <v>45991</v>
      </c>
      <c r="C360" t="s">
        <v>1271</v>
      </c>
      <c r="D360" t="s">
        <v>108</v>
      </c>
      <c r="E360" t="s">
        <v>129</v>
      </c>
      <c r="F360" t="s">
        <v>553</v>
      </c>
      <c r="G360">
        <v>2</v>
      </c>
      <c r="H360" s="4">
        <v>240</v>
      </c>
      <c r="I360" s="3">
        <v>0</v>
      </c>
      <c r="J360" t="s">
        <v>90</v>
      </c>
      <c r="K360" t="s">
        <v>46</v>
      </c>
      <c r="L360" t="s">
        <v>1272</v>
      </c>
      <c r="M360" t="s">
        <v>69</v>
      </c>
      <c r="N360" t="s">
        <v>80</v>
      </c>
      <c r="O360" t="s">
        <v>113</v>
      </c>
      <c r="P360" t="s">
        <v>82</v>
      </c>
      <c r="Q360" t="s">
        <v>114</v>
      </c>
      <c r="R360" t="s">
        <v>134</v>
      </c>
      <c r="S360" t="s">
        <v>123</v>
      </c>
      <c r="T360" t="s">
        <v>555</v>
      </c>
      <c r="U360" s="5">
        <v>24</v>
      </c>
      <c r="V360" s="5" t="s">
        <v>56</v>
      </c>
      <c r="W360" s="5">
        <v>67</v>
      </c>
      <c r="X360" s="5">
        <v>5.0999999999999996</v>
      </c>
      <c r="Y360" s="5">
        <v>6</v>
      </c>
      <c r="Z360" s="5" t="s">
        <v>71</v>
      </c>
      <c r="AA360" s="6">
        <v>177.6</v>
      </c>
      <c r="AB360" s="8">
        <f t="shared" si="65"/>
        <v>480</v>
      </c>
      <c r="AC360" s="8">
        <f t="shared" si="66"/>
        <v>0</v>
      </c>
      <c r="AD360" s="8">
        <f t="shared" si="67"/>
        <v>480</v>
      </c>
      <c r="AE360" s="8">
        <f t="shared" si="68"/>
        <v>355.2</v>
      </c>
      <c r="AF360" s="8">
        <f t="shared" si="69"/>
        <v>124.80000000000001</v>
      </c>
      <c r="AG360" s="9">
        <f t="shared" si="70"/>
        <v>0.26</v>
      </c>
      <c r="AH360" s="10">
        <f t="shared" si="71"/>
        <v>2025</v>
      </c>
      <c r="AI360" s="10">
        <f t="shared" si="72"/>
        <v>11</v>
      </c>
      <c r="AJ360" s="10" t="str">
        <f t="shared" si="73"/>
        <v>2025-11</v>
      </c>
      <c r="AK360" s="10" t="str">
        <f t="shared" si="74"/>
        <v>T4</v>
      </c>
      <c r="AL360" s="10" t="str">
        <f t="shared" si="75"/>
        <v>22-29</v>
      </c>
      <c r="AM360" s="10" t="str">
        <f t="shared" si="76"/>
        <v>moyen</v>
      </c>
      <c r="AN360" s="10" t="s">
        <v>2839</v>
      </c>
      <c r="AO360" s="10" t="str">
        <f t="shared" si="77"/>
        <v>Faible</v>
      </c>
    </row>
    <row r="361" spans="1:41">
      <c r="A361" t="s">
        <v>1273</v>
      </c>
      <c r="B361" s="2">
        <v>45960</v>
      </c>
      <c r="C361" t="s">
        <v>409</v>
      </c>
      <c r="D361" t="s">
        <v>74</v>
      </c>
      <c r="E361" t="s">
        <v>98</v>
      </c>
      <c r="F361" t="s">
        <v>121</v>
      </c>
      <c r="G361">
        <v>1</v>
      </c>
      <c r="H361" s="4">
        <v>95</v>
      </c>
      <c r="I361" s="3">
        <v>0.05</v>
      </c>
      <c r="J361" t="s">
        <v>45</v>
      </c>
      <c r="K361" t="s">
        <v>46</v>
      </c>
      <c r="L361" t="s">
        <v>410</v>
      </c>
      <c r="M361" t="s">
        <v>79</v>
      </c>
      <c r="N361" t="s">
        <v>101</v>
      </c>
      <c r="O361" t="s">
        <v>81</v>
      </c>
      <c r="P361" t="s">
        <v>82</v>
      </c>
      <c r="Q361" t="s">
        <v>52</v>
      </c>
      <c r="R361" t="s">
        <v>104</v>
      </c>
      <c r="S361" t="s">
        <v>79</v>
      </c>
      <c r="T361" t="s">
        <v>125</v>
      </c>
      <c r="U361" s="5">
        <v>40</v>
      </c>
      <c r="V361" s="5" t="s">
        <v>85</v>
      </c>
      <c r="W361" s="5">
        <v>53</v>
      </c>
      <c r="X361" s="5">
        <v>5.3</v>
      </c>
      <c r="Y361" s="5">
        <v>6</v>
      </c>
      <c r="Z361" s="5" t="s">
        <v>117</v>
      </c>
      <c r="AA361" s="6">
        <v>70.3</v>
      </c>
      <c r="AB361" s="8">
        <f t="shared" si="65"/>
        <v>95</v>
      </c>
      <c r="AC361" s="8">
        <f t="shared" si="66"/>
        <v>4.75</v>
      </c>
      <c r="AD361" s="8">
        <f t="shared" si="67"/>
        <v>90.25</v>
      </c>
      <c r="AE361" s="8">
        <f t="shared" si="68"/>
        <v>70.3</v>
      </c>
      <c r="AF361" s="8">
        <f t="shared" si="69"/>
        <v>19.950000000000003</v>
      </c>
      <c r="AG361" s="9">
        <f t="shared" si="70"/>
        <v>0.22105263157894739</v>
      </c>
      <c r="AH361" s="10">
        <f t="shared" si="71"/>
        <v>2025</v>
      </c>
      <c r="AI361" s="10">
        <f t="shared" si="72"/>
        <v>10</v>
      </c>
      <c r="AJ361" s="10" t="str">
        <f t="shared" si="73"/>
        <v>2025-10</v>
      </c>
      <c r="AK361" s="10" t="str">
        <f t="shared" si="74"/>
        <v>T4</v>
      </c>
      <c r="AL361" s="10" t="str">
        <f t="shared" si="75"/>
        <v>40-49</v>
      </c>
      <c r="AM361" s="10" t="str">
        <f t="shared" si="76"/>
        <v>moyen</v>
      </c>
      <c r="AN361" s="10" t="s">
        <v>2839</v>
      </c>
      <c r="AO361" s="10" t="str">
        <f t="shared" si="77"/>
        <v>Faible</v>
      </c>
    </row>
    <row r="362" spans="1:41">
      <c r="A362" t="s">
        <v>1274</v>
      </c>
      <c r="B362" s="2">
        <v>45956</v>
      </c>
      <c r="C362" t="s">
        <v>1275</v>
      </c>
      <c r="D362" t="s">
        <v>60</v>
      </c>
      <c r="E362" t="s">
        <v>88</v>
      </c>
      <c r="F362" t="s">
        <v>310</v>
      </c>
      <c r="G362">
        <v>1</v>
      </c>
      <c r="H362" s="4">
        <v>180</v>
      </c>
      <c r="I362" s="3">
        <v>0.08</v>
      </c>
      <c r="J362" t="s">
        <v>45</v>
      </c>
      <c r="K362" t="s">
        <v>46</v>
      </c>
      <c r="L362" t="s">
        <v>1276</v>
      </c>
      <c r="M362" t="s">
        <v>69</v>
      </c>
      <c r="N362" t="s">
        <v>101</v>
      </c>
      <c r="O362" t="s">
        <v>66</v>
      </c>
      <c r="P362" t="s">
        <v>67</v>
      </c>
      <c r="Q362" t="s">
        <v>52</v>
      </c>
      <c r="R362" t="s">
        <v>92</v>
      </c>
      <c r="S362" t="s">
        <v>48</v>
      </c>
      <c r="T362" t="s">
        <v>312</v>
      </c>
      <c r="U362" s="5">
        <v>46</v>
      </c>
      <c r="V362" s="5" t="s">
        <v>56</v>
      </c>
      <c r="W362" s="5">
        <v>64</v>
      </c>
      <c r="X362" s="5">
        <v>9.3000000000000007</v>
      </c>
      <c r="Y362" s="5">
        <v>1</v>
      </c>
      <c r="Z362" s="5" t="s">
        <v>57</v>
      </c>
      <c r="AA362" s="6">
        <v>129.6</v>
      </c>
      <c r="AB362" s="8">
        <f t="shared" si="65"/>
        <v>180</v>
      </c>
      <c r="AC362" s="8">
        <f t="shared" si="66"/>
        <v>14.4</v>
      </c>
      <c r="AD362" s="8">
        <f t="shared" si="67"/>
        <v>165.6</v>
      </c>
      <c r="AE362" s="8">
        <f t="shared" si="68"/>
        <v>129.6</v>
      </c>
      <c r="AF362" s="8">
        <f t="shared" si="69"/>
        <v>36</v>
      </c>
      <c r="AG362" s="9">
        <f t="shared" si="70"/>
        <v>0.21739130434782608</v>
      </c>
      <c r="AH362" s="10">
        <f t="shared" si="71"/>
        <v>2025</v>
      </c>
      <c r="AI362" s="10">
        <f t="shared" si="72"/>
        <v>10</v>
      </c>
      <c r="AJ362" s="10" t="str">
        <f t="shared" si="73"/>
        <v>2025-10</v>
      </c>
      <c r="AK362" s="10" t="str">
        <f t="shared" si="74"/>
        <v>T4</v>
      </c>
      <c r="AL362" s="10" t="str">
        <f t="shared" si="75"/>
        <v>40-49</v>
      </c>
      <c r="AM362" s="10" t="str">
        <f t="shared" si="76"/>
        <v>excellent</v>
      </c>
      <c r="AN362" s="10" t="s">
        <v>2838</v>
      </c>
      <c r="AO362" s="10" t="str">
        <f t="shared" si="77"/>
        <v>Faible</v>
      </c>
    </row>
    <row r="363" spans="1:41">
      <c r="A363" t="s">
        <v>1277</v>
      </c>
      <c r="B363" s="2">
        <v>45915</v>
      </c>
      <c r="C363" t="s">
        <v>1278</v>
      </c>
      <c r="D363" t="s">
        <v>174</v>
      </c>
      <c r="E363" t="s">
        <v>163</v>
      </c>
      <c r="F363" t="s">
        <v>44</v>
      </c>
      <c r="G363">
        <v>20</v>
      </c>
      <c r="H363" s="4">
        <v>780</v>
      </c>
      <c r="I363" s="3">
        <v>0.08</v>
      </c>
      <c r="J363" t="s">
        <v>63</v>
      </c>
      <c r="K363" t="s">
        <v>46</v>
      </c>
      <c r="L363" t="s">
        <v>1279</v>
      </c>
      <c r="M363" t="s">
        <v>69</v>
      </c>
      <c r="N363" t="s">
        <v>80</v>
      </c>
      <c r="O363" t="s">
        <v>177</v>
      </c>
      <c r="P363" t="s">
        <v>103</v>
      </c>
      <c r="Q363" t="s">
        <v>114</v>
      </c>
      <c r="R363" t="s">
        <v>167</v>
      </c>
      <c r="S363" t="s">
        <v>123</v>
      </c>
      <c r="T363" t="s">
        <v>55</v>
      </c>
      <c r="U363" s="5">
        <v>42</v>
      </c>
      <c r="V363" s="5" t="s">
        <v>85</v>
      </c>
      <c r="W363" s="5">
        <v>44</v>
      </c>
      <c r="X363" s="5">
        <v>7</v>
      </c>
      <c r="Y363" s="5">
        <v>3</v>
      </c>
      <c r="Z363" s="5" t="s">
        <v>94</v>
      </c>
      <c r="AA363" s="6">
        <v>468</v>
      </c>
      <c r="AB363" s="8">
        <f t="shared" si="65"/>
        <v>15600</v>
      </c>
      <c r="AC363" s="8">
        <f t="shared" si="66"/>
        <v>1248</v>
      </c>
      <c r="AD363" s="8">
        <f t="shared" si="67"/>
        <v>14352</v>
      </c>
      <c r="AE363" s="8">
        <f t="shared" si="68"/>
        <v>9360</v>
      </c>
      <c r="AF363" s="8">
        <f t="shared" si="69"/>
        <v>4992</v>
      </c>
      <c r="AG363" s="9">
        <f t="shared" si="70"/>
        <v>0.34782608695652173</v>
      </c>
      <c r="AH363" s="10">
        <f t="shared" si="71"/>
        <v>2025</v>
      </c>
      <c r="AI363" s="10">
        <f t="shared" si="72"/>
        <v>9</v>
      </c>
      <c r="AJ363" s="10" t="str">
        <f t="shared" si="73"/>
        <v>2025-09</v>
      </c>
      <c r="AK363" s="10" t="str">
        <f t="shared" si="74"/>
        <v>T3</v>
      </c>
      <c r="AL363" s="10" t="str">
        <f t="shared" si="75"/>
        <v>40-49</v>
      </c>
      <c r="AM363" s="10" t="str">
        <f t="shared" si="76"/>
        <v>bon</v>
      </c>
      <c r="AN363" s="10" t="s">
        <v>2838</v>
      </c>
      <c r="AO363" s="10" t="str">
        <f t="shared" si="77"/>
        <v>Elevée</v>
      </c>
    </row>
    <row r="364" spans="1:41">
      <c r="A364" t="s">
        <v>1280</v>
      </c>
      <c r="B364" s="2">
        <v>45926</v>
      </c>
      <c r="C364" t="s">
        <v>1281</v>
      </c>
      <c r="D364" t="s">
        <v>188</v>
      </c>
      <c r="E364" t="s">
        <v>277</v>
      </c>
      <c r="F364" t="s">
        <v>424</v>
      </c>
      <c r="G364">
        <v>3</v>
      </c>
      <c r="H364" s="4">
        <v>350</v>
      </c>
      <c r="I364" s="3">
        <v>0</v>
      </c>
      <c r="J364" t="s">
        <v>77</v>
      </c>
      <c r="K364" t="s">
        <v>46</v>
      </c>
      <c r="L364" t="s">
        <v>1282</v>
      </c>
      <c r="M364" t="s">
        <v>65</v>
      </c>
      <c r="N364" t="s">
        <v>101</v>
      </c>
      <c r="O364" t="s">
        <v>192</v>
      </c>
      <c r="P364" t="s">
        <v>51</v>
      </c>
      <c r="Q364" t="s">
        <v>114</v>
      </c>
      <c r="R364" t="s">
        <v>279</v>
      </c>
      <c r="S364" t="s">
        <v>54</v>
      </c>
      <c r="T364" t="s">
        <v>426</v>
      </c>
      <c r="U364" s="5">
        <v>56</v>
      </c>
      <c r="V364" s="5" t="s">
        <v>56</v>
      </c>
      <c r="W364" s="5">
        <v>57</v>
      </c>
      <c r="X364" s="5">
        <v>8.9</v>
      </c>
      <c r="Y364" s="5">
        <v>1</v>
      </c>
      <c r="Z364" s="5" t="s">
        <v>117</v>
      </c>
      <c r="AA364" s="6">
        <v>213.5</v>
      </c>
      <c r="AB364" s="8">
        <f t="shared" si="65"/>
        <v>1050</v>
      </c>
      <c r="AC364" s="8">
        <f t="shared" si="66"/>
        <v>0</v>
      </c>
      <c r="AD364" s="8">
        <f t="shared" si="67"/>
        <v>1050</v>
      </c>
      <c r="AE364" s="8">
        <f t="shared" si="68"/>
        <v>640.5</v>
      </c>
      <c r="AF364" s="8">
        <f t="shared" si="69"/>
        <v>409.5</v>
      </c>
      <c r="AG364" s="9">
        <f t="shared" si="70"/>
        <v>0.39</v>
      </c>
      <c r="AH364" s="10">
        <f t="shared" si="71"/>
        <v>2025</v>
      </c>
      <c r="AI364" s="10">
        <f t="shared" si="72"/>
        <v>9</v>
      </c>
      <c r="AJ364" s="10" t="str">
        <f t="shared" si="73"/>
        <v>2025-09</v>
      </c>
      <c r="AK364" s="10" t="str">
        <f t="shared" si="74"/>
        <v>T3</v>
      </c>
      <c r="AL364" s="10" t="str">
        <f t="shared" si="75"/>
        <v>50+</v>
      </c>
      <c r="AM364" s="10" t="str">
        <f t="shared" si="76"/>
        <v>bon</v>
      </c>
      <c r="AN364" s="10" t="s">
        <v>2838</v>
      </c>
      <c r="AO364" s="10" t="str">
        <f t="shared" si="77"/>
        <v>Elevée</v>
      </c>
    </row>
    <row r="365" spans="1:41">
      <c r="A365" t="s">
        <v>1283</v>
      </c>
      <c r="B365" s="2">
        <v>45843</v>
      </c>
      <c r="C365" t="s">
        <v>1284</v>
      </c>
      <c r="D365" t="s">
        <v>162</v>
      </c>
      <c r="E365" t="s">
        <v>189</v>
      </c>
      <c r="F365" t="s">
        <v>259</v>
      </c>
      <c r="G365">
        <v>1</v>
      </c>
      <c r="H365" s="4">
        <v>35</v>
      </c>
      <c r="I365" s="3">
        <v>0</v>
      </c>
      <c r="J365" t="s">
        <v>90</v>
      </c>
      <c r="K365" t="s">
        <v>46</v>
      </c>
      <c r="L365" t="s">
        <v>1285</v>
      </c>
      <c r="M365" t="s">
        <v>79</v>
      </c>
      <c r="N365" t="s">
        <v>255</v>
      </c>
      <c r="O365" t="s">
        <v>166</v>
      </c>
      <c r="P365" t="s">
        <v>103</v>
      </c>
      <c r="Q365" t="s">
        <v>143</v>
      </c>
      <c r="R365" t="s">
        <v>193</v>
      </c>
      <c r="S365" t="s">
        <v>79</v>
      </c>
      <c r="T365" t="s">
        <v>261</v>
      </c>
      <c r="U365" s="5">
        <v>31</v>
      </c>
      <c r="V365" s="5" t="s">
        <v>56</v>
      </c>
      <c r="W365" s="5">
        <v>23</v>
      </c>
      <c r="X365" s="5">
        <v>6.3</v>
      </c>
      <c r="Y365" s="5">
        <v>5</v>
      </c>
      <c r="Z365" s="5" t="s">
        <v>94</v>
      </c>
      <c r="AA365" s="6">
        <v>24.15</v>
      </c>
      <c r="AB365" s="8">
        <f t="shared" si="65"/>
        <v>35</v>
      </c>
      <c r="AC365" s="8">
        <f t="shared" si="66"/>
        <v>0</v>
      </c>
      <c r="AD365" s="8">
        <f t="shared" si="67"/>
        <v>35</v>
      </c>
      <c r="AE365" s="8">
        <f t="shared" si="68"/>
        <v>24.15</v>
      </c>
      <c r="AF365" s="8">
        <f t="shared" si="69"/>
        <v>10.850000000000001</v>
      </c>
      <c r="AG365" s="9">
        <f t="shared" si="70"/>
        <v>0.31000000000000005</v>
      </c>
      <c r="AH365" s="10">
        <f t="shared" si="71"/>
        <v>2025</v>
      </c>
      <c r="AI365" s="10">
        <f t="shared" si="72"/>
        <v>7</v>
      </c>
      <c r="AJ365" s="10" t="str">
        <f t="shared" si="73"/>
        <v>2025-07</v>
      </c>
      <c r="AK365" s="10" t="str">
        <f t="shared" si="74"/>
        <v>T3</v>
      </c>
      <c r="AL365" s="10" t="str">
        <f t="shared" si="75"/>
        <v>30-39</v>
      </c>
      <c r="AM365" s="10" t="str">
        <f t="shared" si="76"/>
        <v>moyen</v>
      </c>
      <c r="AN365" s="10" t="s">
        <v>2839</v>
      </c>
      <c r="AO365" s="10" t="str">
        <f t="shared" si="77"/>
        <v>Faible</v>
      </c>
    </row>
    <row r="366" spans="1:41">
      <c r="A366" t="s">
        <v>1286</v>
      </c>
      <c r="B366" s="2">
        <v>45838</v>
      </c>
      <c r="C366" t="s">
        <v>1287</v>
      </c>
      <c r="D366" t="s">
        <v>333</v>
      </c>
      <c r="E366" t="s">
        <v>315</v>
      </c>
      <c r="F366" t="s">
        <v>434</v>
      </c>
      <c r="G366">
        <v>3</v>
      </c>
      <c r="H366" s="4">
        <v>65</v>
      </c>
      <c r="I366" s="3">
        <v>0</v>
      </c>
      <c r="J366" t="s">
        <v>77</v>
      </c>
      <c r="K366" t="s">
        <v>46</v>
      </c>
      <c r="L366" t="s">
        <v>1288</v>
      </c>
      <c r="M366" t="s">
        <v>79</v>
      </c>
      <c r="N366" t="s">
        <v>80</v>
      </c>
      <c r="O366" t="s">
        <v>336</v>
      </c>
      <c r="P366" t="s">
        <v>51</v>
      </c>
      <c r="Q366" t="s">
        <v>52</v>
      </c>
      <c r="R366" t="s">
        <v>317</v>
      </c>
      <c r="S366" t="s">
        <v>69</v>
      </c>
      <c r="T366" t="s">
        <v>436</v>
      </c>
      <c r="U366" s="5">
        <v>48</v>
      </c>
      <c r="V366" s="5" t="s">
        <v>85</v>
      </c>
      <c r="W366" s="5">
        <v>28</v>
      </c>
      <c r="X366" s="5">
        <v>7.7</v>
      </c>
      <c r="Y366" s="5">
        <v>3</v>
      </c>
      <c r="Z366" s="5" t="s">
        <v>71</v>
      </c>
      <c r="AA366" s="6">
        <v>47.45</v>
      </c>
      <c r="AB366" s="8">
        <f t="shared" si="65"/>
        <v>195</v>
      </c>
      <c r="AC366" s="8">
        <f t="shared" si="66"/>
        <v>0</v>
      </c>
      <c r="AD366" s="8">
        <f t="shared" si="67"/>
        <v>195</v>
      </c>
      <c r="AE366" s="8">
        <f t="shared" si="68"/>
        <v>142.35000000000002</v>
      </c>
      <c r="AF366" s="8">
        <f t="shared" si="69"/>
        <v>52.649999999999977</v>
      </c>
      <c r="AG366" s="9">
        <f t="shared" si="70"/>
        <v>0.26999999999999991</v>
      </c>
      <c r="AH366" s="10">
        <f t="shared" si="71"/>
        <v>2025</v>
      </c>
      <c r="AI366" s="10">
        <f t="shared" si="72"/>
        <v>6</v>
      </c>
      <c r="AJ366" s="10" t="str">
        <f t="shared" si="73"/>
        <v>2025-06</v>
      </c>
      <c r="AK366" s="10" t="str">
        <f t="shared" si="74"/>
        <v>T2</v>
      </c>
      <c r="AL366" s="10" t="str">
        <f t="shared" si="75"/>
        <v>40-49</v>
      </c>
      <c r="AM366" s="10" t="str">
        <f t="shared" si="76"/>
        <v>bon</v>
      </c>
      <c r="AN366" s="10" t="s">
        <v>2838</v>
      </c>
      <c r="AO366" s="10" t="str">
        <f t="shared" si="77"/>
        <v>Faible</v>
      </c>
    </row>
    <row r="367" spans="1:41">
      <c r="A367" t="s">
        <v>1289</v>
      </c>
      <c r="B367" s="2">
        <v>45804</v>
      </c>
      <c r="C367" t="s">
        <v>1290</v>
      </c>
      <c r="D367" t="s">
        <v>42</v>
      </c>
      <c r="E367" t="s">
        <v>109</v>
      </c>
      <c r="F367" t="s">
        <v>208</v>
      </c>
      <c r="G367">
        <v>2</v>
      </c>
      <c r="H367" s="4">
        <v>260</v>
      </c>
      <c r="I367" s="3">
        <v>0</v>
      </c>
      <c r="J367" t="s">
        <v>90</v>
      </c>
      <c r="K367" t="s">
        <v>46</v>
      </c>
      <c r="L367" t="s">
        <v>1291</v>
      </c>
      <c r="M367" t="s">
        <v>48</v>
      </c>
      <c r="N367" t="s">
        <v>80</v>
      </c>
      <c r="O367" t="s">
        <v>50</v>
      </c>
      <c r="P367" t="s">
        <v>51</v>
      </c>
      <c r="Q367" t="s">
        <v>52</v>
      </c>
      <c r="R367" t="s">
        <v>115</v>
      </c>
      <c r="S367" t="s">
        <v>65</v>
      </c>
      <c r="T367" t="s">
        <v>211</v>
      </c>
      <c r="U367" s="5">
        <v>54</v>
      </c>
      <c r="V367" s="5" t="s">
        <v>85</v>
      </c>
      <c r="W367" s="5">
        <v>14</v>
      </c>
      <c r="X367" s="5">
        <v>4.0999999999999996</v>
      </c>
      <c r="Y367" s="5">
        <v>7</v>
      </c>
      <c r="Z367" s="5" t="s">
        <v>71</v>
      </c>
      <c r="AA367" s="6">
        <v>189.8</v>
      </c>
      <c r="AB367" s="8">
        <f t="shared" si="65"/>
        <v>520</v>
      </c>
      <c r="AC367" s="8">
        <f t="shared" si="66"/>
        <v>0</v>
      </c>
      <c r="AD367" s="8">
        <f t="shared" si="67"/>
        <v>520</v>
      </c>
      <c r="AE367" s="8">
        <f t="shared" si="68"/>
        <v>379.6</v>
      </c>
      <c r="AF367" s="8">
        <f t="shared" si="69"/>
        <v>140.39999999999998</v>
      </c>
      <c r="AG367" s="9">
        <f t="shared" si="70"/>
        <v>0.26999999999999996</v>
      </c>
      <c r="AH367" s="10">
        <f t="shared" si="71"/>
        <v>2025</v>
      </c>
      <c r="AI367" s="10">
        <f t="shared" si="72"/>
        <v>5</v>
      </c>
      <c r="AJ367" s="10" t="str">
        <f t="shared" si="73"/>
        <v>2025-05</v>
      </c>
      <c r="AK367" s="10" t="str">
        <f t="shared" si="74"/>
        <v>T2</v>
      </c>
      <c r="AL367" s="10" t="str">
        <f t="shared" si="75"/>
        <v>50+</v>
      </c>
      <c r="AM367" s="10" t="str">
        <f t="shared" si="76"/>
        <v>faible</v>
      </c>
      <c r="AN367" s="10" t="s">
        <v>2837</v>
      </c>
      <c r="AO367" s="10" t="str">
        <f t="shared" si="77"/>
        <v>Moyenne</v>
      </c>
    </row>
    <row r="368" spans="1:41">
      <c r="A368" t="s">
        <v>1292</v>
      </c>
      <c r="B368" s="2">
        <v>45759</v>
      </c>
      <c r="C368" t="s">
        <v>1293</v>
      </c>
      <c r="D368" t="s">
        <v>42</v>
      </c>
      <c r="E368" t="s">
        <v>277</v>
      </c>
      <c r="F368" t="s">
        <v>243</v>
      </c>
      <c r="G368">
        <v>5</v>
      </c>
      <c r="H368" s="4">
        <v>260</v>
      </c>
      <c r="I368" s="3">
        <v>0.02</v>
      </c>
      <c r="J368" t="s">
        <v>90</v>
      </c>
      <c r="K368" t="s">
        <v>46</v>
      </c>
      <c r="L368" t="s">
        <v>1294</v>
      </c>
      <c r="M368" t="s">
        <v>65</v>
      </c>
      <c r="N368" t="s">
        <v>80</v>
      </c>
      <c r="O368" t="s">
        <v>50</v>
      </c>
      <c r="P368" t="s">
        <v>51</v>
      </c>
      <c r="Q368" t="s">
        <v>52</v>
      </c>
      <c r="R368" t="s">
        <v>279</v>
      </c>
      <c r="S368" t="s">
        <v>54</v>
      </c>
      <c r="T368" t="s">
        <v>245</v>
      </c>
      <c r="U368" s="5">
        <v>41</v>
      </c>
      <c r="V368" s="5" t="s">
        <v>85</v>
      </c>
      <c r="W368" s="5">
        <v>46</v>
      </c>
      <c r="X368" s="5">
        <v>6</v>
      </c>
      <c r="Y368" s="5">
        <v>4</v>
      </c>
      <c r="Z368" s="5" t="s">
        <v>117</v>
      </c>
      <c r="AA368" s="6">
        <v>189.8</v>
      </c>
      <c r="AB368" s="8">
        <f t="shared" si="65"/>
        <v>1300</v>
      </c>
      <c r="AC368" s="8">
        <f t="shared" si="66"/>
        <v>26</v>
      </c>
      <c r="AD368" s="8">
        <f t="shared" si="67"/>
        <v>1274</v>
      </c>
      <c r="AE368" s="8">
        <f t="shared" si="68"/>
        <v>949</v>
      </c>
      <c r="AF368" s="8">
        <f t="shared" si="69"/>
        <v>325</v>
      </c>
      <c r="AG368" s="9">
        <f t="shared" si="70"/>
        <v>0.25510204081632654</v>
      </c>
      <c r="AH368" s="10">
        <f t="shared" si="71"/>
        <v>2025</v>
      </c>
      <c r="AI368" s="10">
        <f t="shared" si="72"/>
        <v>4</v>
      </c>
      <c r="AJ368" s="10" t="str">
        <f t="shared" si="73"/>
        <v>2025-04</v>
      </c>
      <c r="AK368" s="10" t="str">
        <f t="shared" si="74"/>
        <v>T2</v>
      </c>
      <c r="AL368" s="10" t="str">
        <f t="shared" si="75"/>
        <v>40-49</v>
      </c>
      <c r="AM368" s="10" t="str">
        <f t="shared" si="76"/>
        <v>moyen</v>
      </c>
      <c r="AN368" s="10" t="s">
        <v>2839</v>
      </c>
      <c r="AO368" s="10" t="str">
        <f t="shared" si="77"/>
        <v>Elevée</v>
      </c>
    </row>
    <row r="369" spans="1:41">
      <c r="A369" t="s">
        <v>1295</v>
      </c>
      <c r="B369" s="2">
        <v>45898</v>
      </c>
      <c r="C369" t="s">
        <v>1296</v>
      </c>
      <c r="D369" t="s">
        <v>340</v>
      </c>
      <c r="E369" t="s">
        <v>61</v>
      </c>
      <c r="F369" t="s">
        <v>502</v>
      </c>
      <c r="G369">
        <v>4</v>
      </c>
      <c r="H369" s="4">
        <v>22</v>
      </c>
      <c r="I369" s="3">
        <v>0</v>
      </c>
      <c r="J369" t="s">
        <v>90</v>
      </c>
      <c r="K369" t="s">
        <v>46</v>
      </c>
      <c r="L369" t="s">
        <v>1297</v>
      </c>
      <c r="M369" t="s">
        <v>48</v>
      </c>
      <c r="N369" t="s">
        <v>112</v>
      </c>
      <c r="O369" t="s">
        <v>342</v>
      </c>
      <c r="P369" t="s">
        <v>103</v>
      </c>
      <c r="Q369" t="s">
        <v>143</v>
      </c>
      <c r="R369" t="s">
        <v>68</v>
      </c>
      <c r="S369" t="s">
        <v>69</v>
      </c>
      <c r="T369" t="s">
        <v>504</v>
      </c>
      <c r="U369" s="5">
        <v>28</v>
      </c>
      <c r="V369" s="5" t="s">
        <v>56</v>
      </c>
      <c r="W369" s="5">
        <v>34</v>
      </c>
      <c r="X369" s="5">
        <v>6.6</v>
      </c>
      <c r="Y369" s="5">
        <v>3</v>
      </c>
      <c r="Z369" s="5" t="s">
        <v>57</v>
      </c>
      <c r="AA369" s="6">
        <v>14.96</v>
      </c>
      <c r="AB369" s="8">
        <f t="shared" si="65"/>
        <v>88</v>
      </c>
      <c r="AC369" s="8">
        <f t="shared" si="66"/>
        <v>0</v>
      </c>
      <c r="AD369" s="8">
        <f t="shared" si="67"/>
        <v>88</v>
      </c>
      <c r="AE369" s="8">
        <f t="shared" si="68"/>
        <v>59.84</v>
      </c>
      <c r="AF369" s="8">
        <f t="shared" si="69"/>
        <v>28.159999999999997</v>
      </c>
      <c r="AG369" s="9">
        <f t="shared" si="70"/>
        <v>0.31999999999999995</v>
      </c>
      <c r="AH369" s="10">
        <f t="shared" si="71"/>
        <v>2025</v>
      </c>
      <c r="AI369" s="10">
        <f t="shared" si="72"/>
        <v>8</v>
      </c>
      <c r="AJ369" s="10" t="str">
        <f t="shared" si="73"/>
        <v>2025-08</v>
      </c>
      <c r="AK369" s="10" t="str">
        <f t="shared" si="74"/>
        <v>T3</v>
      </c>
      <c r="AL369" s="10" t="str">
        <f t="shared" si="75"/>
        <v>22-29</v>
      </c>
      <c r="AM369" s="10" t="str">
        <f t="shared" si="76"/>
        <v>moyen</v>
      </c>
      <c r="AN369" s="10" t="s">
        <v>2838</v>
      </c>
      <c r="AO369" s="10" t="str">
        <f t="shared" si="77"/>
        <v>Faible</v>
      </c>
    </row>
    <row r="370" spans="1:41">
      <c r="A370" t="s">
        <v>1298</v>
      </c>
      <c r="B370" s="2">
        <v>45921</v>
      </c>
      <c r="C370" t="s">
        <v>1299</v>
      </c>
      <c r="D370" t="s">
        <v>128</v>
      </c>
      <c r="E370" t="s">
        <v>214</v>
      </c>
      <c r="F370" t="s">
        <v>248</v>
      </c>
      <c r="G370">
        <v>5</v>
      </c>
      <c r="H370" s="4">
        <v>190</v>
      </c>
      <c r="I370" s="3">
        <v>0.02</v>
      </c>
      <c r="J370" t="s">
        <v>63</v>
      </c>
      <c r="K370" t="s">
        <v>46</v>
      </c>
      <c r="L370" t="s">
        <v>1300</v>
      </c>
      <c r="M370" t="s">
        <v>123</v>
      </c>
      <c r="N370" t="s">
        <v>112</v>
      </c>
      <c r="O370" t="s">
        <v>132</v>
      </c>
      <c r="P370" t="s">
        <v>133</v>
      </c>
      <c r="Q370" t="s">
        <v>52</v>
      </c>
      <c r="R370" t="s">
        <v>216</v>
      </c>
      <c r="S370" t="s">
        <v>65</v>
      </c>
      <c r="T370" t="s">
        <v>250</v>
      </c>
      <c r="U370" s="5">
        <v>38</v>
      </c>
      <c r="V370" s="5" t="s">
        <v>85</v>
      </c>
      <c r="W370" s="5">
        <v>17</v>
      </c>
      <c r="X370" s="5">
        <v>6.4</v>
      </c>
      <c r="Y370" s="5">
        <v>4</v>
      </c>
      <c r="Z370" s="5" t="s">
        <v>71</v>
      </c>
      <c r="AA370" s="6">
        <v>148.19999999999999</v>
      </c>
      <c r="AB370" s="8">
        <f t="shared" si="65"/>
        <v>950</v>
      </c>
      <c r="AC370" s="8">
        <f t="shared" si="66"/>
        <v>19</v>
      </c>
      <c r="AD370" s="8">
        <f t="shared" si="67"/>
        <v>931</v>
      </c>
      <c r="AE370" s="8">
        <f t="shared" si="68"/>
        <v>741</v>
      </c>
      <c r="AF370" s="8">
        <f t="shared" si="69"/>
        <v>190</v>
      </c>
      <c r="AG370" s="9">
        <f t="shared" si="70"/>
        <v>0.20408163265306123</v>
      </c>
      <c r="AH370" s="10">
        <f t="shared" si="71"/>
        <v>2025</v>
      </c>
      <c r="AI370" s="10">
        <f t="shared" si="72"/>
        <v>9</v>
      </c>
      <c r="AJ370" s="10" t="str">
        <f t="shared" si="73"/>
        <v>2025-09</v>
      </c>
      <c r="AK370" s="10" t="str">
        <f t="shared" si="74"/>
        <v>T3</v>
      </c>
      <c r="AL370" s="10" t="str">
        <f t="shared" si="75"/>
        <v>30-39</v>
      </c>
      <c r="AM370" s="10" t="str">
        <f t="shared" si="76"/>
        <v>moyen</v>
      </c>
      <c r="AN370" s="10" t="s">
        <v>2839</v>
      </c>
      <c r="AO370" s="10" t="str">
        <f t="shared" si="77"/>
        <v>Moyenne</v>
      </c>
    </row>
    <row r="371" spans="1:41">
      <c r="A371" t="s">
        <v>1301</v>
      </c>
      <c r="B371" s="2">
        <v>45867</v>
      </c>
      <c r="C371" t="s">
        <v>1302</v>
      </c>
      <c r="D371" t="s">
        <v>174</v>
      </c>
      <c r="E371" t="s">
        <v>315</v>
      </c>
      <c r="F371" t="s">
        <v>1303</v>
      </c>
      <c r="G371">
        <v>3</v>
      </c>
      <c r="H371" s="4">
        <v>780</v>
      </c>
      <c r="I371" s="3">
        <v>0.08</v>
      </c>
      <c r="J371" t="s">
        <v>63</v>
      </c>
      <c r="K371" t="s">
        <v>46</v>
      </c>
      <c r="L371" t="s">
        <v>1304</v>
      </c>
      <c r="M371" t="s">
        <v>65</v>
      </c>
      <c r="N371" t="s">
        <v>255</v>
      </c>
      <c r="O371" t="s">
        <v>177</v>
      </c>
      <c r="P371" t="s">
        <v>103</v>
      </c>
      <c r="Q371" t="s">
        <v>114</v>
      </c>
      <c r="R371" t="s">
        <v>317</v>
      </c>
      <c r="S371" t="s">
        <v>69</v>
      </c>
      <c r="T371" t="s">
        <v>1305</v>
      </c>
      <c r="U371" s="5">
        <v>23</v>
      </c>
      <c r="V371" s="5" t="s">
        <v>85</v>
      </c>
      <c r="W371" s="5">
        <v>45</v>
      </c>
      <c r="X371" s="5">
        <v>5.9</v>
      </c>
      <c r="Y371" s="5">
        <v>5</v>
      </c>
      <c r="Z371" s="5" t="s">
        <v>57</v>
      </c>
      <c r="AA371" s="6">
        <v>468</v>
      </c>
      <c r="AB371" s="8">
        <f t="shared" si="65"/>
        <v>2340</v>
      </c>
      <c r="AC371" s="8">
        <f t="shared" si="66"/>
        <v>187.20000000000002</v>
      </c>
      <c r="AD371" s="8">
        <f t="shared" si="67"/>
        <v>2152.8000000000002</v>
      </c>
      <c r="AE371" s="8">
        <f t="shared" si="68"/>
        <v>1404</v>
      </c>
      <c r="AF371" s="8">
        <f t="shared" si="69"/>
        <v>748.80000000000018</v>
      </c>
      <c r="AG371" s="9">
        <f t="shared" si="70"/>
        <v>0.34782608695652178</v>
      </c>
      <c r="AH371" s="10">
        <f t="shared" si="71"/>
        <v>2025</v>
      </c>
      <c r="AI371" s="10">
        <f t="shared" si="72"/>
        <v>7</v>
      </c>
      <c r="AJ371" s="10" t="str">
        <f t="shared" si="73"/>
        <v>2025-07</v>
      </c>
      <c r="AK371" s="10" t="str">
        <f t="shared" si="74"/>
        <v>T3</v>
      </c>
      <c r="AL371" s="10" t="str">
        <f t="shared" si="75"/>
        <v>22-29</v>
      </c>
      <c r="AM371" s="10" t="str">
        <f t="shared" si="76"/>
        <v>moyen</v>
      </c>
      <c r="AN371" s="10" t="s">
        <v>2839</v>
      </c>
      <c r="AO371" s="10" t="str">
        <f t="shared" si="77"/>
        <v>Elevée</v>
      </c>
    </row>
    <row r="372" spans="1:41">
      <c r="A372" t="s">
        <v>1306</v>
      </c>
      <c r="B372" s="2">
        <v>45959</v>
      </c>
      <c r="C372" t="s">
        <v>1307</v>
      </c>
      <c r="D372" t="s">
        <v>42</v>
      </c>
      <c r="E372" t="s">
        <v>75</v>
      </c>
      <c r="F372" t="s">
        <v>99</v>
      </c>
      <c r="G372">
        <v>6</v>
      </c>
      <c r="H372" s="4">
        <v>260</v>
      </c>
      <c r="I372" s="3">
        <v>0.05</v>
      </c>
      <c r="J372" t="s">
        <v>90</v>
      </c>
      <c r="K372" t="s">
        <v>46</v>
      </c>
      <c r="L372" t="s">
        <v>1308</v>
      </c>
      <c r="M372" t="s">
        <v>54</v>
      </c>
      <c r="N372" t="s">
        <v>112</v>
      </c>
      <c r="O372" t="s">
        <v>50</v>
      </c>
      <c r="P372" t="s">
        <v>51</v>
      </c>
      <c r="Q372" t="s">
        <v>52</v>
      </c>
      <c r="R372" t="s">
        <v>83</v>
      </c>
      <c r="S372" t="s">
        <v>69</v>
      </c>
      <c r="T372" t="s">
        <v>105</v>
      </c>
      <c r="U372" s="5">
        <v>48</v>
      </c>
      <c r="V372" s="5" t="s">
        <v>85</v>
      </c>
      <c r="W372" s="5">
        <v>50</v>
      </c>
      <c r="X372" s="5">
        <v>6.5</v>
      </c>
      <c r="Y372" s="5">
        <v>4</v>
      </c>
      <c r="Z372" s="5" t="s">
        <v>94</v>
      </c>
      <c r="AA372" s="6">
        <v>189.8</v>
      </c>
      <c r="AB372" s="8">
        <f t="shared" si="65"/>
        <v>1560</v>
      </c>
      <c r="AC372" s="8">
        <f t="shared" si="66"/>
        <v>78</v>
      </c>
      <c r="AD372" s="8">
        <f t="shared" si="67"/>
        <v>1482</v>
      </c>
      <c r="AE372" s="8">
        <f t="shared" si="68"/>
        <v>1138.8000000000002</v>
      </c>
      <c r="AF372" s="8">
        <f t="shared" si="69"/>
        <v>343.19999999999982</v>
      </c>
      <c r="AG372" s="9">
        <f t="shared" si="70"/>
        <v>0.23157894736842094</v>
      </c>
      <c r="AH372" s="10">
        <f t="shared" si="71"/>
        <v>2025</v>
      </c>
      <c r="AI372" s="10">
        <f t="shared" si="72"/>
        <v>10</v>
      </c>
      <c r="AJ372" s="10" t="str">
        <f t="shared" si="73"/>
        <v>2025-10</v>
      </c>
      <c r="AK372" s="10" t="str">
        <f t="shared" si="74"/>
        <v>T4</v>
      </c>
      <c r="AL372" s="10" t="str">
        <f t="shared" si="75"/>
        <v>40-49</v>
      </c>
      <c r="AM372" s="10" t="str">
        <f t="shared" si="76"/>
        <v>moyen</v>
      </c>
      <c r="AN372" s="10" t="s">
        <v>2839</v>
      </c>
      <c r="AO372" s="10" t="str">
        <f t="shared" si="77"/>
        <v>Elevée</v>
      </c>
    </row>
    <row r="373" spans="1:41">
      <c r="A373" t="s">
        <v>1309</v>
      </c>
      <c r="B373" s="2">
        <v>45832</v>
      </c>
      <c r="C373" t="s">
        <v>1310</v>
      </c>
      <c r="D373" t="s">
        <v>162</v>
      </c>
      <c r="E373" t="s">
        <v>43</v>
      </c>
      <c r="F373" t="s">
        <v>164</v>
      </c>
      <c r="G373">
        <v>1</v>
      </c>
      <c r="H373" s="4">
        <v>35</v>
      </c>
      <c r="I373" s="3">
        <v>0.05</v>
      </c>
      <c r="J373" t="s">
        <v>63</v>
      </c>
      <c r="K373" t="s">
        <v>46</v>
      </c>
      <c r="L373" t="s">
        <v>1311</v>
      </c>
      <c r="M373" t="s">
        <v>123</v>
      </c>
      <c r="N373" t="s">
        <v>49</v>
      </c>
      <c r="O373" t="s">
        <v>166</v>
      </c>
      <c r="P373" t="s">
        <v>103</v>
      </c>
      <c r="Q373" t="s">
        <v>143</v>
      </c>
      <c r="R373" t="s">
        <v>53</v>
      </c>
      <c r="S373" t="s">
        <v>54</v>
      </c>
      <c r="T373" t="s">
        <v>168</v>
      </c>
      <c r="U373" s="5">
        <v>23</v>
      </c>
      <c r="V373" s="5" t="s">
        <v>56</v>
      </c>
      <c r="W373" s="5">
        <v>59</v>
      </c>
      <c r="X373" s="5">
        <v>3.7</v>
      </c>
      <c r="Y373" s="5">
        <v>8</v>
      </c>
      <c r="Z373" s="5" t="s">
        <v>117</v>
      </c>
      <c r="AA373" s="6">
        <v>24.15</v>
      </c>
      <c r="AB373" s="8">
        <f t="shared" si="65"/>
        <v>35</v>
      </c>
      <c r="AC373" s="8">
        <f t="shared" si="66"/>
        <v>1.75</v>
      </c>
      <c r="AD373" s="8">
        <f t="shared" si="67"/>
        <v>33.25</v>
      </c>
      <c r="AE373" s="8">
        <f t="shared" si="68"/>
        <v>24.15</v>
      </c>
      <c r="AF373" s="8">
        <f t="shared" si="69"/>
        <v>9.1000000000000014</v>
      </c>
      <c r="AG373" s="9">
        <f t="shared" si="70"/>
        <v>0.27368421052631581</v>
      </c>
      <c r="AH373" s="10">
        <f t="shared" si="71"/>
        <v>2025</v>
      </c>
      <c r="AI373" s="10">
        <f t="shared" si="72"/>
        <v>6</v>
      </c>
      <c r="AJ373" s="10" t="str">
        <f t="shared" si="73"/>
        <v>2025-06</v>
      </c>
      <c r="AK373" s="10" t="str">
        <f t="shared" si="74"/>
        <v>T2</v>
      </c>
      <c r="AL373" s="10" t="str">
        <f t="shared" si="75"/>
        <v>22-29</v>
      </c>
      <c r="AM373" s="10" t="str">
        <f t="shared" si="76"/>
        <v>faible</v>
      </c>
      <c r="AN373" s="10" t="s">
        <v>2837</v>
      </c>
      <c r="AO373" s="10" t="str">
        <f t="shared" si="77"/>
        <v>Faible</v>
      </c>
    </row>
    <row r="374" spans="1:41">
      <c r="A374" t="s">
        <v>1312</v>
      </c>
      <c r="B374" s="2">
        <v>45679</v>
      </c>
      <c r="C374" t="s">
        <v>752</v>
      </c>
      <c r="D374" t="s">
        <v>108</v>
      </c>
      <c r="E374" t="s">
        <v>75</v>
      </c>
      <c r="F374" t="s">
        <v>813</v>
      </c>
      <c r="G374">
        <v>4</v>
      </c>
      <c r="H374" s="4">
        <v>240</v>
      </c>
      <c r="I374" s="3">
        <v>0.08</v>
      </c>
      <c r="J374" t="s">
        <v>45</v>
      </c>
      <c r="K374" t="s">
        <v>46</v>
      </c>
      <c r="L374" t="s">
        <v>753</v>
      </c>
      <c r="M374" t="s">
        <v>65</v>
      </c>
      <c r="N374" t="s">
        <v>101</v>
      </c>
      <c r="O374" t="s">
        <v>113</v>
      </c>
      <c r="P374" t="s">
        <v>82</v>
      </c>
      <c r="Q374" t="s">
        <v>114</v>
      </c>
      <c r="R374" t="s">
        <v>83</v>
      </c>
      <c r="S374" t="s">
        <v>69</v>
      </c>
      <c r="T374" t="s">
        <v>815</v>
      </c>
      <c r="U374" s="5">
        <v>27</v>
      </c>
      <c r="V374" s="5" t="s">
        <v>56</v>
      </c>
      <c r="W374" s="5">
        <v>15</v>
      </c>
      <c r="X374" s="5">
        <v>3.5</v>
      </c>
      <c r="Y374" s="5">
        <v>8</v>
      </c>
      <c r="Z374" s="5" t="s">
        <v>57</v>
      </c>
      <c r="AA374" s="6">
        <v>177.6</v>
      </c>
      <c r="AB374" s="8">
        <f t="shared" si="65"/>
        <v>960</v>
      </c>
      <c r="AC374" s="8">
        <f t="shared" si="66"/>
        <v>76.8</v>
      </c>
      <c r="AD374" s="8">
        <f t="shared" si="67"/>
        <v>883.2</v>
      </c>
      <c r="AE374" s="8">
        <f t="shared" si="68"/>
        <v>710.4</v>
      </c>
      <c r="AF374" s="8">
        <f t="shared" si="69"/>
        <v>172.80000000000007</v>
      </c>
      <c r="AG374" s="9">
        <f t="shared" si="70"/>
        <v>0.19565217391304354</v>
      </c>
      <c r="AH374" s="10">
        <f t="shared" si="71"/>
        <v>2025</v>
      </c>
      <c r="AI374" s="10">
        <f t="shared" si="72"/>
        <v>1</v>
      </c>
      <c r="AJ374" s="10" t="str">
        <f t="shared" si="73"/>
        <v>2025-01</v>
      </c>
      <c r="AK374" s="10" t="str">
        <f t="shared" si="74"/>
        <v>T1</v>
      </c>
      <c r="AL374" s="10" t="str">
        <f t="shared" si="75"/>
        <v>22-29</v>
      </c>
      <c r="AM374" s="10" t="str">
        <f t="shared" si="76"/>
        <v>faible</v>
      </c>
      <c r="AN374" s="10" t="s">
        <v>2837</v>
      </c>
      <c r="AO374" s="10" t="str">
        <f t="shared" si="77"/>
        <v>Moyenne</v>
      </c>
    </row>
    <row r="375" spans="1:41">
      <c r="A375" t="s">
        <v>1313</v>
      </c>
      <c r="B375" s="2">
        <v>45803</v>
      </c>
      <c r="C375" t="s">
        <v>1314</v>
      </c>
      <c r="D375" t="s">
        <v>108</v>
      </c>
      <c r="E375" t="s">
        <v>345</v>
      </c>
      <c r="F375" t="s">
        <v>328</v>
      </c>
      <c r="G375">
        <v>1</v>
      </c>
      <c r="H375" s="4">
        <v>240</v>
      </c>
      <c r="I375" s="3">
        <v>0</v>
      </c>
      <c r="J375" t="s">
        <v>77</v>
      </c>
      <c r="K375" t="s">
        <v>46</v>
      </c>
      <c r="L375" t="s">
        <v>1315</v>
      </c>
      <c r="M375" t="s">
        <v>54</v>
      </c>
      <c r="N375" t="s">
        <v>80</v>
      </c>
      <c r="O375" t="s">
        <v>113</v>
      </c>
      <c r="P375" t="s">
        <v>82</v>
      </c>
      <c r="Q375" t="s">
        <v>114</v>
      </c>
      <c r="R375" t="s">
        <v>347</v>
      </c>
      <c r="S375" t="s">
        <v>54</v>
      </c>
      <c r="T375" t="s">
        <v>330</v>
      </c>
      <c r="U375" s="5">
        <v>47</v>
      </c>
      <c r="V375" s="5" t="s">
        <v>56</v>
      </c>
      <c r="W375" s="5">
        <v>36</v>
      </c>
      <c r="X375" s="5">
        <v>8.9</v>
      </c>
      <c r="Y375" s="5">
        <v>1</v>
      </c>
      <c r="Z375" s="5" t="s">
        <v>94</v>
      </c>
      <c r="AA375" s="6">
        <v>177.6</v>
      </c>
      <c r="AB375" s="8">
        <f t="shared" si="65"/>
        <v>240</v>
      </c>
      <c r="AC375" s="8">
        <f t="shared" si="66"/>
        <v>0</v>
      </c>
      <c r="AD375" s="8">
        <f t="shared" si="67"/>
        <v>240</v>
      </c>
      <c r="AE375" s="8">
        <f t="shared" si="68"/>
        <v>177.6</v>
      </c>
      <c r="AF375" s="8">
        <f t="shared" si="69"/>
        <v>62.400000000000006</v>
      </c>
      <c r="AG375" s="9">
        <f t="shared" si="70"/>
        <v>0.26</v>
      </c>
      <c r="AH375" s="10">
        <f t="shared" si="71"/>
        <v>2025</v>
      </c>
      <c r="AI375" s="10">
        <f t="shared" si="72"/>
        <v>5</v>
      </c>
      <c r="AJ375" s="10" t="str">
        <f t="shared" si="73"/>
        <v>2025-05</v>
      </c>
      <c r="AK375" s="10" t="str">
        <f t="shared" si="74"/>
        <v>T2</v>
      </c>
      <c r="AL375" s="10" t="str">
        <f t="shared" si="75"/>
        <v>40-49</v>
      </c>
      <c r="AM375" s="10" t="str">
        <f t="shared" si="76"/>
        <v>bon</v>
      </c>
      <c r="AN375" s="10" t="s">
        <v>2838</v>
      </c>
      <c r="AO375" s="10" t="str">
        <f t="shared" si="77"/>
        <v>Faible</v>
      </c>
    </row>
    <row r="376" spans="1:41">
      <c r="A376" t="s">
        <v>1316</v>
      </c>
      <c r="B376" s="2">
        <v>45940</v>
      </c>
      <c r="C376" t="s">
        <v>1317</v>
      </c>
      <c r="D376" t="s">
        <v>42</v>
      </c>
      <c r="E376" t="s">
        <v>345</v>
      </c>
      <c r="F376" t="s">
        <v>429</v>
      </c>
      <c r="G376">
        <v>5</v>
      </c>
      <c r="H376" s="4">
        <v>260</v>
      </c>
      <c r="I376" s="3">
        <v>0.1</v>
      </c>
      <c r="J376" t="s">
        <v>45</v>
      </c>
      <c r="K376" t="s">
        <v>46</v>
      </c>
      <c r="L376" t="s">
        <v>1318</v>
      </c>
      <c r="M376" t="s">
        <v>123</v>
      </c>
      <c r="N376" t="s">
        <v>49</v>
      </c>
      <c r="O376" t="s">
        <v>50</v>
      </c>
      <c r="P376" t="s">
        <v>51</v>
      </c>
      <c r="Q376" t="s">
        <v>52</v>
      </c>
      <c r="R376" t="s">
        <v>347</v>
      </c>
      <c r="S376" t="s">
        <v>54</v>
      </c>
      <c r="T376" t="s">
        <v>431</v>
      </c>
      <c r="U376" s="5">
        <v>47</v>
      </c>
      <c r="V376" s="5" t="s">
        <v>56</v>
      </c>
      <c r="W376" s="5">
        <v>22</v>
      </c>
      <c r="X376" s="5">
        <v>7.6</v>
      </c>
      <c r="Y376" s="5">
        <v>2</v>
      </c>
      <c r="Z376" s="5" t="s">
        <v>117</v>
      </c>
      <c r="AA376" s="6">
        <v>189.8</v>
      </c>
      <c r="AB376" s="8">
        <f t="shared" si="65"/>
        <v>1300</v>
      </c>
      <c r="AC376" s="8">
        <f t="shared" si="66"/>
        <v>130</v>
      </c>
      <c r="AD376" s="8">
        <f t="shared" si="67"/>
        <v>1170</v>
      </c>
      <c r="AE376" s="8">
        <f t="shared" si="68"/>
        <v>949</v>
      </c>
      <c r="AF376" s="8">
        <f t="shared" si="69"/>
        <v>221</v>
      </c>
      <c r="AG376" s="9">
        <f t="shared" si="70"/>
        <v>0.18888888888888888</v>
      </c>
      <c r="AH376" s="10">
        <f t="shared" si="71"/>
        <v>2025</v>
      </c>
      <c r="AI376" s="10">
        <f t="shared" si="72"/>
        <v>10</v>
      </c>
      <c r="AJ376" s="10" t="str">
        <f t="shared" si="73"/>
        <v>2025-10</v>
      </c>
      <c r="AK376" s="10" t="str">
        <f t="shared" si="74"/>
        <v>T4</v>
      </c>
      <c r="AL376" s="10" t="str">
        <f t="shared" si="75"/>
        <v>40-49</v>
      </c>
      <c r="AM376" s="10" t="str">
        <f t="shared" si="76"/>
        <v>bon</v>
      </c>
      <c r="AN376" s="10" t="s">
        <v>2838</v>
      </c>
      <c r="AO376" s="10" t="str">
        <f t="shared" si="77"/>
        <v>Elevée</v>
      </c>
    </row>
    <row r="377" spans="1:41">
      <c r="A377" t="s">
        <v>1319</v>
      </c>
      <c r="B377" s="2">
        <v>45671</v>
      </c>
      <c r="C377" t="s">
        <v>1320</v>
      </c>
      <c r="D377" t="s">
        <v>181</v>
      </c>
      <c r="E377" t="s">
        <v>120</v>
      </c>
      <c r="F377" t="s">
        <v>164</v>
      </c>
      <c r="G377">
        <v>2</v>
      </c>
      <c r="H377" s="4">
        <v>145</v>
      </c>
      <c r="I377" s="3">
        <v>0</v>
      </c>
      <c r="J377" t="s">
        <v>63</v>
      </c>
      <c r="K377" t="s">
        <v>46</v>
      </c>
      <c r="L377" t="s">
        <v>1321</v>
      </c>
      <c r="M377" t="s">
        <v>79</v>
      </c>
      <c r="N377" t="s">
        <v>49</v>
      </c>
      <c r="O377" t="s">
        <v>184</v>
      </c>
      <c r="P377" t="s">
        <v>103</v>
      </c>
      <c r="Q377" t="s">
        <v>52</v>
      </c>
      <c r="R377" t="s">
        <v>124</v>
      </c>
      <c r="S377" t="s">
        <v>48</v>
      </c>
      <c r="T377" t="s">
        <v>168</v>
      </c>
      <c r="U377" s="5">
        <v>44</v>
      </c>
      <c r="V377" s="5" t="s">
        <v>56</v>
      </c>
      <c r="W377" s="5">
        <v>15</v>
      </c>
      <c r="X377" s="5">
        <v>8.8000000000000007</v>
      </c>
      <c r="Y377" s="5">
        <v>1</v>
      </c>
      <c r="Z377" s="5" t="s">
        <v>94</v>
      </c>
      <c r="AA377" s="6">
        <v>97.15</v>
      </c>
      <c r="AB377" s="8">
        <f t="shared" si="65"/>
        <v>290</v>
      </c>
      <c r="AC377" s="8">
        <f t="shared" si="66"/>
        <v>0</v>
      </c>
      <c r="AD377" s="8">
        <f t="shared" si="67"/>
        <v>290</v>
      </c>
      <c r="AE377" s="8">
        <f t="shared" si="68"/>
        <v>194.3</v>
      </c>
      <c r="AF377" s="8">
        <f t="shared" si="69"/>
        <v>95.699999999999989</v>
      </c>
      <c r="AG377" s="9">
        <f t="shared" si="70"/>
        <v>0.32999999999999996</v>
      </c>
      <c r="AH377" s="10">
        <f t="shared" si="71"/>
        <v>2025</v>
      </c>
      <c r="AI377" s="10">
        <f t="shared" si="72"/>
        <v>1</v>
      </c>
      <c r="AJ377" s="10" t="str">
        <f t="shared" si="73"/>
        <v>2025-01</v>
      </c>
      <c r="AK377" s="10" t="str">
        <f t="shared" si="74"/>
        <v>T1</v>
      </c>
      <c r="AL377" s="10" t="str">
        <f t="shared" si="75"/>
        <v>40-49</v>
      </c>
      <c r="AM377" s="10" t="str">
        <f t="shared" si="76"/>
        <v>bon</v>
      </c>
      <c r="AN377" s="10" t="s">
        <v>2838</v>
      </c>
      <c r="AO377" s="10" t="str">
        <f t="shared" si="77"/>
        <v>Faible</v>
      </c>
    </row>
    <row r="378" spans="1:41">
      <c r="A378" t="s">
        <v>1322</v>
      </c>
      <c r="B378" s="2">
        <v>45714</v>
      </c>
      <c r="C378" t="s">
        <v>1323</v>
      </c>
      <c r="D378" t="s">
        <v>42</v>
      </c>
      <c r="E378" t="s">
        <v>139</v>
      </c>
      <c r="F378" t="s">
        <v>350</v>
      </c>
      <c r="G378">
        <v>4</v>
      </c>
      <c r="H378" s="4">
        <v>260</v>
      </c>
      <c r="I378" s="3">
        <v>0.1</v>
      </c>
      <c r="J378" t="s">
        <v>90</v>
      </c>
      <c r="K378" t="s">
        <v>46</v>
      </c>
      <c r="L378" t="s">
        <v>1324</v>
      </c>
      <c r="M378" t="s">
        <v>123</v>
      </c>
      <c r="N378" t="s">
        <v>112</v>
      </c>
      <c r="O378" t="s">
        <v>50</v>
      </c>
      <c r="P378" t="s">
        <v>51</v>
      </c>
      <c r="Q378" t="s">
        <v>52</v>
      </c>
      <c r="R378" t="s">
        <v>144</v>
      </c>
      <c r="S378" t="s">
        <v>65</v>
      </c>
      <c r="T378" t="s">
        <v>352</v>
      </c>
      <c r="U378" s="5">
        <v>43</v>
      </c>
      <c r="V378" s="5" t="s">
        <v>85</v>
      </c>
      <c r="W378" s="5">
        <v>63</v>
      </c>
      <c r="X378" s="5">
        <v>5.6</v>
      </c>
      <c r="Y378" s="5">
        <v>5</v>
      </c>
      <c r="Z378" s="5" t="s">
        <v>94</v>
      </c>
      <c r="AA378" s="6">
        <v>189.8</v>
      </c>
      <c r="AB378" s="8">
        <f t="shared" si="65"/>
        <v>1040</v>
      </c>
      <c r="AC378" s="8">
        <f t="shared" si="66"/>
        <v>104</v>
      </c>
      <c r="AD378" s="8">
        <f t="shared" si="67"/>
        <v>936</v>
      </c>
      <c r="AE378" s="8">
        <f t="shared" si="68"/>
        <v>759.2</v>
      </c>
      <c r="AF378" s="8">
        <f t="shared" si="69"/>
        <v>176.79999999999995</v>
      </c>
      <c r="AG378" s="9">
        <f t="shared" si="70"/>
        <v>0.18888888888888883</v>
      </c>
      <c r="AH378" s="10">
        <f t="shared" si="71"/>
        <v>2025</v>
      </c>
      <c r="AI378" s="10">
        <f t="shared" si="72"/>
        <v>2</v>
      </c>
      <c r="AJ378" s="10" t="str">
        <f t="shared" si="73"/>
        <v>2025-02</v>
      </c>
      <c r="AK378" s="10" t="str">
        <f t="shared" si="74"/>
        <v>T1</v>
      </c>
      <c r="AL378" s="10" t="str">
        <f t="shared" si="75"/>
        <v>40-49</v>
      </c>
      <c r="AM378" s="10" t="str">
        <f t="shared" si="76"/>
        <v>moyen</v>
      </c>
      <c r="AN378" s="10" t="s">
        <v>2839</v>
      </c>
      <c r="AO378" s="10" t="str">
        <f t="shared" si="77"/>
        <v>Moyenne</v>
      </c>
    </row>
    <row r="379" spans="1:41">
      <c r="A379" t="s">
        <v>1325</v>
      </c>
      <c r="B379" s="2">
        <v>45738</v>
      </c>
      <c r="C379" t="s">
        <v>1326</v>
      </c>
      <c r="D379" t="s">
        <v>162</v>
      </c>
      <c r="E379" t="s">
        <v>214</v>
      </c>
      <c r="F379" t="s">
        <v>361</v>
      </c>
      <c r="G379">
        <v>2</v>
      </c>
      <c r="H379" s="4">
        <v>35</v>
      </c>
      <c r="I379" s="3">
        <v>0</v>
      </c>
      <c r="J379" t="s">
        <v>63</v>
      </c>
      <c r="K379" t="s">
        <v>46</v>
      </c>
      <c r="L379" t="s">
        <v>1327</v>
      </c>
      <c r="M379" t="s">
        <v>48</v>
      </c>
      <c r="N379" t="s">
        <v>101</v>
      </c>
      <c r="O379" t="s">
        <v>166</v>
      </c>
      <c r="P379" t="s">
        <v>103</v>
      </c>
      <c r="Q379" t="s">
        <v>143</v>
      </c>
      <c r="R379" t="s">
        <v>216</v>
      </c>
      <c r="S379" t="s">
        <v>65</v>
      </c>
      <c r="T379" t="s">
        <v>363</v>
      </c>
      <c r="U379" s="5">
        <v>35</v>
      </c>
      <c r="V379" s="5" t="s">
        <v>85</v>
      </c>
      <c r="W379" s="5">
        <v>24</v>
      </c>
      <c r="X379" s="5">
        <v>6.6</v>
      </c>
      <c r="Y379" s="5">
        <v>3</v>
      </c>
      <c r="Z379" s="5" t="s">
        <v>57</v>
      </c>
      <c r="AA379" s="6">
        <v>24.15</v>
      </c>
      <c r="AB379" s="8">
        <f t="shared" si="65"/>
        <v>70</v>
      </c>
      <c r="AC379" s="8">
        <f t="shared" si="66"/>
        <v>0</v>
      </c>
      <c r="AD379" s="8">
        <f t="shared" si="67"/>
        <v>70</v>
      </c>
      <c r="AE379" s="8">
        <f t="shared" si="68"/>
        <v>48.3</v>
      </c>
      <c r="AF379" s="8">
        <f t="shared" si="69"/>
        <v>21.700000000000003</v>
      </c>
      <c r="AG379" s="9">
        <f t="shared" si="70"/>
        <v>0.31000000000000005</v>
      </c>
      <c r="AH379" s="10">
        <f t="shared" si="71"/>
        <v>2025</v>
      </c>
      <c r="AI379" s="10">
        <f t="shared" si="72"/>
        <v>3</v>
      </c>
      <c r="AJ379" s="10" t="str">
        <f t="shared" si="73"/>
        <v>2025-03</v>
      </c>
      <c r="AK379" s="10" t="str">
        <f t="shared" si="74"/>
        <v>T1</v>
      </c>
      <c r="AL379" s="10" t="str">
        <f t="shared" si="75"/>
        <v>30-39</v>
      </c>
      <c r="AM379" s="10" t="str">
        <f t="shared" si="76"/>
        <v>moyen</v>
      </c>
      <c r="AN379" s="10" t="s">
        <v>2838</v>
      </c>
      <c r="AO379" s="10" t="str">
        <f t="shared" si="77"/>
        <v>Faible</v>
      </c>
    </row>
    <row r="380" spans="1:41">
      <c r="A380" t="s">
        <v>1328</v>
      </c>
      <c r="B380" s="2">
        <v>45677</v>
      </c>
      <c r="C380" t="s">
        <v>1329</v>
      </c>
      <c r="D380" t="s">
        <v>174</v>
      </c>
      <c r="E380" t="s">
        <v>189</v>
      </c>
      <c r="F380" t="s">
        <v>553</v>
      </c>
      <c r="G380">
        <v>2</v>
      </c>
      <c r="H380" s="4">
        <v>780</v>
      </c>
      <c r="I380" s="3">
        <v>0.08</v>
      </c>
      <c r="J380" t="s">
        <v>77</v>
      </c>
      <c r="K380" t="s">
        <v>46</v>
      </c>
      <c r="L380" t="s">
        <v>1330</v>
      </c>
      <c r="M380" t="s">
        <v>65</v>
      </c>
      <c r="N380" t="s">
        <v>101</v>
      </c>
      <c r="O380" t="s">
        <v>177</v>
      </c>
      <c r="P380" t="s">
        <v>103</v>
      </c>
      <c r="Q380" t="s">
        <v>114</v>
      </c>
      <c r="R380" t="s">
        <v>193</v>
      </c>
      <c r="S380" t="s">
        <v>79</v>
      </c>
      <c r="T380" t="s">
        <v>555</v>
      </c>
      <c r="U380" s="5">
        <v>42</v>
      </c>
      <c r="V380" s="5" t="s">
        <v>56</v>
      </c>
      <c r="W380" s="5">
        <v>58</v>
      </c>
      <c r="X380" s="5">
        <v>7.2</v>
      </c>
      <c r="Y380" s="5">
        <v>2</v>
      </c>
      <c r="Z380" s="5" t="s">
        <v>71</v>
      </c>
      <c r="AA380" s="6">
        <v>468</v>
      </c>
      <c r="AB380" s="8">
        <f t="shared" si="65"/>
        <v>1560</v>
      </c>
      <c r="AC380" s="8">
        <f t="shared" si="66"/>
        <v>124.8</v>
      </c>
      <c r="AD380" s="8">
        <f t="shared" si="67"/>
        <v>1435.2</v>
      </c>
      <c r="AE380" s="8">
        <f t="shared" si="68"/>
        <v>936</v>
      </c>
      <c r="AF380" s="8">
        <f t="shared" si="69"/>
        <v>499.20000000000005</v>
      </c>
      <c r="AG380" s="9">
        <f t="shared" si="70"/>
        <v>0.34782608695652178</v>
      </c>
      <c r="AH380" s="10">
        <f t="shared" si="71"/>
        <v>2025</v>
      </c>
      <c r="AI380" s="10">
        <f t="shared" si="72"/>
        <v>1</v>
      </c>
      <c r="AJ380" s="10" t="str">
        <f t="shared" si="73"/>
        <v>2025-01</v>
      </c>
      <c r="AK380" s="10" t="str">
        <f t="shared" si="74"/>
        <v>T1</v>
      </c>
      <c r="AL380" s="10" t="str">
        <f t="shared" si="75"/>
        <v>40-49</v>
      </c>
      <c r="AM380" s="10" t="str">
        <f t="shared" si="76"/>
        <v>bon</v>
      </c>
      <c r="AN380" s="10" t="s">
        <v>2838</v>
      </c>
      <c r="AO380" s="10" t="str">
        <f t="shared" si="77"/>
        <v>Elevée</v>
      </c>
    </row>
    <row r="381" spans="1:41">
      <c r="A381" t="s">
        <v>1331</v>
      </c>
      <c r="B381" s="2">
        <v>45958</v>
      </c>
      <c r="C381" t="s">
        <v>1332</v>
      </c>
      <c r="D381" t="s">
        <v>138</v>
      </c>
      <c r="E381" t="s">
        <v>163</v>
      </c>
      <c r="F381" t="s">
        <v>248</v>
      </c>
      <c r="G381">
        <v>2</v>
      </c>
      <c r="H381" s="4">
        <v>120</v>
      </c>
      <c r="I381" s="3">
        <v>0</v>
      </c>
      <c r="J381" t="s">
        <v>45</v>
      </c>
      <c r="K381" t="s">
        <v>46</v>
      </c>
      <c r="L381" t="s">
        <v>1333</v>
      </c>
      <c r="M381" t="s">
        <v>65</v>
      </c>
      <c r="N381" t="s">
        <v>255</v>
      </c>
      <c r="O381" t="s">
        <v>142</v>
      </c>
      <c r="P381" t="s">
        <v>51</v>
      </c>
      <c r="Q381" t="s">
        <v>143</v>
      </c>
      <c r="R381" t="s">
        <v>167</v>
      </c>
      <c r="S381" t="s">
        <v>123</v>
      </c>
      <c r="T381" t="s">
        <v>250</v>
      </c>
      <c r="U381" s="5">
        <v>51</v>
      </c>
      <c r="V381" s="5" t="s">
        <v>56</v>
      </c>
      <c r="W381" s="5">
        <v>14</v>
      </c>
      <c r="X381" s="5">
        <v>7.9</v>
      </c>
      <c r="Y381" s="5">
        <v>1</v>
      </c>
      <c r="Z381" s="5" t="s">
        <v>57</v>
      </c>
      <c r="AA381" s="6">
        <v>73.2</v>
      </c>
      <c r="AB381" s="8">
        <f t="shared" si="65"/>
        <v>240</v>
      </c>
      <c r="AC381" s="8">
        <f t="shared" si="66"/>
        <v>0</v>
      </c>
      <c r="AD381" s="8">
        <f t="shared" si="67"/>
        <v>240</v>
      </c>
      <c r="AE381" s="8">
        <f t="shared" si="68"/>
        <v>146.4</v>
      </c>
      <c r="AF381" s="8">
        <f t="shared" si="69"/>
        <v>93.6</v>
      </c>
      <c r="AG381" s="9">
        <f t="shared" si="70"/>
        <v>0.38999999999999996</v>
      </c>
      <c r="AH381" s="10">
        <f t="shared" si="71"/>
        <v>2025</v>
      </c>
      <c r="AI381" s="10">
        <f t="shared" si="72"/>
        <v>10</v>
      </c>
      <c r="AJ381" s="10" t="str">
        <f t="shared" si="73"/>
        <v>2025-10</v>
      </c>
      <c r="AK381" s="10" t="str">
        <f t="shared" si="74"/>
        <v>T4</v>
      </c>
      <c r="AL381" s="10" t="str">
        <f t="shared" si="75"/>
        <v>50+</v>
      </c>
      <c r="AM381" s="10" t="str">
        <f t="shared" si="76"/>
        <v>bon</v>
      </c>
      <c r="AN381" s="10" t="s">
        <v>2838</v>
      </c>
      <c r="AO381" s="10" t="str">
        <f t="shared" si="77"/>
        <v>Faible</v>
      </c>
    </row>
    <row r="382" spans="1:41">
      <c r="A382" t="s">
        <v>1334</v>
      </c>
      <c r="B382" s="2">
        <v>45909</v>
      </c>
      <c r="C382" t="s">
        <v>1335</v>
      </c>
      <c r="D382" t="s">
        <v>138</v>
      </c>
      <c r="E382" t="s">
        <v>129</v>
      </c>
      <c r="F382" t="s">
        <v>282</v>
      </c>
      <c r="G382">
        <v>3</v>
      </c>
      <c r="H382" s="4">
        <v>120</v>
      </c>
      <c r="I382" s="3">
        <v>0</v>
      </c>
      <c r="J382" t="s">
        <v>45</v>
      </c>
      <c r="K382" t="s">
        <v>46</v>
      </c>
      <c r="L382" t="s">
        <v>1336</v>
      </c>
      <c r="M382" t="s">
        <v>48</v>
      </c>
      <c r="N382" t="s">
        <v>101</v>
      </c>
      <c r="O382" t="s">
        <v>142</v>
      </c>
      <c r="P382" t="s">
        <v>51</v>
      </c>
      <c r="Q382" t="s">
        <v>143</v>
      </c>
      <c r="R382" t="s">
        <v>134</v>
      </c>
      <c r="S382" t="s">
        <v>123</v>
      </c>
      <c r="T382" t="s">
        <v>284</v>
      </c>
      <c r="U382" s="5">
        <v>55</v>
      </c>
      <c r="V382" s="5" t="s">
        <v>85</v>
      </c>
      <c r="W382" s="5">
        <v>54</v>
      </c>
      <c r="X382" s="5">
        <v>6</v>
      </c>
      <c r="Y382" s="5">
        <v>6</v>
      </c>
      <c r="Z382" s="5" t="s">
        <v>117</v>
      </c>
      <c r="AA382" s="6">
        <v>73.2</v>
      </c>
      <c r="AB382" s="8">
        <f t="shared" si="65"/>
        <v>360</v>
      </c>
      <c r="AC382" s="8">
        <f t="shared" si="66"/>
        <v>0</v>
      </c>
      <c r="AD382" s="8">
        <f t="shared" si="67"/>
        <v>360</v>
      </c>
      <c r="AE382" s="8">
        <f t="shared" si="68"/>
        <v>219.60000000000002</v>
      </c>
      <c r="AF382" s="8">
        <f t="shared" si="69"/>
        <v>140.39999999999998</v>
      </c>
      <c r="AG382" s="9">
        <f t="shared" si="70"/>
        <v>0.38999999999999996</v>
      </c>
      <c r="AH382" s="10">
        <f t="shared" si="71"/>
        <v>2025</v>
      </c>
      <c r="AI382" s="10">
        <f t="shared" si="72"/>
        <v>9</v>
      </c>
      <c r="AJ382" s="10" t="str">
        <f t="shared" si="73"/>
        <v>2025-09</v>
      </c>
      <c r="AK382" s="10" t="str">
        <f t="shared" si="74"/>
        <v>T3</v>
      </c>
      <c r="AL382" s="10" t="str">
        <f t="shared" si="75"/>
        <v>50+</v>
      </c>
      <c r="AM382" s="10" t="str">
        <f t="shared" si="76"/>
        <v>moyen</v>
      </c>
      <c r="AN382" s="10" t="s">
        <v>2839</v>
      </c>
      <c r="AO382" s="10" t="str">
        <f t="shared" si="77"/>
        <v>Faible</v>
      </c>
    </row>
    <row r="383" spans="1:41">
      <c r="A383" t="s">
        <v>1337</v>
      </c>
      <c r="B383" s="2">
        <v>45836</v>
      </c>
      <c r="C383" t="s">
        <v>1338</v>
      </c>
      <c r="D383" t="s">
        <v>148</v>
      </c>
      <c r="E383" t="s">
        <v>163</v>
      </c>
      <c r="F383" t="s">
        <v>243</v>
      </c>
      <c r="G383">
        <v>2</v>
      </c>
      <c r="H383" s="4">
        <v>110</v>
      </c>
      <c r="I383" s="3">
        <v>0.08</v>
      </c>
      <c r="J383" t="s">
        <v>45</v>
      </c>
      <c r="K383" t="s">
        <v>46</v>
      </c>
      <c r="L383" t="s">
        <v>1339</v>
      </c>
      <c r="M383" t="s">
        <v>79</v>
      </c>
      <c r="N383" t="s">
        <v>80</v>
      </c>
      <c r="O383" t="s">
        <v>151</v>
      </c>
      <c r="P383" t="s">
        <v>103</v>
      </c>
      <c r="Q383" t="s">
        <v>114</v>
      </c>
      <c r="R383" t="s">
        <v>167</v>
      </c>
      <c r="S383" t="s">
        <v>123</v>
      </c>
      <c r="T383" t="s">
        <v>245</v>
      </c>
      <c r="U383" s="5">
        <v>45</v>
      </c>
      <c r="V383" s="5" t="s">
        <v>56</v>
      </c>
      <c r="W383" s="5">
        <v>27</v>
      </c>
      <c r="X383" s="5">
        <v>4.0999999999999996</v>
      </c>
      <c r="Y383" s="5">
        <v>7</v>
      </c>
      <c r="Z383" s="5" t="s">
        <v>71</v>
      </c>
      <c r="AA383" s="6">
        <v>72.599999999999994</v>
      </c>
      <c r="AB383" s="8">
        <f t="shared" si="65"/>
        <v>220</v>
      </c>
      <c r="AC383" s="8">
        <f t="shared" si="66"/>
        <v>17.600000000000001</v>
      </c>
      <c r="AD383" s="8">
        <f t="shared" si="67"/>
        <v>202.4</v>
      </c>
      <c r="AE383" s="8">
        <f t="shared" si="68"/>
        <v>145.19999999999999</v>
      </c>
      <c r="AF383" s="8">
        <f t="shared" si="69"/>
        <v>57.200000000000017</v>
      </c>
      <c r="AG383" s="9">
        <f t="shared" si="70"/>
        <v>0.282608695652174</v>
      </c>
      <c r="AH383" s="10">
        <f t="shared" si="71"/>
        <v>2025</v>
      </c>
      <c r="AI383" s="10">
        <f t="shared" si="72"/>
        <v>6</v>
      </c>
      <c r="AJ383" s="10" t="str">
        <f t="shared" si="73"/>
        <v>2025-06</v>
      </c>
      <c r="AK383" s="10" t="str">
        <f t="shared" si="74"/>
        <v>T2</v>
      </c>
      <c r="AL383" s="10" t="str">
        <f t="shared" si="75"/>
        <v>40-49</v>
      </c>
      <c r="AM383" s="10" t="str">
        <f t="shared" si="76"/>
        <v>faible</v>
      </c>
      <c r="AN383" s="10" t="s">
        <v>2837</v>
      </c>
      <c r="AO383" s="10" t="str">
        <f t="shared" si="77"/>
        <v>Faible</v>
      </c>
    </row>
    <row r="384" spans="1:41">
      <c r="A384" t="s">
        <v>1340</v>
      </c>
      <c r="B384" s="2">
        <v>45980</v>
      </c>
      <c r="C384" t="s">
        <v>1341</v>
      </c>
      <c r="D384" t="s">
        <v>74</v>
      </c>
      <c r="E384" t="s">
        <v>277</v>
      </c>
      <c r="F384" t="s">
        <v>164</v>
      </c>
      <c r="G384">
        <v>2</v>
      </c>
      <c r="H384" s="4">
        <v>95</v>
      </c>
      <c r="I384" s="3">
        <v>0</v>
      </c>
      <c r="J384" t="s">
        <v>63</v>
      </c>
      <c r="K384" t="s">
        <v>46</v>
      </c>
      <c r="L384" t="s">
        <v>1342</v>
      </c>
      <c r="M384" t="s">
        <v>79</v>
      </c>
      <c r="N384" t="s">
        <v>49</v>
      </c>
      <c r="O384" t="s">
        <v>81</v>
      </c>
      <c r="P384" t="s">
        <v>82</v>
      </c>
      <c r="Q384" t="s">
        <v>52</v>
      </c>
      <c r="R384" t="s">
        <v>279</v>
      </c>
      <c r="S384" t="s">
        <v>54</v>
      </c>
      <c r="T384" t="s">
        <v>168</v>
      </c>
      <c r="U384" s="5">
        <v>36</v>
      </c>
      <c r="V384" s="5" t="s">
        <v>85</v>
      </c>
      <c r="W384" s="5">
        <v>33</v>
      </c>
      <c r="X384" s="5">
        <v>7.3</v>
      </c>
      <c r="Y384" s="5">
        <v>3</v>
      </c>
      <c r="Z384" s="5" t="s">
        <v>117</v>
      </c>
      <c r="AA384" s="6">
        <v>70.3</v>
      </c>
      <c r="AB384" s="8">
        <f t="shared" si="65"/>
        <v>190</v>
      </c>
      <c r="AC384" s="8">
        <f t="shared" si="66"/>
        <v>0</v>
      </c>
      <c r="AD384" s="8">
        <f t="shared" si="67"/>
        <v>190</v>
      </c>
      <c r="AE384" s="8">
        <f t="shared" si="68"/>
        <v>140.6</v>
      </c>
      <c r="AF384" s="8">
        <f t="shared" si="69"/>
        <v>49.400000000000006</v>
      </c>
      <c r="AG384" s="9">
        <f t="shared" si="70"/>
        <v>0.26</v>
      </c>
      <c r="AH384" s="10">
        <f t="shared" si="71"/>
        <v>2025</v>
      </c>
      <c r="AI384" s="10">
        <f t="shared" si="72"/>
        <v>11</v>
      </c>
      <c r="AJ384" s="10" t="str">
        <f t="shared" si="73"/>
        <v>2025-11</v>
      </c>
      <c r="AK384" s="10" t="str">
        <f t="shared" si="74"/>
        <v>T4</v>
      </c>
      <c r="AL384" s="10" t="str">
        <f t="shared" si="75"/>
        <v>30-39</v>
      </c>
      <c r="AM384" s="10" t="str">
        <f t="shared" si="76"/>
        <v>bon</v>
      </c>
      <c r="AN384" s="10" t="s">
        <v>2838</v>
      </c>
      <c r="AO384" s="10" t="str">
        <f t="shared" si="77"/>
        <v>Faible</v>
      </c>
    </row>
    <row r="385" spans="1:41">
      <c r="A385" t="s">
        <v>1343</v>
      </c>
      <c r="B385" s="2">
        <v>46014</v>
      </c>
      <c r="C385" t="s">
        <v>73</v>
      </c>
      <c r="D385" t="s">
        <v>108</v>
      </c>
      <c r="E385" t="s">
        <v>345</v>
      </c>
      <c r="F385" t="s">
        <v>328</v>
      </c>
      <c r="G385">
        <v>2</v>
      </c>
      <c r="H385" s="4">
        <v>240</v>
      </c>
      <c r="I385" s="3">
        <v>0</v>
      </c>
      <c r="J385" t="s">
        <v>63</v>
      </c>
      <c r="K385" t="s">
        <v>46</v>
      </c>
      <c r="L385" t="s">
        <v>78</v>
      </c>
      <c r="M385" t="s">
        <v>79</v>
      </c>
      <c r="N385" t="s">
        <v>80</v>
      </c>
      <c r="O385" t="s">
        <v>113</v>
      </c>
      <c r="P385" t="s">
        <v>82</v>
      </c>
      <c r="Q385" t="s">
        <v>114</v>
      </c>
      <c r="R385" t="s">
        <v>347</v>
      </c>
      <c r="S385" t="s">
        <v>54</v>
      </c>
      <c r="T385" t="s">
        <v>330</v>
      </c>
      <c r="U385" s="5">
        <v>42</v>
      </c>
      <c r="V385" s="5" t="s">
        <v>85</v>
      </c>
      <c r="W385" s="5">
        <v>42</v>
      </c>
      <c r="X385" s="5">
        <v>5.7</v>
      </c>
      <c r="Y385" s="5">
        <v>6</v>
      </c>
      <c r="Z385" s="5" t="s">
        <v>57</v>
      </c>
      <c r="AA385" s="6">
        <v>177.6</v>
      </c>
      <c r="AB385" s="8">
        <f t="shared" si="65"/>
        <v>480</v>
      </c>
      <c r="AC385" s="8">
        <f t="shared" si="66"/>
        <v>0</v>
      </c>
      <c r="AD385" s="8">
        <f t="shared" si="67"/>
        <v>480</v>
      </c>
      <c r="AE385" s="8">
        <f t="shared" si="68"/>
        <v>355.2</v>
      </c>
      <c r="AF385" s="8">
        <f t="shared" si="69"/>
        <v>124.80000000000001</v>
      </c>
      <c r="AG385" s="9">
        <f t="shared" si="70"/>
        <v>0.26</v>
      </c>
      <c r="AH385" s="10">
        <f t="shared" si="71"/>
        <v>2025</v>
      </c>
      <c r="AI385" s="10">
        <f t="shared" si="72"/>
        <v>12</v>
      </c>
      <c r="AJ385" s="10" t="str">
        <f t="shared" si="73"/>
        <v>2025-12</v>
      </c>
      <c r="AK385" s="10" t="str">
        <f t="shared" si="74"/>
        <v>T4</v>
      </c>
      <c r="AL385" s="10" t="str">
        <f t="shared" si="75"/>
        <v>40-49</v>
      </c>
      <c r="AM385" s="10" t="str">
        <f t="shared" si="76"/>
        <v>moyen</v>
      </c>
      <c r="AN385" s="10" t="s">
        <v>2839</v>
      </c>
      <c r="AO385" s="10" t="str">
        <f t="shared" si="77"/>
        <v>Faible</v>
      </c>
    </row>
    <row r="386" spans="1:41">
      <c r="A386" t="s">
        <v>1344</v>
      </c>
      <c r="B386" s="2">
        <v>45806</v>
      </c>
      <c r="C386" t="s">
        <v>1345</v>
      </c>
      <c r="D386" t="s">
        <v>333</v>
      </c>
      <c r="E386" t="s">
        <v>163</v>
      </c>
      <c r="F386" t="s">
        <v>287</v>
      </c>
      <c r="G386">
        <v>1</v>
      </c>
      <c r="H386" s="4">
        <v>65</v>
      </c>
      <c r="I386" s="3">
        <v>0</v>
      </c>
      <c r="J386" t="s">
        <v>63</v>
      </c>
      <c r="K386" t="s">
        <v>46</v>
      </c>
      <c r="L386" t="s">
        <v>1346</v>
      </c>
      <c r="M386" t="s">
        <v>79</v>
      </c>
      <c r="N386" t="s">
        <v>255</v>
      </c>
      <c r="O386" t="s">
        <v>336</v>
      </c>
      <c r="P386" t="s">
        <v>51</v>
      </c>
      <c r="Q386" t="s">
        <v>52</v>
      </c>
      <c r="R386" t="s">
        <v>167</v>
      </c>
      <c r="S386" t="s">
        <v>123</v>
      </c>
      <c r="T386" t="s">
        <v>289</v>
      </c>
      <c r="U386" s="5">
        <v>43</v>
      </c>
      <c r="V386" s="5" t="s">
        <v>56</v>
      </c>
      <c r="W386" s="5">
        <v>67</v>
      </c>
      <c r="X386" s="5">
        <v>8</v>
      </c>
      <c r="Y386" s="5">
        <v>2</v>
      </c>
      <c r="Z386" s="5" t="s">
        <v>71</v>
      </c>
      <c r="AA386" s="6">
        <v>47.45</v>
      </c>
      <c r="AB386" s="8">
        <f t="shared" si="65"/>
        <v>65</v>
      </c>
      <c r="AC386" s="8">
        <f t="shared" si="66"/>
        <v>0</v>
      </c>
      <c r="AD386" s="8">
        <f t="shared" si="67"/>
        <v>65</v>
      </c>
      <c r="AE386" s="8">
        <f t="shared" si="68"/>
        <v>47.45</v>
      </c>
      <c r="AF386" s="8">
        <f t="shared" si="69"/>
        <v>17.549999999999997</v>
      </c>
      <c r="AG386" s="9">
        <f t="shared" si="70"/>
        <v>0.26999999999999996</v>
      </c>
      <c r="AH386" s="10">
        <f t="shared" si="71"/>
        <v>2025</v>
      </c>
      <c r="AI386" s="10">
        <f t="shared" si="72"/>
        <v>5</v>
      </c>
      <c r="AJ386" s="10" t="str">
        <f t="shared" si="73"/>
        <v>2025-05</v>
      </c>
      <c r="AK386" s="10" t="str">
        <f t="shared" si="74"/>
        <v>T2</v>
      </c>
      <c r="AL386" s="10" t="str">
        <f t="shared" si="75"/>
        <v>40-49</v>
      </c>
      <c r="AM386" s="10" t="str">
        <f t="shared" si="76"/>
        <v>bon</v>
      </c>
      <c r="AN386" s="10" t="s">
        <v>2838</v>
      </c>
      <c r="AO386" s="10" t="str">
        <f t="shared" si="77"/>
        <v>Faible</v>
      </c>
    </row>
    <row r="387" spans="1:41">
      <c r="A387" t="s">
        <v>1347</v>
      </c>
      <c r="B387" s="2">
        <v>45858</v>
      </c>
      <c r="C387" t="s">
        <v>1348</v>
      </c>
      <c r="D387" t="s">
        <v>340</v>
      </c>
      <c r="E387" t="s">
        <v>189</v>
      </c>
      <c r="F387" t="s">
        <v>369</v>
      </c>
      <c r="G387">
        <v>4</v>
      </c>
      <c r="H387" s="4">
        <v>22</v>
      </c>
      <c r="I387" s="3">
        <v>0.02</v>
      </c>
      <c r="J387" t="s">
        <v>63</v>
      </c>
      <c r="K387" t="s">
        <v>46</v>
      </c>
      <c r="L387" t="s">
        <v>1349</v>
      </c>
      <c r="M387" t="s">
        <v>123</v>
      </c>
      <c r="N387" t="s">
        <v>49</v>
      </c>
      <c r="O387" t="s">
        <v>342</v>
      </c>
      <c r="P387" t="s">
        <v>103</v>
      </c>
      <c r="Q387" t="s">
        <v>143</v>
      </c>
      <c r="R387" t="s">
        <v>193</v>
      </c>
      <c r="S387" t="s">
        <v>79</v>
      </c>
      <c r="T387" t="s">
        <v>371</v>
      </c>
      <c r="U387" s="5">
        <v>53</v>
      </c>
      <c r="V387" s="5" t="s">
        <v>56</v>
      </c>
      <c r="W387" s="5">
        <v>46</v>
      </c>
      <c r="X387" s="5">
        <v>5.4</v>
      </c>
      <c r="Y387" s="5">
        <v>7</v>
      </c>
      <c r="Z387" s="5" t="s">
        <v>94</v>
      </c>
      <c r="AA387" s="6">
        <v>14.96</v>
      </c>
      <c r="AB387" s="8">
        <f t="shared" ref="AB387:AB450" si="78">G387*H387</f>
        <v>88</v>
      </c>
      <c r="AC387" s="8">
        <f t="shared" ref="AC387:AC450" si="79">I387*AB387</f>
        <v>1.76</v>
      </c>
      <c r="AD387" s="8">
        <f t="shared" ref="AD387:AD450" si="80">AB387-AC387</f>
        <v>86.24</v>
      </c>
      <c r="AE387" s="8">
        <f t="shared" ref="AE387:AE450" si="81">G387*AA387</f>
        <v>59.84</v>
      </c>
      <c r="AF387" s="8">
        <f t="shared" ref="AF387:AF450" si="82">AD387-AE387</f>
        <v>26.399999999999991</v>
      </c>
      <c r="AG387" s="9">
        <f t="shared" ref="AG387:AG450" si="83">IFERROR(AF387/AD387,)</f>
        <v>0.30612244897959173</v>
      </c>
      <c r="AH387" s="10">
        <f t="shared" ref="AH387:AH450" si="84">YEAR(B387)</f>
        <v>2025</v>
      </c>
      <c r="AI387" s="10">
        <f t="shared" ref="AI387:AI450" si="85">MONTH(B387)</f>
        <v>7</v>
      </c>
      <c r="AJ387" s="10" t="str">
        <f t="shared" ref="AJ387:AJ450" si="86">TEXT(B387,"yyyy-mm")</f>
        <v>2025-07</v>
      </c>
      <c r="AK387" s="10" t="str">
        <f t="shared" ref="AK387:AK450" si="87">"T"&amp;ROUNDUP(MONTH(B387)/3,0)</f>
        <v>T3</v>
      </c>
      <c r="AL387" s="10" t="str">
        <f t="shared" ref="AL387:AL450" si="88">IF(U387&lt;30,"22-29",IF(U387&lt;40,"30-39",IF(U387&lt;50,"40-49","50+")))</f>
        <v>50+</v>
      </c>
      <c r="AM387" s="10" t="str">
        <f t="shared" ref="AM387:AM450" si="89">IF(X387&lt;5,"faible",IF(X387&lt;7,"moyen",IF(X387&lt;9,"bon","excellent")))</f>
        <v>moyen</v>
      </c>
      <c r="AN387" s="10" t="s">
        <v>2837</v>
      </c>
      <c r="AO387" s="10" t="str">
        <f t="shared" ref="AO387:AO450" si="90">IF(AD387&gt;=1000,"Elevée",IF(AD387&gt;=500,"Moyenne","Faible"))</f>
        <v>Faible</v>
      </c>
    </row>
    <row r="388" spans="1:41">
      <c r="A388" t="s">
        <v>1350</v>
      </c>
      <c r="B388" s="2">
        <v>45770</v>
      </c>
      <c r="C388" t="s">
        <v>1351</v>
      </c>
      <c r="D388" t="s">
        <v>340</v>
      </c>
      <c r="E388" t="s">
        <v>277</v>
      </c>
      <c r="F388" t="s">
        <v>99</v>
      </c>
      <c r="G388">
        <v>2</v>
      </c>
      <c r="H388" s="4">
        <v>22</v>
      </c>
      <c r="I388" s="3">
        <v>0.1</v>
      </c>
      <c r="J388" t="s">
        <v>90</v>
      </c>
      <c r="K388" t="s">
        <v>46</v>
      </c>
      <c r="L388" t="s">
        <v>1352</v>
      </c>
      <c r="M388" t="s">
        <v>54</v>
      </c>
      <c r="N388" t="s">
        <v>49</v>
      </c>
      <c r="O388" t="s">
        <v>342</v>
      </c>
      <c r="P388" t="s">
        <v>103</v>
      </c>
      <c r="Q388" t="s">
        <v>143</v>
      </c>
      <c r="R388" t="s">
        <v>279</v>
      </c>
      <c r="S388" t="s">
        <v>54</v>
      </c>
      <c r="T388" t="s">
        <v>105</v>
      </c>
      <c r="U388" s="5">
        <v>36</v>
      </c>
      <c r="V388" s="5" t="s">
        <v>85</v>
      </c>
      <c r="W388" s="5">
        <v>15</v>
      </c>
      <c r="X388" s="5">
        <v>6.5</v>
      </c>
      <c r="Y388" s="5">
        <v>5</v>
      </c>
      <c r="Z388" s="5" t="s">
        <v>94</v>
      </c>
      <c r="AA388" s="6">
        <v>14.96</v>
      </c>
      <c r="AB388" s="8">
        <f t="shared" si="78"/>
        <v>44</v>
      </c>
      <c r="AC388" s="8">
        <f t="shared" si="79"/>
        <v>4.4000000000000004</v>
      </c>
      <c r="AD388" s="8">
        <f t="shared" si="80"/>
        <v>39.6</v>
      </c>
      <c r="AE388" s="8">
        <f t="shared" si="81"/>
        <v>29.92</v>
      </c>
      <c r="AF388" s="8">
        <f t="shared" si="82"/>
        <v>9.68</v>
      </c>
      <c r="AG388" s="9">
        <f t="shared" si="83"/>
        <v>0.24444444444444444</v>
      </c>
      <c r="AH388" s="10">
        <f t="shared" si="84"/>
        <v>2025</v>
      </c>
      <c r="AI388" s="10">
        <f t="shared" si="85"/>
        <v>4</v>
      </c>
      <c r="AJ388" s="10" t="str">
        <f t="shared" si="86"/>
        <v>2025-04</v>
      </c>
      <c r="AK388" s="10" t="str">
        <f t="shared" si="87"/>
        <v>T2</v>
      </c>
      <c r="AL388" s="10" t="str">
        <f t="shared" si="88"/>
        <v>30-39</v>
      </c>
      <c r="AM388" s="10" t="str">
        <f t="shared" si="89"/>
        <v>moyen</v>
      </c>
      <c r="AN388" s="10" t="s">
        <v>2839</v>
      </c>
      <c r="AO388" s="10" t="str">
        <f t="shared" si="90"/>
        <v>Faible</v>
      </c>
    </row>
    <row r="389" spans="1:41">
      <c r="A389" t="s">
        <v>1353</v>
      </c>
      <c r="B389" s="2">
        <v>45763</v>
      </c>
      <c r="C389" t="s">
        <v>1354</v>
      </c>
      <c r="D389" t="s">
        <v>162</v>
      </c>
      <c r="E389" t="s">
        <v>75</v>
      </c>
      <c r="F389" t="s">
        <v>374</v>
      </c>
      <c r="G389">
        <v>4</v>
      </c>
      <c r="H389" s="4">
        <v>35</v>
      </c>
      <c r="I389" s="3">
        <v>0</v>
      </c>
      <c r="J389" t="s">
        <v>77</v>
      </c>
      <c r="K389" t="s">
        <v>46</v>
      </c>
      <c r="L389" t="s">
        <v>1355</v>
      </c>
      <c r="M389" t="s">
        <v>123</v>
      </c>
      <c r="N389" t="s">
        <v>255</v>
      </c>
      <c r="O389" t="s">
        <v>166</v>
      </c>
      <c r="P389" t="s">
        <v>103</v>
      </c>
      <c r="Q389" t="s">
        <v>143</v>
      </c>
      <c r="R389" t="s">
        <v>83</v>
      </c>
      <c r="S389" t="s">
        <v>69</v>
      </c>
      <c r="T389" t="s">
        <v>376</v>
      </c>
      <c r="U389" s="5">
        <v>51</v>
      </c>
      <c r="V389" s="5" t="s">
        <v>85</v>
      </c>
      <c r="W389" s="5">
        <v>16</v>
      </c>
      <c r="X389" s="5">
        <v>6.4</v>
      </c>
      <c r="Y389" s="5">
        <v>4</v>
      </c>
      <c r="Z389" s="5" t="s">
        <v>71</v>
      </c>
      <c r="AA389" s="6">
        <v>24.15</v>
      </c>
      <c r="AB389" s="8">
        <f t="shared" si="78"/>
        <v>140</v>
      </c>
      <c r="AC389" s="8">
        <f t="shared" si="79"/>
        <v>0</v>
      </c>
      <c r="AD389" s="8">
        <f t="shared" si="80"/>
        <v>140</v>
      </c>
      <c r="AE389" s="8">
        <f t="shared" si="81"/>
        <v>96.6</v>
      </c>
      <c r="AF389" s="8">
        <f t="shared" si="82"/>
        <v>43.400000000000006</v>
      </c>
      <c r="AG389" s="9">
        <f t="shared" si="83"/>
        <v>0.31000000000000005</v>
      </c>
      <c r="AH389" s="10">
        <f t="shared" si="84"/>
        <v>2025</v>
      </c>
      <c r="AI389" s="10">
        <f t="shared" si="85"/>
        <v>4</v>
      </c>
      <c r="AJ389" s="10" t="str">
        <f t="shared" si="86"/>
        <v>2025-04</v>
      </c>
      <c r="AK389" s="10" t="str">
        <f t="shared" si="87"/>
        <v>T2</v>
      </c>
      <c r="AL389" s="10" t="str">
        <f t="shared" si="88"/>
        <v>50+</v>
      </c>
      <c r="AM389" s="10" t="str">
        <f t="shared" si="89"/>
        <v>moyen</v>
      </c>
      <c r="AN389" s="10" t="s">
        <v>2839</v>
      </c>
      <c r="AO389" s="10" t="str">
        <f t="shared" si="90"/>
        <v>Faible</v>
      </c>
    </row>
    <row r="390" spans="1:41">
      <c r="A390" t="s">
        <v>1356</v>
      </c>
      <c r="B390" s="2">
        <v>46018</v>
      </c>
      <c r="C390" t="s">
        <v>1357</v>
      </c>
      <c r="D390" t="s">
        <v>138</v>
      </c>
      <c r="E390" t="s">
        <v>226</v>
      </c>
      <c r="F390" t="s">
        <v>434</v>
      </c>
      <c r="G390">
        <v>2</v>
      </c>
      <c r="H390" s="4">
        <v>120</v>
      </c>
      <c r="I390" s="3">
        <v>0</v>
      </c>
      <c r="J390" t="s">
        <v>90</v>
      </c>
      <c r="K390" t="s">
        <v>46</v>
      </c>
      <c r="L390" t="s">
        <v>1358</v>
      </c>
      <c r="M390" t="s">
        <v>79</v>
      </c>
      <c r="N390" t="s">
        <v>112</v>
      </c>
      <c r="O390" t="s">
        <v>142</v>
      </c>
      <c r="P390" t="s">
        <v>51</v>
      </c>
      <c r="Q390" t="s">
        <v>143</v>
      </c>
      <c r="R390" t="s">
        <v>229</v>
      </c>
      <c r="S390" t="s">
        <v>48</v>
      </c>
      <c r="T390" t="s">
        <v>436</v>
      </c>
      <c r="U390" s="5">
        <v>49</v>
      </c>
      <c r="V390" s="5" t="s">
        <v>56</v>
      </c>
      <c r="W390" s="5">
        <v>57</v>
      </c>
      <c r="X390" s="5">
        <v>5.6</v>
      </c>
      <c r="Y390" s="5">
        <v>7</v>
      </c>
      <c r="Z390" s="5" t="s">
        <v>57</v>
      </c>
      <c r="AA390" s="6">
        <v>73.2</v>
      </c>
      <c r="AB390" s="8">
        <f t="shared" si="78"/>
        <v>240</v>
      </c>
      <c r="AC390" s="8">
        <f t="shared" si="79"/>
        <v>0</v>
      </c>
      <c r="AD390" s="8">
        <f t="shared" si="80"/>
        <v>240</v>
      </c>
      <c r="AE390" s="8">
        <f t="shared" si="81"/>
        <v>146.4</v>
      </c>
      <c r="AF390" s="8">
        <f t="shared" si="82"/>
        <v>93.6</v>
      </c>
      <c r="AG390" s="9">
        <f t="shared" si="83"/>
        <v>0.38999999999999996</v>
      </c>
      <c r="AH390" s="10">
        <f t="shared" si="84"/>
        <v>2025</v>
      </c>
      <c r="AI390" s="10">
        <f t="shared" si="85"/>
        <v>12</v>
      </c>
      <c r="AJ390" s="10" t="str">
        <f t="shared" si="86"/>
        <v>2025-12</v>
      </c>
      <c r="AK390" s="10" t="str">
        <f t="shared" si="87"/>
        <v>T4</v>
      </c>
      <c r="AL390" s="10" t="str">
        <f t="shared" si="88"/>
        <v>40-49</v>
      </c>
      <c r="AM390" s="10" t="str">
        <f t="shared" si="89"/>
        <v>moyen</v>
      </c>
      <c r="AN390" s="10" t="s">
        <v>2837</v>
      </c>
      <c r="AO390" s="10" t="str">
        <f t="shared" si="90"/>
        <v>Faible</v>
      </c>
    </row>
    <row r="391" spans="1:41">
      <c r="A391" t="s">
        <v>1359</v>
      </c>
      <c r="B391" s="2">
        <v>45759</v>
      </c>
      <c r="C391" t="s">
        <v>1360</v>
      </c>
      <c r="D391" t="s">
        <v>181</v>
      </c>
      <c r="E391" t="s">
        <v>315</v>
      </c>
      <c r="F391" t="s">
        <v>374</v>
      </c>
      <c r="G391">
        <v>20</v>
      </c>
      <c r="H391" s="4">
        <v>145</v>
      </c>
      <c r="I391" s="3">
        <v>0.1</v>
      </c>
      <c r="J391" t="s">
        <v>63</v>
      </c>
      <c r="K391" t="s">
        <v>46</v>
      </c>
      <c r="L391" t="s">
        <v>1361</v>
      </c>
      <c r="M391" t="s">
        <v>48</v>
      </c>
      <c r="N391" t="s">
        <v>80</v>
      </c>
      <c r="O391" t="s">
        <v>184</v>
      </c>
      <c r="P391" t="s">
        <v>103</v>
      </c>
      <c r="Q391" t="s">
        <v>52</v>
      </c>
      <c r="R391" t="s">
        <v>317</v>
      </c>
      <c r="S391" t="s">
        <v>69</v>
      </c>
      <c r="T391" t="s">
        <v>376</v>
      </c>
      <c r="U391" s="5">
        <v>60</v>
      </c>
      <c r="V391" s="5" t="s">
        <v>56</v>
      </c>
      <c r="W391" s="5">
        <v>5</v>
      </c>
      <c r="X391" s="5">
        <v>4.3</v>
      </c>
      <c r="Y391" s="5">
        <v>9</v>
      </c>
      <c r="Z391" s="5" t="s">
        <v>94</v>
      </c>
      <c r="AA391" s="6">
        <v>97.15</v>
      </c>
      <c r="AB391" s="8">
        <f t="shared" si="78"/>
        <v>2900</v>
      </c>
      <c r="AC391" s="8">
        <f t="shared" si="79"/>
        <v>290</v>
      </c>
      <c r="AD391" s="8">
        <f t="shared" si="80"/>
        <v>2610</v>
      </c>
      <c r="AE391" s="8">
        <f t="shared" si="81"/>
        <v>1943</v>
      </c>
      <c r="AF391" s="8">
        <f t="shared" si="82"/>
        <v>667</v>
      </c>
      <c r="AG391" s="9">
        <f t="shared" si="83"/>
        <v>0.25555555555555554</v>
      </c>
      <c r="AH391" s="10">
        <f t="shared" si="84"/>
        <v>2025</v>
      </c>
      <c r="AI391" s="10">
        <f t="shared" si="85"/>
        <v>4</v>
      </c>
      <c r="AJ391" s="10" t="str">
        <f t="shared" si="86"/>
        <v>2025-04</v>
      </c>
      <c r="AK391" s="10" t="str">
        <f t="shared" si="87"/>
        <v>T2</v>
      </c>
      <c r="AL391" s="10" t="str">
        <f t="shared" si="88"/>
        <v>50+</v>
      </c>
      <c r="AM391" s="10" t="str">
        <f t="shared" si="89"/>
        <v>faible</v>
      </c>
      <c r="AN391" s="10" t="s">
        <v>2837</v>
      </c>
      <c r="AO391" s="10" t="str">
        <f t="shared" si="90"/>
        <v>Elevée</v>
      </c>
    </row>
    <row r="392" spans="1:41">
      <c r="A392" t="s">
        <v>1362</v>
      </c>
      <c r="B392" s="2">
        <v>45914</v>
      </c>
      <c r="C392" t="s">
        <v>1363</v>
      </c>
      <c r="D392" t="s">
        <v>138</v>
      </c>
      <c r="E392" t="s">
        <v>207</v>
      </c>
      <c r="F392" t="s">
        <v>444</v>
      </c>
      <c r="G392">
        <v>2</v>
      </c>
      <c r="H392" s="4">
        <v>120</v>
      </c>
      <c r="I392" s="3">
        <v>0.02</v>
      </c>
      <c r="J392" t="s">
        <v>90</v>
      </c>
      <c r="K392" t="s">
        <v>46</v>
      </c>
      <c r="L392" t="s">
        <v>1364</v>
      </c>
      <c r="M392" t="s">
        <v>54</v>
      </c>
      <c r="N392" t="s">
        <v>101</v>
      </c>
      <c r="O392" t="s">
        <v>142</v>
      </c>
      <c r="P392" t="s">
        <v>51</v>
      </c>
      <c r="Q392" t="s">
        <v>143</v>
      </c>
      <c r="R392" t="s">
        <v>210</v>
      </c>
      <c r="S392" t="s">
        <v>79</v>
      </c>
      <c r="T392" t="s">
        <v>446</v>
      </c>
      <c r="U392" s="5">
        <v>37</v>
      </c>
      <c r="V392" s="5" t="s">
        <v>85</v>
      </c>
      <c r="W392" s="5">
        <v>32</v>
      </c>
      <c r="X392" s="5">
        <v>8.9</v>
      </c>
      <c r="Y392" s="5">
        <v>1</v>
      </c>
      <c r="Z392" s="5" t="s">
        <v>94</v>
      </c>
      <c r="AA392" s="6">
        <v>73.2</v>
      </c>
      <c r="AB392" s="8">
        <f t="shared" si="78"/>
        <v>240</v>
      </c>
      <c r="AC392" s="8">
        <f t="shared" si="79"/>
        <v>4.8</v>
      </c>
      <c r="AD392" s="8">
        <f t="shared" si="80"/>
        <v>235.2</v>
      </c>
      <c r="AE392" s="8">
        <f t="shared" si="81"/>
        <v>146.4</v>
      </c>
      <c r="AF392" s="8">
        <f t="shared" si="82"/>
        <v>88.799999999999983</v>
      </c>
      <c r="AG392" s="9">
        <f t="shared" si="83"/>
        <v>0.37755102040816318</v>
      </c>
      <c r="AH392" s="10">
        <f t="shared" si="84"/>
        <v>2025</v>
      </c>
      <c r="AI392" s="10">
        <f t="shared" si="85"/>
        <v>9</v>
      </c>
      <c r="AJ392" s="10" t="str">
        <f t="shared" si="86"/>
        <v>2025-09</v>
      </c>
      <c r="AK392" s="10" t="str">
        <f t="shared" si="87"/>
        <v>T3</v>
      </c>
      <c r="AL392" s="10" t="str">
        <f t="shared" si="88"/>
        <v>30-39</v>
      </c>
      <c r="AM392" s="10" t="str">
        <f t="shared" si="89"/>
        <v>bon</v>
      </c>
      <c r="AN392" s="10" t="s">
        <v>2838</v>
      </c>
      <c r="AO392" s="10" t="str">
        <f t="shared" si="90"/>
        <v>Faible</v>
      </c>
    </row>
    <row r="393" spans="1:41">
      <c r="A393" t="s">
        <v>1365</v>
      </c>
      <c r="B393" s="2">
        <v>46010</v>
      </c>
      <c r="C393" t="s">
        <v>1366</v>
      </c>
      <c r="D393" t="s">
        <v>138</v>
      </c>
      <c r="E393" t="s">
        <v>163</v>
      </c>
      <c r="F393" t="s">
        <v>243</v>
      </c>
      <c r="G393">
        <v>1</v>
      </c>
      <c r="H393" s="4">
        <v>120</v>
      </c>
      <c r="I393" s="3">
        <v>0</v>
      </c>
      <c r="J393" t="s">
        <v>90</v>
      </c>
      <c r="K393" t="s">
        <v>46</v>
      </c>
      <c r="L393" t="s">
        <v>1367</v>
      </c>
      <c r="M393" t="s">
        <v>69</v>
      </c>
      <c r="N393" t="s">
        <v>49</v>
      </c>
      <c r="O393" t="s">
        <v>142</v>
      </c>
      <c r="P393" t="s">
        <v>51</v>
      </c>
      <c r="Q393" t="s">
        <v>143</v>
      </c>
      <c r="R393" t="s">
        <v>167</v>
      </c>
      <c r="S393" t="s">
        <v>123</v>
      </c>
      <c r="T393" t="s">
        <v>245</v>
      </c>
      <c r="U393" s="5">
        <v>39</v>
      </c>
      <c r="V393" s="5" t="s">
        <v>56</v>
      </c>
      <c r="W393" s="5">
        <v>20</v>
      </c>
      <c r="X393" s="5">
        <v>7.9</v>
      </c>
      <c r="Y393" s="5">
        <v>3</v>
      </c>
      <c r="Z393" s="5" t="s">
        <v>71</v>
      </c>
      <c r="AA393" s="6">
        <v>73.2</v>
      </c>
      <c r="AB393" s="8">
        <f t="shared" si="78"/>
        <v>120</v>
      </c>
      <c r="AC393" s="8">
        <f t="shared" si="79"/>
        <v>0</v>
      </c>
      <c r="AD393" s="8">
        <f t="shared" si="80"/>
        <v>120</v>
      </c>
      <c r="AE393" s="8">
        <f t="shared" si="81"/>
        <v>73.2</v>
      </c>
      <c r="AF393" s="8">
        <f t="shared" si="82"/>
        <v>46.8</v>
      </c>
      <c r="AG393" s="9">
        <f t="shared" si="83"/>
        <v>0.38999999999999996</v>
      </c>
      <c r="AH393" s="10">
        <f t="shared" si="84"/>
        <v>2025</v>
      </c>
      <c r="AI393" s="10">
        <f t="shared" si="85"/>
        <v>12</v>
      </c>
      <c r="AJ393" s="10" t="str">
        <f t="shared" si="86"/>
        <v>2025-12</v>
      </c>
      <c r="AK393" s="10" t="str">
        <f t="shared" si="87"/>
        <v>T4</v>
      </c>
      <c r="AL393" s="10" t="str">
        <f t="shared" si="88"/>
        <v>30-39</v>
      </c>
      <c r="AM393" s="10" t="str">
        <f t="shared" si="89"/>
        <v>bon</v>
      </c>
      <c r="AN393" s="10" t="s">
        <v>2838</v>
      </c>
      <c r="AO393" s="10" t="str">
        <f t="shared" si="90"/>
        <v>Faible</v>
      </c>
    </row>
    <row r="394" spans="1:41">
      <c r="A394" t="s">
        <v>1368</v>
      </c>
      <c r="B394" s="2">
        <v>45796</v>
      </c>
      <c r="C394" t="s">
        <v>1369</v>
      </c>
      <c r="D394" t="s">
        <v>148</v>
      </c>
      <c r="E394" t="s">
        <v>98</v>
      </c>
      <c r="F394" t="s">
        <v>487</v>
      </c>
      <c r="G394">
        <v>5</v>
      </c>
      <c r="H394" s="4">
        <v>110</v>
      </c>
      <c r="I394" s="3">
        <v>0</v>
      </c>
      <c r="J394" t="s">
        <v>90</v>
      </c>
      <c r="K394" t="s">
        <v>46</v>
      </c>
      <c r="L394" t="s">
        <v>1370</v>
      </c>
      <c r="M394" t="s">
        <v>69</v>
      </c>
      <c r="N394" t="s">
        <v>255</v>
      </c>
      <c r="O394" t="s">
        <v>151</v>
      </c>
      <c r="P394" t="s">
        <v>103</v>
      </c>
      <c r="Q394" t="s">
        <v>114</v>
      </c>
      <c r="R394" t="s">
        <v>104</v>
      </c>
      <c r="S394" t="s">
        <v>79</v>
      </c>
      <c r="T394" t="s">
        <v>489</v>
      </c>
      <c r="U394" s="5">
        <v>60</v>
      </c>
      <c r="V394" s="5" t="s">
        <v>56</v>
      </c>
      <c r="W394" s="5">
        <v>61</v>
      </c>
      <c r="X394" s="5">
        <v>4.5</v>
      </c>
      <c r="Y394" s="5">
        <v>7</v>
      </c>
      <c r="Z394" s="5" t="s">
        <v>57</v>
      </c>
      <c r="AA394" s="6">
        <v>72.599999999999994</v>
      </c>
      <c r="AB394" s="8">
        <f t="shared" si="78"/>
        <v>550</v>
      </c>
      <c r="AC394" s="8">
        <f t="shared" si="79"/>
        <v>0</v>
      </c>
      <c r="AD394" s="8">
        <f t="shared" si="80"/>
        <v>550</v>
      </c>
      <c r="AE394" s="8">
        <f t="shared" si="81"/>
        <v>363</v>
      </c>
      <c r="AF394" s="8">
        <f t="shared" si="82"/>
        <v>187</v>
      </c>
      <c r="AG394" s="9">
        <f t="shared" si="83"/>
        <v>0.34</v>
      </c>
      <c r="AH394" s="10">
        <f t="shared" si="84"/>
        <v>2025</v>
      </c>
      <c r="AI394" s="10">
        <f t="shared" si="85"/>
        <v>5</v>
      </c>
      <c r="AJ394" s="10" t="str">
        <f t="shared" si="86"/>
        <v>2025-05</v>
      </c>
      <c r="AK394" s="10" t="str">
        <f t="shared" si="87"/>
        <v>T2</v>
      </c>
      <c r="AL394" s="10" t="str">
        <f t="shared" si="88"/>
        <v>50+</v>
      </c>
      <c r="AM394" s="10" t="str">
        <f t="shared" si="89"/>
        <v>faible</v>
      </c>
      <c r="AN394" s="10" t="s">
        <v>2837</v>
      </c>
      <c r="AO394" s="10" t="str">
        <f t="shared" si="90"/>
        <v>Moyenne</v>
      </c>
    </row>
    <row r="395" spans="1:41">
      <c r="A395" t="s">
        <v>1371</v>
      </c>
      <c r="B395" s="2">
        <v>45935</v>
      </c>
      <c r="C395" t="s">
        <v>1372</v>
      </c>
      <c r="D395" t="s">
        <v>138</v>
      </c>
      <c r="E395" t="s">
        <v>120</v>
      </c>
      <c r="F395" t="s">
        <v>175</v>
      </c>
      <c r="G395">
        <v>3</v>
      </c>
      <c r="H395" s="4">
        <v>120</v>
      </c>
      <c r="I395" s="3">
        <v>0</v>
      </c>
      <c r="J395" t="s">
        <v>90</v>
      </c>
      <c r="K395" t="s">
        <v>46</v>
      </c>
      <c r="L395" t="s">
        <v>1373</v>
      </c>
      <c r="M395" t="s">
        <v>54</v>
      </c>
      <c r="N395" t="s">
        <v>80</v>
      </c>
      <c r="O395" t="s">
        <v>142</v>
      </c>
      <c r="P395" t="s">
        <v>51</v>
      </c>
      <c r="Q395" t="s">
        <v>143</v>
      </c>
      <c r="R395" t="s">
        <v>124</v>
      </c>
      <c r="S395" t="s">
        <v>48</v>
      </c>
      <c r="T395" t="s">
        <v>178</v>
      </c>
      <c r="U395" s="5">
        <v>53</v>
      </c>
      <c r="V395" s="5" t="s">
        <v>85</v>
      </c>
      <c r="W395" s="5">
        <v>23</v>
      </c>
      <c r="X395" s="5">
        <v>4.8</v>
      </c>
      <c r="Y395" s="5">
        <v>6</v>
      </c>
      <c r="Z395" s="5" t="s">
        <v>94</v>
      </c>
      <c r="AA395" s="6">
        <v>73.2</v>
      </c>
      <c r="AB395" s="8">
        <f t="shared" si="78"/>
        <v>360</v>
      </c>
      <c r="AC395" s="8">
        <f t="shared" si="79"/>
        <v>0</v>
      </c>
      <c r="AD395" s="8">
        <f t="shared" si="80"/>
        <v>360</v>
      </c>
      <c r="AE395" s="8">
        <f t="shared" si="81"/>
        <v>219.60000000000002</v>
      </c>
      <c r="AF395" s="8">
        <f t="shared" si="82"/>
        <v>140.39999999999998</v>
      </c>
      <c r="AG395" s="9">
        <f t="shared" si="83"/>
        <v>0.38999999999999996</v>
      </c>
      <c r="AH395" s="10">
        <f t="shared" si="84"/>
        <v>2025</v>
      </c>
      <c r="AI395" s="10">
        <f t="shared" si="85"/>
        <v>10</v>
      </c>
      <c r="AJ395" s="10" t="str">
        <f t="shared" si="86"/>
        <v>2025-10</v>
      </c>
      <c r="AK395" s="10" t="str">
        <f t="shared" si="87"/>
        <v>T4</v>
      </c>
      <c r="AL395" s="10" t="str">
        <f t="shared" si="88"/>
        <v>50+</v>
      </c>
      <c r="AM395" s="10" t="str">
        <f t="shared" si="89"/>
        <v>faible</v>
      </c>
      <c r="AN395" s="10" t="s">
        <v>2839</v>
      </c>
      <c r="AO395" s="10" t="str">
        <f t="shared" si="90"/>
        <v>Faible</v>
      </c>
    </row>
    <row r="396" spans="1:41">
      <c r="A396" t="s">
        <v>1374</v>
      </c>
      <c r="B396" s="2">
        <v>45823</v>
      </c>
      <c r="C396" t="s">
        <v>1375</v>
      </c>
      <c r="D396" t="s">
        <v>181</v>
      </c>
      <c r="E396" t="s">
        <v>43</v>
      </c>
      <c r="F396" t="s">
        <v>208</v>
      </c>
      <c r="G396">
        <v>2</v>
      </c>
      <c r="H396" s="4">
        <v>145</v>
      </c>
      <c r="I396" s="3">
        <v>0.08</v>
      </c>
      <c r="J396" t="s">
        <v>90</v>
      </c>
      <c r="K396" t="s">
        <v>46</v>
      </c>
      <c r="L396" t="s">
        <v>1376</v>
      </c>
      <c r="M396" t="s">
        <v>123</v>
      </c>
      <c r="N396" t="s">
        <v>112</v>
      </c>
      <c r="O396" t="s">
        <v>184</v>
      </c>
      <c r="P396" t="s">
        <v>103</v>
      </c>
      <c r="Q396" t="s">
        <v>52</v>
      </c>
      <c r="R396" t="s">
        <v>53</v>
      </c>
      <c r="S396" t="s">
        <v>54</v>
      </c>
      <c r="T396" t="s">
        <v>211</v>
      </c>
      <c r="U396" s="5">
        <v>29</v>
      </c>
      <c r="V396" s="5" t="s">
        <v>56</v>
      </c>
      <c r="W396" s="5">
        <v>26</v>
      </c>
      <c r="X396" s="5">
        <v>4.3</v>
      </c>
      <c r="Y396" s="5">
        <v>9</v>
      </c>
      <c r="Z396" s="5" t="s">
        <v>71</v>
      </c>
      <c r="AA396" s="6">
        <v>97.15</v>
      </c>
      <c r="AB396" s="8">
        <f t="shared" si="78"/>
        <v>290</v>
      </c>
      <c r="AC396" s="8">
        <f t="shared" si="79"/>
        <v>23.2</v>
      </c>
      <c r="AD396" s="8">
        <f t="shared" si="80"/>
        <v>266.8</v>
      </c>
      <c r="AE396" s="8">
        <f t="shared" si="81"/>
        <v>194.3</v>
      </c>
      <c r="AF396" s="8">
        <f t="shared" si="82"/>
        <v>72.5</v>
      </c>
      <c r="AG396" s="9">
        <f t="shared" si="83"/>
        <v>0.27173913043478259</v>
      </c>
      <c r="AH396" s="10">
        <f t="shared" si="84"/>
        <v>2025</v>
      </c>
      <c r="AI396" s="10">
        <f t="shared" si="85"/>
        <v>6</v>
      </c>
      <c r="AJ396" s="10" t="str">
        <f t="shared" si="86"/>
        <v>2025-06</v>
      </c>
      <c r="AK396" s="10" t="str">
        <f t="shared" si="87"/>
        <v>T2</v>
      </c>
      <c r="AL396" s="10" t="str">
        <f t="shared" si="88"/>
        <v>22-29</v>
      </c>
      <c r="AM396" s="10" t="str">
        <f t="shared" si="89"/>
        <v>faible</v>
      </c>
      <c r="AN396" s="10" t="s">
        <v>2837</v>
      </c>
      <c r="AO396" s="10" t="str">
        <f t="shared" si="90"/>
        <v>Faible</v>
      </c>
    </row>
    <row r="397" spans="1:41">
      <c r="A397" t="s">
        <v>1377</v>
      </c>
      <c r="B397" s="2">
        <v>45993</v>
      </c>
      <c r="C397" t="s">
        <v>1075</v>
      </c>
      <c r="D397" t="s">
        <v>181</v>
      </c>
      <c r="E397" t="s">
        <v>345</v>
      </c>
      <c r="F397" t="s">
        <v>522</v>
      </c>
      <c r="G397">
        <v>3</v>
      </c>
      <c r="H397" s="4">
        <v>145</v>
      </c>
      <c r="I397" s="3">
        <v>0.02</v>
      </c>
      <c r="J397" t="s">
        <v>77</v>
      </c>
      <c r="K397" t="s">
        <v>46</v>
      </c>
      <c r="L397" t="s">
        <v>1076</v>
      </c>
      <c r="M397" t="s">
        <v>123</v>
      </c>
      <c r="N397" t="s">
        <v>255</v>
      </c>
      <c r="O397" t="s">
        <v>184</v>
      </c>
      <c r="P397" t="s">
        <v>103</v>
      </c>
      <c r="Q397" t="s">
        <v>52</v>
      </c>
      <c r="R397" t="s">
        <v>347</v>
      </c>
      <c r="S397" t="s">
        <v>54</v>
      </c>
      <c r="T397" t="s">
        <v>524</v>
      </c>
      <c r="U397" s="5">
        <v>59</v>
      </c>
      <c r="V397" s="5" t="s">
        <v>56</v>
      </c>
      <c r="W397" s="5">
        <v>26</v>
      </c>
      <c r="X397" s="5">
        <v>6.9</v>
      </c>
      <c r="Y397" s="5">
        <v>4</v>
      </c>
      <c r="Z397" s="5" t="s">
        <v>71</v>
      </c>
      <c r="AA397" s="6">
        <v>97.15</v>
      </c>
      <c r="AB397" s="8">
        <f t="shared" si="78"/>
        <v>435</v>
      </c>
      <c r="AC397" s="8">
        <f t="shared" si="79"/>
        <v>8.7000000000000011</v>
      </c>
      <c r="AD397" s="8">
        <f t="shared" si="80"/>
        <v>426.3</v>
      </c>
      <c r="AE397" s="8">
        <f t="shared" si="81"/>
        <v>291.45000000000005</v>
      </c>
      <c r="AF397" s="8">
        <f t="shared" si="82"/>
        <v>134.84999999999997</v>
      </c>
      <c r="AG397" s="9">
        <f t="shared" si="83"/>
        <v>0.31632653061224481</v>
      </c>
      <c r="AH397" s="10">
        <f t="shared" si="84"/>
        <v>2025</v>
      </c>
      <c r="AI397" s="10">
        <f t="shared" si="85"/>
        <v>12</v>
      </c>
      <c r="AJ397" s="10" t="str">
        <f t="shared" si="86"/>
        <v>2025-12</v>
      </c>
      <c r="AK397" s="10" t="str">
        <f t="shared" si="87"/>
        <v>T4</v>
      </c>
      <c r="AL397" s="10" t="str">
        <f t="shared" si="88"/>
        <v>50+</v>
      </c>
      <c r="AM397" s="10" t="str">
        <f t="shared" si="89"/>
        <v>moyen</v>
      </c>
      <c r="AN397" s="10" t="s">
        <v>2839</v>
      </c>
      <c r="AO397" s="10" t="str">
        <f t="shared" si="90"/>
        <v>Faible</v>
      </c>
    </row>
    <row r="398" spans="1:41">
      <c r="A398" t="s">
        <v>1378</v>
      </c>
      <c r="B398" s="2">
        <v>45905</v>
      </c>
      <c r="C398" t="s">
        <v>1379</v>
      </c>
      <c r="D398" t="s">
        <v>333</v>
      </c>
      <c r="E398" t="s">
        <v>61</v>
      </c>
      <c r="F398" t="s">
        <v>467</v>
      </c>
      <c r="G398">
        <v>2</v>
      </c>
      <c r="H398" s="4">
        <v>65</v>
      </c>
      <c r="I398" s="3">
        <v>0.08</v>
      </c>
      <c r="J398" t="s">
        <v>45</v>
      </c>
      <c r="K398" t="s">
        <v>46</v>
      </c>
      <c r="L398" t="s">
        <v>1380</v>
      </c>
      <c r="M398" t="s">
        <v>69</v>
      </c>
      <c r="N398" t="s">
        <v>49</v>
      </c>
      <c r="O398" t="s">
        <v>336</v>
      </c>
      <c r="P398" t="s">
        <v>51</v>
      </c>
      <c r="Q398" t="s">
        <v>52</v>
      </c>
      <c r="R398" t="s">
        <v>68</v>
      </c>
      <c r="S398" t="s">
        <v>69</v>
      </c>
      <c r="T398" t="s">
        <v>469</v>
      </c>
      <c r="U398" s="5">
        <v>47</v>
      </c>
      <c r="V398" s="5" t="s">
        <v>56</v>
      </c>
      <c r="W398" s="5">
        <v>22</v>
      </c>
      <c r="X398" s="5">
        <v>6.8</v>
      </c>
      <c r="Y398" s="5">
        <v>3</v>
      </c>
      <c r="Z398" s="5" t="s">
        <v>57</v>
      </c>
      <c r="AA398" s="6">
        <v>47.45</v>
      </c>
      <c r="AB398" s="8">
        <f t="shared" si="78"/>
        <v>130</v>
      </c>
      <c r="AC398" s="8">
        <f t="shared" si="79"/>
        <v>10.4</v>
      </c>
      <c r="AD398" s="8">
        <f t="shared" si="80"/>
        <v>119.6</v>
      </c>
      <c r="AE398" s="8">
        <f t="shared" si="81"/>
        <v>94.9</v>
      </c>
      <c r="AF398" s="8">
        <f t="shared" si="82"/>
        <v>24.699999999999989</v>
      </c>
      <c r="AG398" s="9">
        <f t="shared" si="83"/>
        <v>0.2065217391304347</v>
      </c>
      <c r="AH398" s="10">
        <f t="shared" si="84"/>
        <v>2025</v>
      </c>
      <c r="AI398" s="10">
        <f t="shared" si="85"/>
        <v>9</v>
      </c>
      <c r="AJ398" s="10" t="str">
        <f t="shared" si="86"/>
        <v>2025-09</v>
      </c>
      <c r="AK398" s="10" t="str">
        <f t="shared" si="87"/>
        <v>T3</v>
      </c>
      <c r="AL398" s="10" t="str">
        <f t="shared" si="88"/>
        <v>40-49</v>
      </c>
      <c r="AM398" s="10" t="str">
        <f t="shared" si="89"/>
        <v>moyen</v>
      </c>
      <c r="AN398" s="10" t="s">
        <v>2838</v>
      </c>
      <c r="AO398" s="10" t="str">
        <f t="shared" si="90"/>
        <v>Faible</v>
      </c>
    </row>
    <row r="399" spans="1:41">
      <c r="A399" t="s">
        <v>1381</v>
      </c>
      <c r="B399" s="2">
        <v>45937</v>
      </c>
      <c r="C399" t="s">
        <v>1382</v>
      </c>
      <c r="D399" t="s">
        <v>148</v>
      </c>
      <c r="E399" t="s">
        <v>315</v>
      </c>
      <c r="F399" t="s">
        <v>110</v>
      </c>
      <c r="G399">
        <v>4</v>
      </c>
      <c r="H399" s="4">
        <v>110</v>
      </c>
      <c r="I399" s="3">
        <v>0.02</v>
      </c>
      <c r="J399" t="s">
        <v>45</v>
      </c>
      <c r="K399" t="s">
        <v>46</v>
      </c>
      <c r="L399" t="s">
        <v>1383</v>
      </c>
      <c r="M399" t="s">
        <v>65</v>
      </c>
      <c r="N399" t="s">
        <v>101</v>
      </c>
      <c r="O399" t="s">
        <v>151</v>
      </c>
      <c r="P399" t="s">
        <v>103</v>
      </c>
      <c r="Q399" t="s">
        <v>114</v>
      </c>
      <c r="R399" t="s">
        <v>317</v>
      </c>
      <c r="S399" t="s">
        <v>69</v>
      </c>
      <c r="T399" t="s">
        <v>116</v>
      </c>
      <c r="U399" s="5">
        <v>34</v>
      </c>
      <c r="V399" s="5" t="s">
        <v>56</v>
      </c>
      <c r="W399" s="5">
        <v>57</v>
      </c>
      <c r="X399" s="5">
        <v>4.2</v>
      </c>
      <c r="Y399" s="5">
        <v>8</v>
      </c>
      <c r="Z399" s="5" t="s">
        <v>94</v>
      </c>
      <c r="AA399" s="6">
        <v>72.599999999999994</v>
      </c>
      <c r="AB399" s="8">
        <f t="shared" si="78"/>
        <v>440</v>
      </c>
      <c r="AC399" s="8">
        <f t="shared" si="79"/>
        <v>8.8000000000000007</v>
      </c>
      <c r="AD399" s="8">
        <f t="shared" si="80"/>
        <v>431.2</v>
      </c>
      <c r="AE399" s="8">
        <f t="shared" si="81"/>
        <v>290.39999999999998</v>
      </c>
      <c r="AF399" s="8">
        <f t="shared" si="82"/>
        <v>140.80000000000001</v>
      </c>
      <c r="AG399" s="9">
        <f t="shared" si="83"/>
        <v>0.32653061224489799</v>
      </c>
      <c r="AH399" s="10">
        <f t="shared" si="84"/>
        <v>2025</v>
      </c>
      <c r="AI399" s="10">
        <f t="shared" si="85"/>
        <v>10</v>
      </c>
      <c r="AJ399" s="10" t="str">
        <f t="shared" si="86"/>
        <v>2025-10</v>
      </c>
      <c r="AK399" s="10" t="str">
        <f t="shared" si="87"/>
        <v>T4</v>
      </c>
      <c r="AL399" s="10" t="str">
        <f t="shared" si="88"/>
        <v>30-39</v>
      </c>
      <c r="AM399" s="10" t="str">
        <f t="shared" si="89"/>
        <v>faible</v>
      </c>
      <c r="AN399" s="10" t="s">
        <v>2837</v>
      </c>
      <c r="AO399" s="10" t="str">
        <f t="shared" si="90"/>
        <v>Faible</v>
      </c>
    </row>
    <row r="400" spans="1:41">
      <c r="A400" t="s">
        <v>1384</v>
      </c>
      <c r="B400" s="2">
        <v>45847</v>
      </c>
      <c r="C400" t="s">
        <v>1385</v>
      </c>
      <c r="D400" t="s">
        <v>148</v>
      </c>
      <c r="E400" t="s">
        <v>163</v>
      </c>
      <c r="F400" t="s">
        <v>1303</v>
      </c>
      <c r="G400">
        <v>2</v>
      </c>
      <c r="H400" s="4">
        <v>110</v>
      </c>
      <c r="I400" s="3">
        <v>0</v>
      </c>
      <c r="J400" t="s">
        <v>77</v>
      </c>
      <c r="K400" t="s">
        <v>46</v>
      </c>
      <c r="L400" t="s">
        <v>1386</v>
      </c>
      <c r="M400" t="s">
        <v>123</v>
      </c>
      <c r="N400" t="s">
        <v>255</v>
      </c>
      <c r="O400" t="s">
        <v>151</v>
      </c>
      <c r="P400" t="s">
        <v>103</v>
      </c>
      <c r="Q400" t="s">
        <v>114</v>
      </c>
      <c r="R400" t="s">
        <v>167</v>
      </c>
      <c r="S400" t="s">
        <v>123</v>
      </c>
      <c r="T400" t="s">
        <v>1305</v>
      </c>
      <c r="U400" s="5">
        <v>51</v>
      </c>
      <c r="V400" s="5" t="s">
        <v>85</v>
      </c>
      <c r="W400" s="5">
        <v>12</v>
      </c>
      <c r="X400" s="5">
        <v>8.1</v>
      </c>
      <c r="Y400" s="5">
        <v>2</v>
      </c>
      <c r="Z400" s="5" t="s">
        <v>94</v>
      </c>
      <c r="AA400" s="6">
        <v>72.599999999999994</v>
      </c>
      <c r="AB400" s="8">
        <f t="shared" si="78"/>
        <v>220</v>
      </c>
      <c r="AC400" s="8">
        <f t="shared" si="79"/>
        <v>0</v>
      </c>
      <c r="AD400" s="8">
        <f t="shared" si="80"/>
        <v>220</v>
      </c>
      <c r="AE400" s="8">
        <f t="shared" si="81"/>
        <v>145.19999999999999</v>
      </c>
      <c r="AF400" s="8">
        <f t="shared" si="82"/>
        <v>74.800000000000011</v>
      </c>
      <c r="AG400" s="9">
        <f t="shared" si="83"/>
        <v>0.34</v>
      </c>
      <c r="AH400" s="10">
        <f t="shared" si="84"/>
        <v>2025</v>
      </c>
      <c r="AI400" s="10">
        <f t="shared" si="85"/>
        <v>7</v>
      </c>
      <c r="AJ400" s="10" t="str">
        <f t="shared" si="86"/>
        <v>2025-07</v>
      </c>
      <c r="AK400" s="10" t="str">
        <f t="shared" si="87"/>
        <v>T3</v>
      </c>
      <c r="AL400" s="10" t="str">
        <f t="shared" si="88"/>
        <v>50+</v>
      </c>
      <c r="AM400" s="10" t="str">
        <f t="shared" si="89"/>
        <v>bon</v>
      </c>
      <c r="AN400" s="10" t="s">
        <v>2838</v>
      </c>
      <c r="AO400" s="10" t="str">
        <f t="shared" si="90"/>
        <v>Faible</v>
      </c>
    </row>
    <row r="401" spans="1:41">
      <c r="A401" t="s">
        <v>1387</v>
      </c>
      <c r="B401" s="2">
        <v>45764</v>
      </c>
      <c r="C401" t="s">
        <v>787</v>
      </c>
      <c r="D401" t="s">
        <v>97</v>
      </c>
      <c r="E401" t="s">
        <v>61</v>
      </c>
      <c r="F401" t="s">
        <v>62</v>
      </c>
      <c r="G401">
        <v>5</v>
      </c>
      <c r="H401" s="4">
        <v>520</v>
      </c>
      <c r="I401" s="3">
        <v>0.02</v>
      </c>
      <c r="J401" t="s">
        <v>45</v>
      </c>
      <c r="K401" t="s">
        <v>46</v>
      </c>
      <c r="L401" t="s">
        <v>788</v>
      </c>
      <c r="M401" t="s">
        <v>79</v>
      </c>
      <c r="N401" t="s">
        <v>49</v>
      </c>
      <c r="O401" t="s">
        <v>102</v>
      </c>
      <c r="P401" t="s">
        <v>103</v>
      </c>
      <c r="Q401" t="s">
        <v>52</v>
      </c>
      <c r="R401" t="s">
        <v>68</v>
      </c>
      <c r="S401" t="s">
        <v>69</v>
      </c>
      <c r="T401" t="s">
        <v>70</v>
      </c>
      <c r="U401" s="5">
        <v>28</v>
      </c>
      <c r="V401" s="5" t="s">
        <v>56</v>
      </c>
      <c r="W401" s="5">
        <v>49</v>
      </c>
      <c r="X401" s="5">
        <v>7.2</v>
      </c>
      <c r="Y401" s="5">
        <v>2</v>
      </c>
      <c r="Z401" s="5" t="s">
        <v>117</v>
      </c>
      <c r="AA401" s="6">
        <v>348.4</v>
      </c>
      <c r="AB401" s="8">
        <f t="shared" si="78"/>
        <v>2600</v>
      </c>
      <c r="AC401" s="8">
        <f t="shared" si="79"/>
        <v>52</v>
      </c>
      <c r="AD401" s="8">
        <f t="shared" si="80"/>
        <v>2548</v>
      </c>
      <c r="AE401" s="8">
        <f t="shared" si="81"/>
        <v>1742</v>
      </c>
      <c r="AF401" s="8">
        <f t="shared" si="82"/>
        <v>806</v>
      </c>
      <c r="AG401" s="9">
        <f t="shared" si="83"/>
        <v>0.31632653061224492</v>
      </c>
      <c r="AH401" s="10">
        <f t="shared" si="84"/>
        <v>2025</v>
      </c>
      <c r="AI401" s="10">
        <f t="shared" si="85"/>
        <v>4</v>
      </c>
      <c r="AJ401" s="10" t="str">
        <f t="shared" si="86"/>
        <v>2025-04</v>
      </c>
      <c r="AK401" s="10" t="str">
        <f t="shared" si="87"/>
        <v>T2</v>
      </c>
      <c r="AL401" s="10" t="str">
        <f t="shared" si="88"/>
        <v>22-29</v>
      </c>
      <c r="AM401" s="10" t="str">
        <f t="shared" si="89"/>
        <v>bon</v>
      </c>
      <c r="AN401" s="10" t="s">
        <v>2838</v>
      </c>
      <c r="AO401" s="10" t="str">
        <f t="shared" si="90"/>
        <v>Elevée</v>
      </c>
    </row>
    <row r="402" spans="1:41">
      <c r="A402" t="s">
        <v>1388</v>
      </c>
      <c r="B402" s="2">
        <v>45948</v>
      </c>
      <c r="C402" t="s">
        <v>1389</v>
      </c>
      <c r="D402" t="s">
        <v>272</v>
      </c>
      <c r="E402" t="s">
        <v>207</v>
      </c>
      <c r="F402" t="s">
        <v>99</v>
      </c>
      <c r="G402">
        <v>4</v>
      </c>
      <c r="H402" s="4">
        <v>420</v>
      </c>
      <c r="I402" s="3">
        <v>0</v>
      </c>
      <c r="J402" t="s">
        <v>63</v>
      </c>
      <c r="K402" t="s">
        <v>46</v>
      </c>
      <c r="L402" t="s">
        <v>1390</v>
      </c>
      <c r="M402" t="s">
        <v>54</v>
      </c>
      <c r="N402" t="s">
        <v>101</v>
      </c>
      <c r="O402" t="s">
        <v>274</v>
      </c>
      <c r="P402" t="s">
        <v>133</v>
      </c>
      <c r="Q402" t="s">
        <v>114</v>
      </c>
      <c r="R402" t="s">
        <v>210</v>
      </c>
      <c r="S402" t="s">
        <v>79</v>
      </c>
      <c r="T402" t="s">
        <v>105</v>
      </c>
      <c r="U402" s="5">
        <v>27</v>
      </c>
      <c r="V402" s="5" t="s">
        <v>56</v>
      </c>
      <c r="W402" s="5">
        <v>41</v>
      </c>
      <c r="X402" s="5">
        <v>5</v>
      </c>
      <c r="Y402" s="5">
        <v>8</v>
      </c>
      <c r="Z402" s="5" t="s">
        <v>117</v>
      </c>
      <c r="AA402" s="6">
        <v>273</v>
      </c>
      <c r="AB402" s="8">
        <f t="shared" si="78"/>
        <v>1680</v>
      </c>
      <c r="AC402" s="8">
        <f t="shared" si="79"/>
        <v>0</v>
      </c>
      <c r="AD402" s="8">
        <f t="shared" si="80"/>
        <v>1680</v>
      </c>
      <c r="AE402" s="8">
        <f t="shared" si="81"/>
        <v>1092</v>
      </c>
      <c r="AF402" s="8">
        <f t="shared" si="82"/>
        <v>588</v>
      </c>
      <c r="AG402" s="9">
        <f t="shared" si="83"/>
        <v>0.35</v>
      </c>
      <c r="AH402" s="10">
        <f t="shared" si="84"/>
        <v>2025</v>
      </c>
      <c r="AI402" s="10">
        <f t="shared" si="85"/>
        <v>10</v>
      </c>
      <c r="AJ402" s="10" t="str">
        <f t="shared" si="86"/>
        <v>2025-10</v>
      </c>
      <c r="AK402" s="10" t="str">
        <f t="shared" si="87"/>
        <v>T4</v>
      </c>
      <c r="AL402" s="10" t="str">
        <f t="shared" si="88"/>
        <v>22-29</v>
      </c>
      <c r="AM402" s="10" t="str">
        <f t="shared" si="89"/>
        <v>moyen</v>
      </c>
      <c r="AN402" s="10" t="s">
        <v>2837</v>
      </c>
      <c r="AO402" s="10" t="str">
        <f t="shared" si="90"/>
        <v>Elevée</v>
      </c>
    </row>
    <row r="403" spans="1:41">
      <c r="A403" t="s">
        <v>1391</v>
      </c>
      <c r="B403" s="2">
        <v>45822</v>
      </c>
      <c r="C403" t="s">
        <v>1392</v>
      </c>
      <c r="D403" t="s">
        <v>108</v>
      </c>
      <c r="E403" t="s">
        <v>98</v>
      </c>
      <c r="F403" t="s">
        <v>413</v>
      </c>
      <c r="G403">
        <v>3</v>
      </c>
      <c r="H403" s="4">
        <v>240</v>
      </c>
      <c r="I403" s="3">
        <v>0.05</v>
      </c>
      <c r="J403" t="s">
        <v>63</v>
      </c>
      <c r="K403" t="s">
        <v>46</v>
      </c>
      <c r="L403" t="s">
        <v>1393</v>
      </c>
      <c r="M403" t="s">
        <v>54</v>
      </c>
      <c r="N403" t="s">
        <v>101</v>
      </c>
      <c r="O403" t="s">
        <v>113</v>
      </c>
      <c r="P403" t="s">
        <v>82</v>
      </c>
      <c r="Q403" t="s">
        <v>114</v>
      </c>
      <c r="R403" t="s">
        <v>104</v>
      </c>
      <c r="S403" t="s">
        <v>79</v>
      </c>
      <c r="T403" t="s">
        <v>415</v>
      </c>
      <c r="U403" s="5">
        <v>47</v>
      </c>
      <c r="V403" s="5" t="s">
        <v>56</v>
      </c>
      <c r="W403" s="5">
        <v>33</v>
      </c>
      <c r="X403" s="5">
        <v>6.8</v>
      </c>
      <c r="Y403" s="5">
        <v>5</v>
      </c>
      <c r="Z403" s="5" t="s">
        <v>57</v>
      </c>
      <c r="AA403" s="6">
        <v>177.6</v>
      </c>
      <c r="AB403" s="8">
        <f t="shared" si="78"/>
        <v>720</v>
      </c>
      <c r="AC403" s="8">
        <f t="shared" si="79"/>
        <v>36</v>
      </c>
      <c r="AD403" s="8">
        <f t="shared" si="80"/>
        <v>684</v>
      </c>
      <c r="AE403" s="8">
        <f t="shared" si="81"/>
        <v>532.79999999999995</v>
      </c>
      <c r="AF403" s="8">
        <f t="shared" si="82"/>
        <v>151.20000000000005</v>
      </c>
      <c r="AG403" s="9">
        <f t="shared" si="83"/>
        <v>0.22105263157894744</v>
      </c>
      <c r="AH403" s="10">
        <f t="shared" si="84"/>
        <v>2025</v>
      </c>
      <c r="AI403" s="10">
        <f t="shared" si="85"/>
        <v>6</v>
      </c>
      <c r="AJ403" s="10" t="str">
        <f t="shared" si="86"/>
        <v>2025-06</v>
      </c>
      <c r="AK403" s="10" t="str">
        <f t="shared" si="87"/>
        <v>T2</v>
      </c>
      <c r="AL403" s="10" t="str">
        <f t="shared" si="88"/>
        <v>40-49</v>
      </c>
      <c r="AM403" s="10" t="str">
        <f t="shared" si="89"/>
        <v>moyen</v>
      </c>
      <c r="AN403" s="10" t="s">
        <v>2839</v>
      </c>
      <c r="AO403" s="10" t="str">
        <f t="shared" si="90"/>
        <v>Moyenne</v>
      </c>
    </row>
    <row r="404" spans="1:41">
      <c r="A404" t="s">
        <v>1394</v>
      </c>
      <c r="B404" s="2">
        <v>45908</v>
      </c>
      <c r="C404" t="s">
        <v>1395</v>
      </c>
      <c r="D404" t="s">
        <v>181</v>
      </c>
      <c r="E404" t="s">
        <v>61</v>
      </c>
      <c r="F404" t="s">
        <v>208</v>
      </c>
      <c r="G404">
        <v>3</v>
      </c>
      <c r="H404" s="4">
        <v>145</v>
      </c>
      <c r="I404" s="3">
        <v>0</v>
      </c>
      <c r="J404" t="s">
        <v>45</v>
      </c>
      <c r="K404" t="s">
        <v>46</v>
      </c>
      <c r="L404" t="s">
        <v>1396</v>
      </c>
      <c r="M404" t="s">
        <v>54</v>
      </c>
      <c r="N404" t="s">
        <v>101</v>
      </c>
      <c r="O404" t="s">
        <v>184</v>
      </c>
      <c r="P404" t="s">
        <v>103</v>
      </c>
      <c r="Q404" t="s">
        <v>52</v>
      </c>
      <c r="R404" t="s">
        <v>68</v>
      </c>
      <c r="S404" t="s">
        <v>69</v>
      </c>
      <c r="T404" t="s">
        <v>211</v>
      </c>
      <c r="U404" s="5">
        <v>24</v>
      </c>
      <c r="V404" s="5" t="s">
        <v>85</v>
      </c>
      <c r="W404" s="5">
        <v>60</v>
      </c>
      <c r="X404" s="5">
        <v>3.6</v>
      </c>
      <c r="Y404" s="5">
        <v>9</v>
      </c>
      <c r="Z404" s="5" t="s">
        <v>117</v>
      </c>
      <c r="AA404" s="6">
        <v>97.15</v>
      </c>
      <c r="AB404" s="8">
        <f t="shared" si="78"/>
        <v>435</v>
      </c>
      <c r="AC404" s="8">
        <f t="shared" si="79"/>
        <v>0</v>
      </c>
      <c r="AD404" s="8">
        <f t="shared" si="80"/>
        <v>435</v>
      </c>
      <c r="AE404" s="8">
        <f t="shared" si="81"/>
        <v>291.45000000000005</v>
      </c>
      <c r="AF404" s="8">
        <f t="shared" si="82"/>
        <v>143.54999999999995</v>
      </c>
      <c r="AG404" s="9">
        <f t="shared" si="83"/>
        <v>0.3299999999999999</v>
      </c>
      <c r="AH404" s="10">
        <f t="shared" si="84"/>
        <v>2025</v>
      </c>
      <c r="AI404" s="10">
        <f t="shared" si="85"/>
        <v>9</v>
      </c>
      <c r="AJ404" s="10" t="str">
        <f t="shared" si="86"/>
        <v>2025-09</v>
      </c>
      <c r="AK404" s="10" t="str">
        <f t="shared" si="87"/>
        <v>T3</v>
      </c>
      <c r="AL404" s="10" t="str">
        <f t="shared" si="88"/>
        <v>22-29</v>
      </c>
      <c r="AM404" s="10" t="str">
        <f t="shared" si="89"/>
        <v>faible</v>
      </c>
      <c r="AN404" s="10" t="s">
        <v>2837</v>
      </c>
      <c r="AO404" s="10" t="str">
        <f t="shared" si="90"/>
        <v>Faible</v>
      </c>
    </row>
    <row r="405" spans="1:41">
      <c r="A405" t="s">
        <v>1397</v>
      </c>
      <c r="B405" s="2">
        <v>46016</v>
      </c>
      <c r="C405" t="s">
        <v>1398</v>
      </c>
      <c r="D405" t="s">
        <v>174</v>
      </c>
      <c r="E405" t="s">
        <v>345</v>
      </c>
      <c r="F405" t="s">
        <v>190</v>
      </c>
      <c r="G405">
        <v>1</v>
      </c>
      <c r="H405" s="4">
        <v>780</v>
      </c>
      <c r="I405" s="3">
        <v>0</v>
      </c>
      <c r="J405" t="s">
        <v>90</v>
      </c>
      <c r="K405" t="s">
        <v>46</v>
      </c>
      <c r="L405" t="s">
        <v>1399</v>
      </c>
      <c r="M405" t="s">
        <v>123</v>
      </c>
      <c r="N405" t="s">
        <v>112</v>
      </c>
      <c r="O405" t="s">
        <v>177</v>
      </c>
      <c r="P405" t="s">
        <v>103</v>
      </c>
      <c r="Q405" t="s">
        <v>114</v>
      </c>
      <c r="R405" t="s">
        <v>347</v>
      </c>
      <c r="S405" t="s">
        <v>54</v>
      </c>
      <c r="T405" t="s">
        <v>194</v>
      </c>
      <c r="U405" s="5">
        <v>37</v>
      </c>
      <c r="V405" s="5" t="s">
        <v>56</v>
      </c>
      <c r="W405" s="5">
        <v>61</v>
      </c>
      <c r="X405" s="5">
        <v>6.8</v>
      </c>
      <c r="Y405" s="5">
        <v>3</v>
      </c>
      <c r="Z405" s="5" t="s">
        <v>117</v>
      </c>
      <c r="AA405" s="6">
        <v>468</v>
      </c>
      <c r="AB405" s="8">
        <f t="shared" si="78"/>
        <v>780</v>
      </c>
      <c r="AC405" s="8">
        <f t="shared" si="79"/>
        <v>0</v>
      </c>
      <c r="AD405" s="8">
        <f t="shared" si="80"/>
        <v>780</v>
      </c>
      <c r="AE405" s="8">
        <f t="shared" si="81"/>
        <v>468</v>
      </c>
      <c r="AF405" s="8">
        <f t="shared" si="82"/>
        <v>312</v>
      </c>
      <c r="AG405" s="9">
        <f t="shared" si="83"/>
        <v>0.4</v>
      </c>
      <c r="AH405" s="10">
        <f t="shared" si="84"/>
        <v>2025</v>
      </c>
      <c r="AI405" s="10">
        <f t="shared" si="85"/>
        <v>12</v>
      </c>
      <c r="AJ405" s="10" t="str">
        <f t="shared" si="86"/>
        <v>2025-12</v>
      </c>
      <c r="AK405" s="10" t="str">
        <f t="shared" si="87"/>
        <v>T4</v>
      </c>
      <c r="AL405" s="10" t="str">
        <f t="shared" si="88"/>
        <v>30-39</v>
      </c>
      <c r="AM405" s="10" t="str">
        <f t="shared" si="89"/>
        <v>moyen</v>
      </c>
      <c r="AN405" s="10" t="s">
        <v>2838</v>
      </c>
      <c r="AO405" s="10" t="str">
        <f t="shared" si="90"/>
        <v>Moyenne</v>
      </c>
    </row>
    <row r="406" spans="1:41">
      <c r="A406" t="s">
        <v>1400</v>
      </c>
      <c r="B406" s="2">
        <v>45716</v>
      </c>
      <c r="C406" t="s">
        <v>1012</v>
      </c>
      <c r="D406" t="s">
        <v>128</v>
      </c>
      <c r="E406" t="s">
        <v>88</v>
      </c>
      <c r="F406" t="s">
        <v>1303</v>
      </c>
      <c r="G406">
        <v>1</v>
      </c>
      <c r="H406" s="4">
        <v>190</v>
      </c>
      <c r="I406" s="3">
        <v>0.02</v>
      </c>
      <c r="J406" t="s">
        <v>63</v>
      </c>
      <c r="K406" t="s">
        <v>46</v>
      </c>
      <c r="L406" t="s">
        <v>1013</v>
      </c>
      <c r="M406" t="s">
        <v>79</v>
      </c>
      <c r="N406" t="s">
        <v>80</v>
      </c>
      <c r="O406" t="s">
        <v>132</v>
      </c>
      <c r="P406" t="s">
        <v>133</v>
      </c>
      <c r="Q406" t="s">
        <v>52</v>
      </c>
      <c r="R406" t="s">
        <v>92</v>
      </c>
      <c r="S406" t="s">
        <v>48</v>
      </c>
      <c r="T406" t="s">
        <v>1305</v>
      </c>
      <c r="U406" s="5">
        <v>43</v>
      </c>
      <c r="V406" s="5" t="s">
        <v>56</v>
      </c>
      <c r="W406" s="5">
        <v>56</v>
      </c>
      <c r="X406" s="5">
        <v>4.3</v>
      </c>
      <c r="Y406" s="5">
        <v>7</v>
      </c>
      <c r="Z406" s="5" t="s">
        <v>117</v>
      </c>
      <c r="AA406" s="6">
        <v>148.19999999999999</v>
      </c>
      <c r="AB406" s="8">
        <f t="shared" si="78"/>
        <v>190</v>
      </c>
      <c r="AC406" s="8">
        <f t="shared" si="79"/>
        <v>3.8000000000000003</v>
      </c>
      <c r="AD406" s="8">
        <f t="shared" si="80"/>
        <v>186.2</v>
      </c>
      <c r="AE406" s="8">
        <f t="shared" si="81"/>
        <v>148.19999999999999</v>
      </c>
      <c r="AF406" s="8">
        <f t="shared" si="82"/>
        <v>38</v>
      </c>
      <c r="AG406" s="9">
        <f t="shared" si="83"/>
        <v>0.20408163265306123</v>
      </c>
      <c r="AH406" s="10">
        <f t="shared" si="84"/>
        <v>2025</v>
      </c>
      <c r="AI406" s="10">
        <f t="shared" si="85"/>
        <v>2</v>
      </c>
      <c r="AJ406" s="10" t="str">
        <f t="shared" si="86"/>
        <v>2025-02</v>
      </c>
      <c r="AK406" s="10" t="str">
        <f t="shared" si="87"/>
        <v>T1</v>
      </c>
      <c r="AL406" s="10" t="str">
        <f t="shared" si="88"/>
        <v>40-49</v>
      </c>
      <c r="AM406" s="10" t="str">
        <f t="shared" si="89"/>
        <v>faible</v>
      </c>
      <c r="AN406" s="10" t="s">
        <v>2837</v>
      </c>
      <c r="AO406" s="10" t="str">
        <f t="shared" si="90"/>
        <v>Faible</v>
      </c>
    </row>
    <row r="407" spans="1:41">
      <c r="A407" t="s">
        <v>1401</v>
      </c>
      <c r="B407" s="2">
        <v>45938</v>
      </c>
      <c r="C407" t="s">
        <v>1402</v>
      </c>
      <c r="D407" t="s">
        <v>272</v>
      </c>
      <c r="E407" t="s">
        <v>98</v>
      </c>
      <c r="F407" t="s">
        <v>175</v>
      </c>
      <c r="G407">
        <v>2</v>
      </c>
      <c r="H407" s="4">
        <v>420</v>
      </c>
      <c r="I407" s="3">
        <v>0</v>
      </c>
      <c r="J407" t="s">
        <v>77</v>
      </c>
      <c r="K407" t="s">
        <v>46</v>
      </c>
      <c r="L407" t="s">
        <v>1403</v>
      </c>
      <c r="M407" t="s">
        <v>69</v>
      </c>
      <c r="N407" t="s">
        <v>101</v>
      </c>
      <c r="O407" t="s">
        <v>274</v>
      </c>
      <c r="P407" t="s">
        <v>133</v>
      </c>
      <c r="Q407" t="s">
        <v>114</v>
      </c>
      <c r="R407" t="s">
        <v>104</v>
      </c>
      <c r="S407" t="s">
        <v>79</v>
      </c>
      <c r="T407" t="s">
        <v>178</v>
      </c>
      <c r="U407" s="5">
        <v>50</v>
      </c>
      <c r="V407" s="5" t="s">
        <v>85</v>
      </c>
      <c r="W407" s="5">
        <v>40</v>
      </c>
      <c r="X407" s="5">
        <v>6.7</v>
      </c>
      <c r="Y407" s="5">
        <v>4</v>
      </c>
      <c r="Z407" s="5" t="s">
        <v>94</v>
      </c>
      <c r="AA407" s="6">
        <v>273</v>
      </c>
      <c r="AB407" s="8">
        <f t="shared" si="78"/>
        <v>840</v>
      </c>
      <c r="AC407" s="8">
        <f t="shared" si="79"/>
        <v>0</v>
      </c>
      <c r="AD407" s="8">
        <f t="shared" si="80"/>
        <v>840</v>
      </c>
      <c r="AE407" s="8">
        <f t="shared" si="81"/>
        <v>546</v>
      </c>
      <c r="AF407" s="8">
        <f t="shared" si="82"/>
        <v>294</v>
      </c>
      <c r="AG407" s="9">
        <f t="shared" si="83"/>
        <v>0.35</v>
      </c>
      <c r="AH407" s="10">
        <f t="shared" si="84"/>
        <v>2025</v>
      </c>
      <c r="AI407" s="10">
        <f t="shared" si="85"/>
        <v>10</v>
      </c>
      <c r="AJ407" s="10" t="str">
        <f t="shared" si="86"/>
        <v>2025-10</v>
      </c>
      <c r="AK407" s="10" t="str">
        <f t="shared" si="87"/>
        <v>T4</v>
      </c>
      <c r="AL407" s="10" t="str">
        <f t="shared" si="88"/>
        <v>50+</v>
      </c>
      <c r="AM407" s="10" t="str">
        <f t="shared" si="89"/>
        <v>moyen</v>
      </c>
      <c r="AN407" s="10" t="s">
        <v>2839</v>
      </c>
      <c r="AO407" s="10" t="str">
        <f t="shared" si="90"/>
        <v>Moyenne</v>
      </c>
    </row>
    <row r="408" spans="1:41">
      <c r="A408" t="s">
        <v>1404</v>
      </c>
      <c r="B408" s="2">
        <v>45972</v>
      </c>
      <c r="C408" t="s">
        <v>1405</v>
      </c>
      <c r="D408" t="s">
        <v>340</v>
      </c>
      <c r="E408" t="s">
        <v>207</v>
      </c>
      <c r="F408" t="s">
        <v>361</v>
      </c>
      <c r="G408">
        <v>5</v>
      </c>
      <c r="H408" s="4">
        <v>22</v>
      </c>
      <c r="I408" s="3">
        <v>0.05</v>
      </c>
      <c r="J408" t="s">
        <v>45</v>
      </c>
      <c r="K408" t="s">
        <v>46</v>
      </c>
      <c r="L408" t="s">
        <v>1406</v>
      </c>
      <c r="M408" t="s">
        <v>69</v>
      </c>
      <c r="N408" t="s">
        <v>80</v>
      </c>
      <c r="O408" t="s">
        <v>342</v>
      </c>
      <c r="P408" t="s">
        <v>103</v>
      </c>
      <c r="Q408" t="s">
        <v>143</v>
      </c>
      <c r="R408" t="s">
        <v>210</v>
      </c>
      <c r="S408" t="s">
        <v>79</v>
      </c>
      <c r="T408" t="s">
        <v>363</v>
      </c>
      <c r="U408" s="5">
        <v>35</v>
      </c>
      <c r="V408" s="5" t="s">
        <v>56</v>
      </c>
      <c r="W408" s="5">
        <v>51</v>
      </c>
      <c r="X408" s="5">
        <v>6.5</v>
      </c>
      <c r="Y408" s="5">
        <v>4</v>
      </c>
      <c r="Z408" s="5" t="s">
        <v>117</v>
      </c>
      <c r="AA408" s="6">
        <v>14.96</v>
      </c>
      <c r="AB408" s="8">
        <f t="shared" si="78"/>
        <v>110</v>
      </c>
      <c r="AC408" s="8">
        <f t="shared" si="79"/>
        <v>5.5</v>
      </c>
      <c r="AD408" s="8">
        <f t="shared" si="80"/>
        <v>104.5</v>
      </c>
      <c r="AE408" s="8">
        <f t="shared" si="81"/>
        <v>74.800000000000011</v>
      </c>
      <c r="AF408" s="8">
        <f t="shared" si="82"/>
        <v>29.699999999999989</v>
      </c>
      <c r="AG408" s="9">
        <f t="shared" si="83"/>
        <v>0.28421052631578936</v>
      </c>
      <c r="AH408" s="10">
        <f t="shared" si="84"/>
        <v>2025</v>
      </c>
      <c r="AI408" s="10">
        <f t="shared" si="85"/>
        <v>11</v>
      </c>
      <c r="AJ408" s="10" t="str">
        <f t="shared" si="86"/>
        <v>2025-11</v>
      </c>
      <c r="AK408" s="10" t="str">
        <f t="shared" si="87"/>
        <v>T4</v>
      </c>
      <c r="AL408" s="10" t="str">
        <f t="shared" si="88"/>
        <v>30-39</v>
      </c>
      <c r="AM408" s="10" t="str">
        <f t="shared" si="89"/>
        <v>moyen</v>
      </c>
      <c r="AN408" s="10" t="s">
        <v>2839</v>
      </c>
      <c r="AO408" s="10" t="str">
        <f t="shared" si="90"/>
        <v>Faible</v>
      </c>
    </row>
    <row r="409" spans="1:41">
      <c r="A409" t="s">
        <v>1407</v>
      </c>
      <c r="B409" s="2">
        <v>45900</v>
      </c>
      <c r="C409" t="s">
        <v>1408</v>
      </c>
      <c r="D409" t="s">
        <v>128</v>
      </c>
      <c r="E409" t="s">
        <v>207</v>
      </c>
      <c r="F409" t="s">
        <v>502</v>
      </c>
      <c r="G409">
        <v>1</v>
      </c>
      <c r="H409" s="4">
        <v>190</v>
      </c>
      <c r="I409" s="3">
        <v>0.02</v>
      </c>
      <c r="J409" t="s">
        <v>45</v>
      </c>
      <c r="K409" t="s">
        <v>46</v>
      </c>
      <c r="L409" t="s">
        <v>1409</v>
      </c>
      <c r="M409" t="s">
        <v>79</v>
      </c>
      <c r="N409" t="s">
        <v>112</v>
      </c>
      <c r="O409" t="s">
        <v>132</v>
      </c>
      <c r="P409" t="s">
        <v>133</v>
      </c>
      <c r="Q409" t="s">
        <v>52</v>
      </c>
      <c r="R409" t="s">
        <v>210</v>
      </c>
      <c r="S409" t="s">
        <v>79</v>
      </c>
      <c r="T409" t="s">
        <v>504</v>
      </c>
      <c r="U409" s="5">
        <v>39</v>
      </c>
      <c r="V409" s="5" t="s">
        <v>85</v>
      </c>
      <c r="W409" s="5">
        <v>48</v>
      </c>
      <c r="X409" s="5">
        <v>8.1999999999999993</v>
      </c>
      <c r="Y409" s="5">
        <v>1</v>
      </c>
      <c r="Z409" s="5" t="s">
        <v>57</v>
      </c>
      <c r="AA409" s="6">
        <v>148.19999999999999</v>
      </c>
      <c r="AB409" s="8">
        <f t="shared" si="78"/>
        <v>190</v>
      </c>
      <c r="AC409" s="8">
        <f t="shared" si="79"/>
        <v>3.8000000000000003</v>
      </c>
      <c r="AD409" s="8">
        <f t="shared" si="80"/>
        <v>186.2</v>
      </c>
      <c r="AE409" s="8">
        <f t="shared" si="81"/>
        <v>148.19999999999999</v>
      </c>
      <c r="AF409" s="8">
        <f t="shared" si="82"/>
        <v>38</v>
      </c>
      <c r="AG409" s="9">
        <f t="shared" si="83"/>
        <v>0.20408163265306123</v>
      </c>
      <c r="AH409" s="10">
        <f t="shared" si="84"/>
        <v>2025</v>
      </c>
      <c r="AI409" s="10">
        <f t="shared" si="85"/>
        <v>8</v>
      </c>
      <c r="AJ409" s="10" t="str">
        <f t="shared" si="86"/>
        <v>2025-08</v>
      </c>
      <c r="AK409" s="10" t="str">
        <f t="shared" si="87"/>
        <v>T3</v>
      </c>
      <c r="AL409" s="10" t="str">
        <f t="shared" si="88"/>
        <v>30-39</v>
      </c>
      <c r="AM409" s="10" t="str">
        <f t="shared" si="89"/>
        <v>bon</v>
      </c>
      <c r="AN409" s="10" t="s">
        <v>2838</v>
      </c>
      <c r="AO409" s="10" t="str">
        <f t="shared" si="90"/>
        <v>Faible</v>
      </c>
    </row>
    <row r="410" spans="1:41">
      <c r="A410" t="s">
        <v>1410</v>
      </c>
      <c r="B410" s="2">
        <v>45754</v>
      </c>
      <c r="C410" t="s">
        <v>1411</v>
      </c>
      <c r="D410" t="s">
        <v>138</v>
      </c>
      <c r="E410" t="s">
        <v>43</v>
      </c>
      <c r="F410" t="s">
        <v>182</v>
      </c>
      <c r="G410">
        <v>1</v>
      </c>
      <c r="H410" s="4">
        <v>120</v>
      </c>
      <c r="I410" s="3">
        <v>0</v>
      </c>
      <c r="J410" t="s">
        <v>63</v>
      </c>
      <c r="K410" t="s">
        <v>46</v>
      </c>
      <c r="L410" t="s">
        <v>1412</v>
      </c>
      <c r="M410" t="s">
        <v>123</v>
      </c>
      <c r="N410" t="s">
        <v>255</v>
      </c>
      <c r="O410" t="s">
        <v>142</v>
      </c>
      <c r="P410" t="s">
        <v>51</v>
      </c>
      <c r="Q410" t="s">
        <v>143</v>
      </c>
      <c r="R410" t="s">
        <v>53</v>
      </c>
      <c r="S410" t="s">
        <v>54</v>
      </c>
      <c r="T410" t="s">
        <v>185</v>
      </c>
      <c r="U410" s="5">
        <v>29</v>
      </c>
      <c r="V410" s="5" t="s">
        <v>85</v>
      </c>
      <c r="W410" s="5">
        <v>43</v>
      </c>
      <c r="X410" s="5">
        <v>5.3</v>
      </c>
      <c r="Y410" s="5">
        <v>6</v>
      </c>
      <c r="Z410" s="5" t="s">
        <v>117</v>
      </c>
      <c r="AA410" s="6">
        <v>73.2</v>
      </c>
      <c r="AB410" s="8">
        <f t="shared" si="78"/>
        <v>120</v>
      </c>
      <c r="AC410" s="8">
        <f t="shared" si="79"/>
        <v>0</v>
      </c>
      <c r="AD410" s="8">
        <f t="shared" si="80"/>
        <v>120</v>
      </c>
      <c r="AE410" s="8">
        <f t="shared" si="81"/>
        <v>73.2</v>
      </c>
      <c r="AF410" s="8">
        <f t="shared" si="82"/>
        <v>46.8</v>
      </c>
      <c r="AG410" s="9">
        <f t="shared" si="83"/>
        <v>0.38999999999999996</v>
      </c>
      <c r="AH410" s="10">
        <f t="shared" si="84"/>
        <v>2025</v>
      </c>
      <c r="AI410" s="10">
        <f t="shared" si="85"/>
        <v>4</v>
      </c>
      <c r="AJ410" s="10" t="str">
        <f t="shared" si="86"/>
        <v>2025-04</v>
      </c>
      <c r="AK410" s="10" t="str">
        <f t="shared" si="87"/>
        <v>T2</v>
      </c>
      <c r="AL410" s="10" t="str">
        <f t="shared" si="88"/>
        <v>22-29</v>
      </c>
      <c r="AM410" s="10" t="str">
        <f t="shared" si="89"/>
        <v>moyen</v>
      </c>
      <c r="AN410" s="10" t="s">
        <v>2839</v>
      </c>
      <c r="AO410" s="10" t="str">
        <f t="shared" si="90"/>
        <v>Faible</v>
      </c>
    </row>
    <row r="411" spans="1:41">
      <c r="A411" t="s">
        <v>1413</v>
      </c>
      <c r="B411" s="2">
        <v>45837</v>
      </c>
      <c r="C411" t="s">
        <v>1414</v>
      </c>
      <c r="D411" t="s">
        <v>155</v>
      </c>
      <c r="E411" t="s">
        <v>75</v>
      </c>
      <c r="F411" t="s">
        <v>282</v>
      </c>
      <c r="G411">
        <v>3</v>
      </c>
      <c r="H411" s="4">
        <v>48</v>
      </c>
      <c r="I411" s="3">
        <v>0</v>
      </c>
      <c r="J411" t="s">
        <v>77</v>
      </c>
      <c r="K411" t="s">
        <v>46</v>
      </c>
      <c r="L411" t="s">
        <v>1415</v>
      </c>
      <c r="M411" t="s">
        <v>54</v>
      </c>
      <c r="N411" t="s">
        <v>80</v>
      </c>
      <c r="O411" t="s">
        <v>158</v>
      </c>
      <c r="P411" t="s">
        <v>51</v>
      </c>
      <c r="Q411" t="s">
        <v>143</v>
      </c>
      <c r="R411" t="s">
        <v>83</v>
      </c>
      <c r="S411" t="s">
        <v>69</v>
      </c>
      <c r="T411" t="s">
        <v>284</v>
      </c>
      <c r="U411" s="5">
        <v>41</v>
      </c>
      <c r="V411" s="5" t="s">
        <v>56</v>
      </c>
      <c r="W411" s="5">
        <v>50</v>
      </c>
      <c r="X411" s="5">
        <v>3.9</v>
      </c>
      <c r="Y411" s="5">
        <v>8</v>
      </c>
      <c r="Z411" s="5" t="s">
        <v>71</v>
      </c>
      <c r="AA411" s="6">
        <v>37.44</v>
      </c>
      <c r="AB411" s="8">
        <f t="shared" si="78"/>
        <v>144</v>
      </c>
      <c r="AC411" s="8">
        <f t="shared" si="79"/>
        <v>0</v>
      </c>
      <c r="AD411" s="8">
        <f t="shared" si="80"/>
        <v>144</v>
      </c>
      <c r="AE411" s="8">
        <f t="shared" si="81"/>
        <v>112.32</v>
      </c>
      <c r="AF411" s="8">
        <f t="shared" si="82"/>
        <v>31.680000000000007</v>
      </c>
      <c r="AG411" s="9">
        <f t="shared" si="83"/>
        <v>0.22000000000000006</v>
      </c>
      <c r="AH411" s="10">
        <f t="shared" si="84"/>
        <v>2025</v>
      </c>
      <c r="AI411" s="10">
        <f t="shared" si="85"/>
        <v>6</v>
      </c>
      <c r="AJ411" s="10" t="str">
        <f t="shared" si="86"/>
        <v>2025-06</v>
      </c>
      <c r="AK411" s="10" t="str">
        <f t="shared" si="87"/>
        <v>T2</v>
      </c>
      <c r="AL411" s="10" t="str">
        <f t="shared" si="88"/>
        <v>40-49</v>
      </c>
      <c r="AM411" s="10" t="str">
        <f t="shared" si="89"/>
        <v>faible</v>
      </c>
      <c r="AN411" s="10" t="s">
        <v>2837</v>
      </c>
      <c r="AO411" s="10" t="str">
        <f t="shared" si="90"/>
        <v>Faible</v>
      </c>
    </row>
    <row r="412" spans="1:41">
      <c r="A412" t="s">
        <v>1416</v>
      </c>
      <c r="B412" s="2">
        <v>45876</v>
      </c>
      <c r="C412" t="s">
        <v>972</v>
      </c>
      <c r="D412" t="s">
        <v>340</v>
      </c>
      <c r="E412" t="s">
        <v>43</v>
      </c>
      <c r="F412" t="s">
        <v>487</v>
      </c>
      <c r="G412">
        <v>3</v>
      </c>
      <c r="H412" s="4">
        <v>22</v>
      </c>
      <c r="I412" s="3">
        <v>0</v>
      </c>
      <c r="J412" t="s">
        <v>77</v>
      </c>
      <c r="K412" t="s">
        <v>46</v>
      </c>
      <c r="L412" t="s">
        <v>973</v>
      </c>
      <c r="M412" t="s">
        <v>48</v>
      </c>
      <c r="N412" t="s">
        <v>255</v>
      </c>
      <c r="O412" t="s">
        <v>342</v>
      </c>
      <c r="P412" t="s">
        <v>103</v>
      </c>
      <c r="Q412" t="s">
        <v>143</v>
      </c>
      <c r="R412" t="s">
        <v>53</v>
      </c>
      <c r="S412" t="s">
        <v>54</v>
      </c>
      <c r="T412" t="s">
        <v>489</v>
      </c>
      <c r="U412" s="5">
        <v>52</v>
      </c>
      <c r="V412" s="5" t="s">
        <v>85</v>
      </c>
      <c r="W412" s="5">
        <v>64</v>
      </c>
      <c r="X412" s="5">
        <v>7.9</v>
      </c>
      <c r="Y412" s="5">
        <v>1</v>
      </c>
      <c r="Z412" s="5" t="s">
        <v>94</v>
      </c>
      <c r="AA412" s="6">
        <v>14.96</v>
      </c>
      <c r="AB412" s="8">
        <f t="shared" si="78"/>
        <v>66</v>
      </c>
      <c r="AC412" s="8">
        <f t="shared" si="79"/>
        <v>0</v>
      </c>
      <c r="AD412" s="8">
        <f t="shared" si="80"/>
        <v>66</v>
      </c>
      <c r="AE412" s="8">
        <f t="shared" si="81"/>
        <v>44.88</v>
      </c>
      <c r="AF412" s="8">
        <f t="shared" si="82"/>
        <v>21.119999999999997</v>
      </c>
      <c r="AG412" s="9">
        <f t="shared" si="83"/>
        <v>0.31999999999999995</v>
      </c>
      <c r="AH412" s="10">
        <f t="shared" si="84"/>
        <v>2025</v>
      </c>
      <c r="AI412" s="10">
        <f t="shared" si="85"/>
        <v>8</v>
      </c>
      <c r="AJ412" s="10" t="str">
        <f t="shared" si="86"/>
        <v>2025-08</v>
      </c>
      <c r="AK412" s="10" t="str">
        <f t="shared" si="87"/>
        <v>T3</v>
      </c>
      <c r="AL412" s="10" t="str">
        <f t="shared" si="88"/>
        <v>50+</v>
      </c>
      <c r="AM412" s="10" t="str">
        <f t="shared" si="89"/>
        <v>bon</v>
      </c>
      <c r="AN412" s="10" t="s">
        <v>2838</v>
      </c>
      <c r="AO412" s="10" t="str">
        <f t="shared" si="90"/>
        <v>Faible</v>
      </c>
    </row>
    <row r="413" spans="1:41">
      <c r="A413" t="s">
        <v>1417</v>
      </c>
      <c r="B413" s="2">
        <v>45986</v>
      </c>
      <c r="C413" t="s">
        <v>1389</v>
      </c>
      <c r="D413" t="s">
        <v>340</v>
      </c>
      <c r="E413" t="s">
        <v>61</v>
      </c>
      <c r="F413" t="s">
        <v>374</v>
      </c>
      <c r="G413">
        <v>3</v>
      </c>
      <c r="H413" s="4">
        <v>22</v>
      </c>
      <c r="I413" s="3">
        <v>0</v>
      </c>
      <c r="J413" t="s">
        <v>45</v>
      </c>
      <c r="K413" t="s">
        <v>46</v>
      </c>
      <c r="L413" t="s">
        <v>1390</v>
      </c>
      <c r="M413" t="s">
        <v>54</v>
      </c>
      <c r="N413" t="s">
        <v>101</v>
      </c>
      <c r="O413" t="s">
        <v>342</v>
      </c>
      <c r="P413" t="s">
        <v>103</v>
      </c>
      <c r="Q413" t="s">
        <v>143</v>
      </c>
      <c r="R413" t="s">
        <v>68</v>
      </c>
      <c r="S413" t="s">
        <v>69</v>
      </c>
      <c r="T413" t="s">
        <v>376</v>
      </c>
      <c r="U413" s="5">
        <v>27</v>
      </c>
      <c r="V413" s="5" t="s">
        <v>56</v>
      </c>
      <c r="W413" s="5">
        <v>41</v>
      </c>
      <c r="X413" s="5">
        <v>6.5</v>
      </c>
      <c r="Y413" s="5">
        <v>4</v>
      </c>
      <c r="Z413" s="5" t="s">
        <v>117</v>
      </c>
      <c r="AA413" s="6">
        <v>14.96</v>
      </c>
      <c r="AB413" s="8">
        <f t="shared" si="78"/>
        <v>66</v>
      </c>
      <c r="AC413" s="8">
        <f t="shared" si="79"/>
        <v>0</v>
      </c>
      <c r="AD413" s="8">
        <f t="shared" si="80"/>
        <v>66</v>
      </c>
      <c r="AE413" s="8">
        <f t="shared" si="81"/>
        <v>44.88</v>
      </c>
      <c r="AF413" s="8">
        <f t="shared" si="82"/>
        <v>21.119999999999997</v>
      </c>
      <c r="AG413" s="9">
        <f t="shared" si="83"/>
        <v>0.31999999999999995</v>
      </c>
      <c r="AH413" s="10">
        <f t="shared" si="84"/>
        <v>2025</v>
      </c>
      <c r="AI413" s="10">
        <f t="shared" si="85"/>
        <v>11</v>
      </c>
      <c r="AJ413" s="10" t="str">
        <f t="shared" si="86"/>
        <v>2025-11</v>
      </c>
      <c r="AK413" s="10" t="str">
        <f t="shared" si="87"/>
        <v>T4</v>
      </c>
      <c r="AL413" s="10" t="str">
        <f t="shared" si="88"/>
        <v>22-29</v>
      </c>
      <c r="AM413" s="10" t="str">
        <f t="shared" si="89"/>
        <v>moyen</v>
      </c>
      <c r="AN413" s="10" t="s">
        <v>2839</v>
      </c>
      <c r="AO413" s="10" t="str">
        <f t="shared" si="90"/>
        <v>Faible</v>
      </c>
    </row>
    <row r="414" spans="1:41">
      <c r="A414" t="s">
        <v>1418</v>
      </c>
      <c r="B414" s="2">
        <v>45946</v>
      </c>
      <c r="C414" t="s">
        <v>1243</v>
      </c>
      <c r="D414" t="s">
        <v>340</v>
      </c>
      <c r="E414" t="s">
        <v>75</v>
      </c>
      <c r="F414" t="s">
        <v>522</v>
      </c>
      <c r="G414">
        <v>1</v>
      </c>
      <c r="H414" s="4">
        <v>22</v>
      </c>
      <c r="I414" s="3">
        <v>0.1</v>
      </c>
      <c r="J414" t="s">
        <v>63</v>
      </c>
      <c r="K414" t="s">
        <v>46</v>
      </c>
      <c r="L414" t="s">
        <v>1244</v>
      </c>
      <c r="M414" t="s">
        <v>69</v>
      </c>
      <c r="N414" t="s">
        <v>112</v>
      </c>
      <c r="O414" t="s">
        <v>342</v>
      </c>
      <c r="P414" t="s">
        <v>103</v>
      </c>
      <c r="Q414" t="s">
        <v>143</v>
      </c>
      <c r="R414" t="s">
        <v>83</v>
      </c>
      <c r="S414" t="s">
        <v>69</v>
      </c>
      <c r="T414" t="s">
        <v>524</v>
      </c>
      <c r="U414" s="5">
        <v>35</v>
      </c>
      <c r="V414" s="5" t="s">
        <v>85</v>
      </c>
      <c r="W414" s="5">
        <v>27</v>
      </c>
      <c r="X414" s="5">
        <v>5.4</v>
      </c>
      <c r="Y414" s="5">
        <v>5</v>
      </c>
      <c r="Z414" s="5" t="s">
        <v>57</v>
      </c>
      <c r="AA414" s="6">
        <v>14.96</v>
      </c>
      <c r="AB414" s="8">
        <f t="shared" si="78"/>
        <v>22</v>
      </c>
      <c r="AC414" s="8">
        <f t="shared" si="79"/>
        <v>2.2000000000000002</v>
      </c>
      <c r="AD414" s="8">
        <f t="shared" si="80"/>
        <v>19.8</v>
      </c>
      <c r="AE414" s="8">
        <f t="shared" si="81"/>
        <v>14.96</v>
      </c>
      <c r="AF414" s="8">
        <f t="shared" si="82"/>
        <v>4.84</v>
      </c>
      <c r="AG414" s="9">
        <f t="shared" si="83"/>
        <v>0.24444444444444444</v>
      </c>
      <c r="AH414" s="10">
        <f t="shared" si="84"/>
        <v>2025</v>
      </c>
      <c r="AI414" s="10">
        <f t="shared" si="85"/>
        <v>10</v>
      </c>
      <c r="AJ414" s="10" t="str">
        <f t="shared" si="86"/>
        <v>2025-10</v>
      </c>
      <c r="AK414" s="10" t="str">
        <f t="shared" si="87"/>
        <v>T4</v>
      </c>
      <c r="AL414" s="10" t="str">
        <f t="shared" si="88"/>
        <v>30-39</v>
      </c>
      <c r="AM414" s="10" t="str">
        <f t="shared" si="89"/>
        <v>moyen</v>
      </c>
      <c r="AN414" s="10" t="s">
        <v>2839</v>
      </c>
      <c r="AO414" s="10" t="str">
        <f t="shared" si="90"/>
        <v>Faible</v>
      </c>
    </row>
    <row r="415" spans="1:41">
      <c r="A415" t="s">
        <v>1419</v>
      </c>
      <c r="B415" s="2">
        <v>45658</v>
      </c>
      <c r="C415" t="s">
        <v>1420</v>
      </c>
      <c r="D415" t="s">
        <v>42</v>
      </c>
      <c r="E415" t="s">
        <v>75</v>
      </c>
      <c r="F415" t="s">
        <v>676</v>
      </c>
      <c r="G415">
        <v>2</v>
      </c>
      <c r="H415" s="4">
        <v>260</v>
      </c>
      <c r="I415" s="3">
        <v>0</v>
      </c>
      <c r="J415" t="s">
        <v>45</v>
      </c>
      <c r="K415" t="s">
        <v>46</v>
      </c>
      <c r="L415" t="s">
        <v>1421</v>
      </c>
      <c r="M415" t="s">
        <v>69</v>
      </c>
      <c r="N415" t="s">
        <v>255</v>
      </c>
      <c r="O415" t="s">
        <v>50</v>
      </c>
      <c r="P415" t="s">
        <v>51</v>
      </c>
      <c r="Q415" t="s">
        <v>52</v>
      </c>
      <c r="R415" t="s">
        <v>83</v>
      </c>
      <c r="S415" t="s">
        <v>69</v>
      </c>
      <c r="T415" t="s">
        <v>678</v>
      </c>
      <c r="U415" s="5">
        <v>46</v>
      </c>
      <c r="V415" s="5" t="s">
        <v>85</v>
      </c>
      <c r="W415" s="5">
        <v>5</v>
      </c>
      <c r="X415" s="5">
        <v>5.9</v>
      </c>
      <c r="Y415" s="5">
        <v>5</v>
      </c>
      <c r="Z415" s="5" t="s">
        <v>57</v>
      </c>
      <c r="AA415" s="6">
        <v>189.8</v>
      </c>
      <c r="AB415" s="8">
        <f t="shared" si="78"/>
        <v>520</v>
      </c>
      <c r="AC415" s="8">
        <f t="shared" si="79"/>
        <v>0</v>
      </c>
      <c r="AD415" s="8">
        <f t="shared" si="80"/>
        <v>520</v>
      </c>
      <c r="AE415" s="8">
        <f t="shared" si="81"/>
        <v>379.6</v>
      </c>
      <c r="AF415" s="8">
        <f t="shared" si="82"/>
        <v>140.39999999999998</v>
      </c>
      <c r="AG415" s="9">
        <f t="shared" si="83"/>
        <v>0.26999999999999996</v>
      </c>
      <c r="AH415" s="10">
        <f t="shared" si="84"/>
        <v>2025</v>
      </c>
      <c r="AI415" s="10">
        <f t="shared" si="85"/>
        <v>1</v>
      </c>
      <c r="AJ415" s="10" t="str">
        <f t="shared" si="86"/>
        <v>2025-01</v>
      </c>
      <c r="AK415" s="10" t="str">
        <f t="shared" si="87"/>
        <v>T1</v>
      </c>
      <c r="AL415" s="10" t="str">
        <f t="shared" si="88"/>
        <v>40-49</v>
      </c>
      <c r="AM415" s="10" t="str">
        <f t="shared" si="89"/>
        <v>moyen</v>
      </c>
      <c r="AN415" s="10" t="s">
        <v>2839</v>
      </c>
      <c r="AO415" s="10" t="str">
        <f t="shared" si="90"/>
        <v>Moyenne</v>
      </c>
    </row>
    <row r="416" spans="1:41">
      <c r="A416" t="s">
        <v>1422</v>
      </c>
      <c r="B416" s="2">
        <v>45812</v>
      </c>
      <c r="C416" t="s">
        <v>1423</v>
      </c>
      <c r="D416" t="s">
        <v>333</v>
      </c>
      <c r="E416" t="s">
        <v>277</v>
      </c>
      <c r="F416" t="s">
        <v>361</v>
      </c>
      <c r="G416">
        <v>2</v>
      </c>
      <c r="H416" s="4">
        <v>65</v>
      </c>
      <c r="I416" s="3">
        <v>0</v>
      </c>
      <c r="J416" t="s">
        <v>45</v>
      </c>
      <c r="K416" t="s">
        <v>46</v>
      </c>
      <c r="L416" t="s">
        <v>1424</v>
      </c>
      <c r="M416" t="s">
        <v>79</v>
      </c>
      <c r="N416" t="s">
        <v>101</v>
      </c>
      <c r="O416" t="s">
        <v>336</v>
      </c>
      <c r="P416" t="s">
        <v>51</v>
      </c>
      <c r="Q416" t="s">
        <v>52</v>
      </c>
      <c r="R416" t="s">
        <v>279</v>
      </c>
      <c r="S416" t="s">
        <v>54</v>
      </c>
      <c r="T416" t="s">
        <v>363</v>
      </c>
      <c r="U416" s="5">
        <v>40</v>
      </c>
      <c r="V416" s="5" t="s">
        <v>85</v>
      </c>
      <c r="W416" s="5">
        <v>17</v>
      </c>
      <c r="X416" s="5">
        <v>4.9000000000000004</v>
      </c>
      <c r="Y416" s="5">
        <v>7</v>
      </c>
      <c r="Z416" s="5" t="s">
        <v>117</v>
      </c>
      <c r="AA416" s="6">
        <v>47.45</v>
      </c>
      <c r="AB416" s="8">
        <f t="shared" si="78"/>
        <v>130</v>
      </c>
      <c r="AC416" s="8">
        <f t="shared" si="79"/>
        <v>0</v>
      </c>
      <c r="AD416" s="8">
        <f t="shared" si="80"/>
        <v>130</v>
      </c>
      <c r="AE416" s="8">
        <f t="shared" si="81"/>
        <v>94.9</v>
      </c>
      <c r="AF416" s="8">
        <f t="shared" si="82"/>
        <v>35.099999999999994</v>
      </c>
      <c r="AG416" s="9">
        <f t="shared" si="83"/>
        <v>0.26999999999999996</v>
      </c>
      <c r="AH416" s="10">
        <f t="shared" si="84"/>
        <v>2025</v>
      </c>
      <c r="AI416" s="10">
        <f t="shared" si="85"/>
        <v>6</v>
      </c>
      <c r="AJ416" s="10" t="str">
        <f t="shared" si="86"/>
        <v>2025-06</v>
      </c>
      <c r="AK416" s="10" t="str">
        <f t="shared" si="87"/>
        <v>T2</v>
      </c>
      <c r="AL416" s="10" t="str">
        <f t="shared" si="88"/>
        <v>40-49</v>
      </c>
      <c r="AM416" s="10" t="str">
        <f t="shared" si="89"/>
        <v>faible</v>
      </c>
      <c r="AN416" s="10" t="s">
        <v>2837</v>
      </c>
      <c r="AO416" s="10" t="str">
        <f t="shared" si="90"/>
        <v>Faible</v>
      </c>
    </row>
    <row r="417" spans="1:41">
      <c r="A417" t="s">
        <v>1425</v>
      </c>
      <c r="B417" s="2">
        <v>45817</v>
      </c>
      <c r="C417" t="s">
        <v>1426</v>
      </c>
      <c r="D417" t="s">
        <v>148</v>
      </c>
      <c r="E417" t="s">
        <v>277</v>
      </c>
      <c r="F417" t="s">
        <v>328</v>
      </c>
      <c r="G417">
        <v>5</v>
      </c>
      <c r="H417" s="4">
        <v>110</v>
      </c>
      <c r="I417" s="3">
        <v>0</v>
      </c>
      <c r="J417" t="s">
        <v>90</v>
      </c>
      <c r="K417" t="s">
        <v>46</v>
      </c>
      <c r="L417" t="s">
        <v>1427</v>
      </c>
      <c r="M417" t="s">
        <v>54</v>
      </c>
      <c r="N417" t="s">
        <v>49</v>
      </c>
      <c r="O417" t="s">
        <v>151</v>
      </c>
      <c r="P417" t="s">
        <v>103</v>
      </c>
      <c r="Q417" t="s">
        <v>114</v>
      </c>
      <c r="R417" t="s">
        <v>279</v>
      </c>
      <c r="S417" t="s">
        <v>54</v>
      </c>
      <c r="T417" t="s">
        <v>330</v>
      </c>
      <c r="U417" s="5">
        <v>33</v>
      </c>
      <c r="V417" s="5" t="s">
        <v>56</v>
      </c>
      <c r="W417" s="5">
        <v>63</v>
      </c>
      <c r="X417" s="5">
        <v>8.8000000000000007</v>
      </c>
      <c r="Y417" s="5">
        <v>1</v>
      </c>
      <c r="Z417" s="5" t="s">
        <v>71</v>
      </c>
      <c r="AA417" s="6">
        <v>72.599999999999994</v>
      </c>
      <c r="AB417" s="8">
        <f t="shared" si="78"/>
        <v>550</v>
      </c>
      <c r="AC417" s="8">
        <f t="shared" si="79"/>
        <v>0</v>
      </c>
      <c r="AD417" s="8">
        <f t="shared" si="80"/>
        <v>550</v>
      </c>
      <c r="AE417" s="8">
        <f t="shared" si="81"/>
        <v>363</v>
      </c>
      <c r="AF417" s="8">
        <f t="shared" si="82"/>
        <v>187</v>
      </c>
      <c r="AG417" s="9">
        <f t="shared" si="83"/>
        <v>0.34</v>
      </c>
      <c r="AH417" s="10">
        <f t="shared" si="84"/>
        <v>2025</v>
      </c>
      <c r="AI417" s="10">
        <f t="shared" si="85"/>
        <v>6</v>
      </c>
      <c r="AJ417" s="10" t="str">
        <f t="shared" si="86"/>
        <v>2025-06</v>
      </c>
      <c r="AK417" s="10" t="str">
        <f t="shared" si="87"/>
        <v>T2</v>
      </c>
      <c r="AL417" s="10" t="str">
        <f t="shared" si="88"/>
        <v>30-39</v>
      </c>
      <c r="AM417" s="10" t="str">
        <f t="shared" si="89"/>
        <v>bon</v>
      </c>
      <c r="AN417" s="10" t="s">
        <v>2838</v>
      </c>
      <c r="AO417" s="10" t="str">
        <f t="shared" si="90"/>
        <v>Moyenne</v>
      </c>
    </row>
    <row r="418" spans="1:41">
      <c r="A418" t="s">
        <v>1428</v>
      </c>
      <c r="B418" s="2">
        <v>45731</v>
      </c>
      <c r="C418" t="s">
        <v>1429</v>
      </c>
      <c r="D418" t="s">
        <v>128</v>
      </c>
      <c r="E418" t="s">
        <v>109</v>
      </c>
      <c r="F418" t="s">
        <v>502</v>
      </c>
      <c r="G418">
        <v>5</v>
      </c>
      <c r="H418" s="4">
        <v>190</v>
      </c>
      <c r="I418" s="3">
        <v>0.05</v>
      </c>
      <c r="J418" t="s">
        <v>63</v>
      </c>
      <c r="K418" t="s">
        <v>46</v>
      </c>
      <c r="L418" t="s">
        <v>1430</v>
      </c>
      <c r="M418" t="s">
        <v>65</v>
      </c>
      <c r="N418" t="s">
        <v>80</v>
      </c>
      <c r="O418" t="s">
        <v>132</v>
      </c>
      <c r="P418" t="s">
        <v>133</v>
      </c>
      <c r="Q418" t="s">
        <v>52</v>
      </c>
      <c r="R418" t="s">
        <v>115</v>
      </c>
      <c r="S418" t="s">
        <v>65</v>
      </c>
      <c r="T418" t="s">
        <v>504</v>
      </c>
      <c r="U418" s="5">
        <v>33</v>
      </c>
      <c r="V418" s="5" t="s">
        <v>56</v>
      </c>
      <c r="W418" s="5">
        <v>55</v>
      </c>
      <c r="X418" s="5">
        <v>4.8</v>
      </c>
      <c r="Y418" s="5">
        <v>6</v>
      </c>
      <c r="Z418" s="5" t="s">
        <v>94</v>
      </c>
      <c r="AA418" s="6">
        <v>148.19999999999999</v>
      </c>
      <c r="AB418" s="8">
        <f t="shared" si="78"/>
        <v>950</v>
      </c>
      <c r="AC418" s="8">
        <f t="shared" si="79"/>
        <v>47.5</v>
      </c>
      <c r="AD418" s="8">
        <f t="shared" si="80"/>
        <v>902.5</v>
      </c>
      <c r="AE418" s="8">
        <f t="shared" si="81"/>
        <v>741</v>
      </c>
      <c r="AF418" s="8">
        <f t="shared" si="82"/>
        <v>161.5</v>
      </c>
      <c r="AG418" s="9">
        <f t="shared" si="83"/>
        <v>0.17894736842105263</v>
      </c>
      <c r="AH418" s="10">
        <f t="shared" si="84"/>
        <v>2025</v>
      </c>
      <c r="AI418" s="10">
        <f t="shared" si="85"/>
        <v>3</v>
      </c>
      <c r="AJ418" s="10" t="str">
        <f t="shared" si="86"/>
        <v>2025-03</v>
      </c>
      <c r="AK418" s="10" t="str">
        <f t="shared" si="87"/>
        <v>T1</v>
      </c>
      <c r="AL418" s="10" t="str">
        <f t="shared" si="88"/>
        <v>30-39</v>
      </c>
      <c r="AM418" s="10" t="str">
        <f t="shared" si="89"/>
        <v>faible</v>
      </c>
      <c r="AN418" s="10" t="s">
        <v>2839</v>
      </c>
      <c r="AO418" s="10" t="str">
        <f t="shared" si="90"/>
        <v>Moyenne</v>
      </c>
    </row>
    <row r="419" spans="1:41">
      <c r="A419" t="s">
        <v>1431</v>
      </c>
      <c r="B419" s="2">
        <v>45880</v>
      </c>
      <c r="C419" t="s">
        <v>1255</v>
      </c>
      <c r="D419" t="s">
        <v>97</v>
      </c>
      <c r="E419" t="s">
        <v>61</v>
      </c>
      <c r="F419" t="s">
        <v>553</v>
      </c>
      <c r="G419">
        <v>3</v>
      </c>
      <c r="H419" s="4">
        <v>520</v>
      </c>
      <c r="I419" s="3">
        <v>0</v>
      </c>
      <c r="J419" t="s">
        <v>90</v>
      </c>
      <c r="K419" t="s">
        <v>46</v>
      </c>
      <c r="L419" t="s">
        <v>1256</v>
      </c>
      <c r="M419" t="s">
        <v>79</v>
      </c>
      <c r="N419" t="s">
        <v>49</v>
      </c>
      <c r="O419" t="s">
        <v>102</v>
      </c>
      <c r="P419" t="s">
        <v>103</v>
      </c>
      <c r="Q419" t="s">
        <v>52</v>
      </c>
      <c r="R419" t="s">
        <v>68</v>
      </c>
      <c r="S419" t="s">
        <v>69</v>
      </c>
      <c r="T419" t="s">
        <v>555</v>
      </c>
      <c r="U419" s="5">
        <v>31</v>
      </c>
      <c r="V419" s="5" t="s">
        <v>56</v>
      </c>
      <c r="W419" s="5">
        <v>28</v>
      </c>
      <c r="X419" s="5">
        <v>3.4</v>
      </c>
      <c r="Y419" s="5">
        <v>9</v>
      </c>
      <c r="Z419" s="5" t="s">
        <v>117</v>
      </c>
      <c r="AA419" s="6">
        <v>348.4</v>
      </c>
      <c r="AB419" s="8">
        <f t="shared" si="78"/>
        <v>1560</v>
      </c>
      <c r="AC419" s="8">
        <f t="shared" si="79"/>
        <v>0</v>
      </c>
      <c r="AD419" s="8">
        <f t="shared" si="80"/>
        <v>1560</v>
      </c>
      <c r="AE419" s="8">
        <f t="shared" si="81"/>
        <v>1045.1999999999998</v>
      </c>
      <c r="AF419" s="8">
        <f t="shared" si="82"/>
        <v>514.80000000000018</v>
      </c>
      <c r="AG419" s="9">
        <f t="shared" si="83"/>
        <v>0.33000000000000013</v>
      </c>
      <c r="AH419" s="10">
        <f t="shared" si="84"/>
        <v>2025</v>
      </c>
      <c r="AI419" s="10">
        <f t="shared" si="85"/>
        <v>8</v>
      </c>
      <c r="AJ419" s="10" t="str">
        <f t="shared" si="86"/>
        <v>2025-08</v>
      </c>
      <c r="AK419" s="10" t="str">
        <f t="shared" si="87"/>
        <v>T3</v>
      </c>
      <c r="AL419" s="10" t="str">
        <f t="shared" si="88"/>
        <v>30-39</v>
      </c>
      <c r="AM419" s="10" t="str">
        <f t="shared" si="89"/>
        <v>faible</v>
      </c>
      <c r="AN419" s="10" t="s">
        <v>2837</v>
      </c>
      <c r="AO419" s="10" t="str">
        <f t="shared" si="90"/>
        <v>Elevée</v>
      </c>
    </row>
    <row r="420" spans="1:41">
      <c r="A420" t="s">
        <v>1432</v>
      </c>
      <c r="B420" s="2">
        <v>45973</v>
      </c>
      <c r="C420" t="s">
        <v>1433</v>
      </c>
      <c r="D420" t="s">
        <v>60</v>
      </c>
      <c r="E420" t="s">
        <v>129</v>
      </c>
      <c r="F420" t="s">
        <v>429</v>
      </c>
      <c r="G420">
        <v>3</v>
      </c>
      <c r="H420" s="4">
        <v>180</v>
      </c>
      <c r="I420" s="3">
        <v>0</v>
      </c>
      <c r="J420" t="s">
        <v>63</v>
      </c>
      <c r="K420" t="s">
        <v>46</v>
      </c>
      <c r="L420" t="s">
        <v>1434</v>
      </c>
      <c r="M420" t="s">
        <v>79</v>
      </c>
      <c r="N420" t="s">
        <v>255</v>
      </c>
      <c r="O420" t="s">
        <v>66</v>
      </c>
      <c r="P420" t="s">
        <v>67</v>
      </c>
      <c r="Q420" t="s">
        <v>52</v>
      </c>
      <c r="R420" t="s">
        <v>134</v>
      </c>
      <c r="S420" t="s">
        <v>123</v>
      </c>
      <c r="T420" t="s">
        <v>431</v>
      </c>
      <c r="U420" s="5">
        <v>48</v>
      </c>
      <c r="V420" s="5" t="s">
        <v>56</v>
      </c>
      <c r="W420" s="5">
        <v>46</v>
      </c>
      <c r="X420" s="5">
        <v>5.0999999999999996</v>
      </c>
      <c r="Y420" s="5">
        <v>6</v>
      </c>
      <c r="Z420" s="5" t="s">
        <v>57</v>
      </c>
      <c r="AA420" s="6">
        <v>129.6</v>
      </c>
      <c r="AB420" s="8">
        <f t="shared" si="78"/>
        <v>540</v>
      </c>
      <c r="AC420" s="8">
        <f t="shared" si="79"/>
        <v>0</v>
      </c>
      <c r="AD420" s="8">
        <f t="shared" si="80"/>
        <v>540</v>
      </c>
      <c r="AE420" s="8">
        <f t="shared" si="81"/>
        <v>388.79999999999995</v>
      </c>
      <c r="AF420" s="8">
        <f t="shared" si="82"/>
        <v>151.20000000000005</v>
      </c>
      <c r="AG420" s="9">
        <f t="shared" si="83"/>
        <v>0.28000000000000008</v>
      </c>
      <c r="AH420" s="10">
        <f t="shared" si="84"/>
        <v>2025</v>
      </c>
      <c r="AI420" s="10">
        <f t="shared" si="85"/>
        <v>11</v>
      </c>
      <c r="AJ420" s="10" t="str">
        <f t="shared" si="86"/>
        <v>2025-11</v>
      </c>
      <c r="AK420" s="10" t="str">
        <f t="shared" si="87"/>
        <v>T4</v>
      </c>
      <c r="AL420" s="10" t="str">
        <f t="shared" si="88"/>
        <v>40-49</v>
      </c>
      <c r="AM420" s="10" t="str">
        <f t="shared" si="89"/>
        <v>moyen</v>
      </c>
      <c r="AN420" s="10" t="s">
        <v>2839</v>
      </c>
      <c r="AO420" s="10" t="str">
        <f t="shared" si="90"/>
        <v>Moyenne</v>
      </c>
    </row>
    <row r="421" spans="1:41">
      <c r="A421" t="s">
        <v>1435</v>
      </c>
      <c r="B421" s="2">
        <v>45927</v>
      </c>
      <c r="C421" t="s">
        <v>232</v>
      </c>
      <c r="D421" t="s">
        <v>181</v>
      </c>
      <c r="E421" t="s">
        <v>139</v>
      </c>
      <c r="F421" t="s">
        <v>334</v>
      </c>
      <c r="G421">
        <v>1</v>
      </c>
      <c r="H421" s="4">
        <v>145</v>
      </c>
      <c r="I421" s="3">
        <v>0.05</v>
      </c>
      <c r="J421" t="s">
        <v>77</v>
      </c>
      <c r="K421" t="s">
        <v>46</v>
      </c>
      <c r="L421" t="s">
        <v>234</v>
      </c>
      <c r="M421" t="s">
        <v>54</v>
      </c>
      <c r="N421" t="s">
        <v>101</v>
      </c>
      <c r="O421" t="s">
        <v>184</v>
      </c>
      <c r="P421" t="s">
        <v>103</v>
      </c>
      <c r="Q421" t="s">
        <v>52</v>
      </c>
      <c r="R421" t="s">
        <v>144</v>
      </c>
      <c r="S421" t="s">
        <v>65</v>
      </c>
      <c r="T421" t="s">
        <v>337</v>
      </c>
      <c r="U421" s="5">
        <v>33</v>
      </c>
      <c r="V421" s="5" t="s">
        <v>56</v>
      </c>
      <c r="W421" s="5">
        <v>33</v>
      </c>
      <c r="X421" s="5">
        <v>6</v>
      </c>
      <c r="Y421" s="5">
        <v>4</v>
      </c>
      <c r="Z421" s="5" t="s">
        <v>117</v>
      </c>
      <c r="AA421" s="6">
        <v>97.15</v>
      </c>
      <c r="AB421" s="8">
        <f t="shared" si="78"/>
        <v>145</v>
      </c>
      <c r="AC421" s="8">
        <f t="shared" si="79"/>
        <v>7.25</v>
      </c>
      <c r="AD421" s="8">
        <f t="shared" si="80"/>
        <v>137.75</v>
      </c>
      <c r="AE421" s="8">
        <f t="shared" si="81"/>
        <v>97.15</v>
      </c>
      <c r="AF421" s="8">
        <f t="shared" si="82"/>
        <v>40.599999999999994</v>
      </c>
      <c r="AG421" s="9">
        <f t="shared" si="83"/>
        <v>0.29473684210526313</v>
      </c>
      <c r="AH421" s="10">
        <f t="shared" si="84"/>
        <v>2025</v>
      </c>
      <c r="AI421" s="10">
        <f t="shared" si="85"/>
        <v>9</v>
      </c>
      <c r="AJ421" s="10" t="str">
        <f t="shared" si="86"/>
        <v>2025-09</v>
      </c>
      <c r="AK421" s="10" t="str">
        <f t="shared" si="87"/>
        <v>T3</v>
      </c>
      <c r="AL421" s="10" t="str">
        <f t="shared" si="88"/>
        <v>30-39</v>
      </c>
      <c r="AM421" s="10" t="str">
        <f t="shared" si="89"/>
        <v>moyen</v>
      </c>
      <c r="AN421" s="10" t="s">
        <v>2839</v>
      </c>
      <c r="AO421" s="10" t="str">
        <f t="shared" si="90"/>
        <v>Faible</v>
      </c>
    </row>
    <row r="422" spans="1:41">
      <c r="A422" t="s">
        <v>1436</v>
      </c>
      <c r="B422" s="2">
        <v>45664</v>
      </c>
      <c r="C422" t="s">
        <v>1437</v>
      </c>
      <c r="D422" t="s">
        <v>340</v>
      </c>
      <c r="E422" t="s">
        <v>207</v>
      </c>
      <c r="F422" t="s">
        <v>121</v>
      </c>
      <c r="G422">
        <v>3</v>
      </c>
      <c r="H422" s="4">
        <v>22</v>
      </c>
      <c r="I422" s="3">
        <v>0</v>
      </c>
      <c r="J422" t="s">
        <v>77</v>
      </c>
      <c r="K422" t="s">
        <v>46</v>
      </c>
      <c r="L422" t="s">
        <v>1438</v>
      </c>
      <c r="M422" t="s">
        <v>54</v>
      </c>
      <c r="N422" t="s">
        <v>112</v>
      </c>
      <c r="O422" t="s">
        <v>342</v>
      </c>
      <c r="P422" t="s">
        <v>103</v>
      </c>
      <c r="Q422" t="s">
        <v>143</v>
      </c>
      <c r="R422" t="s">
        <v>210</v>
      </c>
      <c r="S422" t="s">
        <v>79</v>
      </c>
      <c r="T422" t="s">
        <v>125</v>
      </c>
      <c r="U422" s="5">
        <v>24</v>
      </c>
      <c r="V422" s="5" t="s">
        <v>85</v>
      </c>
      <c r="W422" s="5">
        <v>38</v>
      </c>
      <c r="X422" s="5">
        <v>5</v>
      </c>
      <c r="Y422" s="5">
        <v>8</v>
      </c>
      <c r="Z422" s="5" t="s">
        <v>94</v>
      </c>
      <c r="AA422" s="6">
        <v>14.96</v>
      </c>
      <c r="AB422" s="8">
        <f t="shared" si="78"/>
        <v>66</v>
      </c>
      <c r="AC422" s="8">
        <f t="shared" si="79"/>
        <v>0</v>
      </c>
      <c r="AD422" s="8">
        <f t="shared" si="80"/>
        <v>66</v>
      </c>
      <c r="AE422" s="8">
        <f t="shared" si="81"/>
        <v>44.88</v>
      </c>
      <c r="AF422" s="8">
        <f t="shared" si="82"/>
        <v>21.119999999999997</v>
      </c>
      <c r="AG422" s="9">
        <f t="shared" si="83"/>
        <v>0.31999999999999995</v>
      </c>
      <c r="AH422" s="10">
        <f t="shared" si="84"/>
        <v>2025</v>
      </c>
      <c r="AI422" s="10">
        <f t="shared" si="85"/>
        <v>1</v>
      </c>
      <c r="AJ422" s="10" t="str">
        <f t="shared" si="86"/>
        <v>2025-01</v>
      </c>
      <c r="AK422" s="10" t="str">
        <f t="shared" si="87"/>
        <v>T1</v>
      </c>
      <c r="AL422" s="10" t="str">
        <f t="shared" si="88"/>
        <v>22-29</v>
      </c>
      <c r="AM422" s="10" t="str">
        <f t="shared" si="89"/>
        <v>moyen</v>
      </c>
      <c r="AN422" s="10" t="s">
        <v>2837</v>
      </c>
      <c r="AO422" s="10" t="str">
        <f t="shared" si="90"/>
        <v>Faible</v>
      </c>
    </row>
    <row r="423" spans="1:41">
      <c r="A423" t="s">
        <v>1439</v>
      </c>
      <c r="B423" s="2">
        <v>45978</v>
      </c>
      <c r="C423" t="s">
        <v>1440</v>
      </c>
      <c r="D423" t="s">
        <v>188</v>
      </c>
      <c r="E423" t="s">
        <v>109</v>
      </c>
      <c r="F423" t="s">
        <v>467</v>
      </c>
      <c r="G423">
        <v>1</v>
      </c>
      <c r="H423" s="4">
        <v>350</v>
      </c>
      <c r="I423" s="3">
        <v>0.05</v>
      </c>
      <c r="J423" t="s">
        <v>90</v>
      </c>
      <c r="K423" t="s">
        <v>46</v>
      </c>
      <c r="L423" t="s">
        <v>1441</v>
      </c>
      <c r="M423" t="s">
        <v>123</v>
      </c>
      <c r="N423" t="s">
        <v>49</v>
      </c>
      <c r="O423" t="s">
        <v>192</v>
      </c>
      <c r="P423" t="s">
        <v>51</v>
      </c>
      <c r="Q423" t="s">
        <v>114</v>
      </c>
      <c r="R423" t="s">
        <v>115</v>
      </c>
      <c r="S423" t="s">
        <v>65</v>
      </c>
      <c r="T423" t="s">
        <v>469</v>
      </c>
      <c r="U423" s="5">
        <v>58</v>
      </c>
      <c r="V423" s="5" t="s">
        <v>85</v>
      </c>
      <c r="W423" s="5">
        <v>65</v>
      </c>
      <c r="X423" s="5">
        <v>8.9</v>
      </c>
      <c r="Y423" s="5">
        <v>1</v>
      </c>
      <c r="Z423" s="5" t="s">
        <v>94</v>
      </c>
      <c r="AA423" s="6">
        <v>213.5</v>
      </c>
      <c r="AB423" s="8">
        <f t="shared" si="78"/>
        <v>350</v>
      </c>
      <c r="AC423" s="8">
        <f t="shared" si="79"/>
        <v>17.5</v>
      </c>
      <c r="AD423" s="8">
        <f t="shared" si="80"/>
        <v>332.5</v>
      </c>
      <c r="AE423" s="8">
        <f t="shared" si="81"/>
        <v>213.5</v>
      </c>
      <c r="AF423" s="8">
        <f t="shared" si="82"/>
        <v>119</v>
      </c>
      <c r="AG423" s="9">
        <f t="shared" si="83"/>
        <v>0.35789473684210527</v>
      </c>
      <c r="AH423" s="10">
        <f t="shared" si="84"/>
        <v>2025</v>
      </c>
      <c r="AI423" s="10">
        <f t="shared" si="85"/>
        <v>11</v>
      </c>
      <c r="AJ423" s="10" t="str">
        <f t="shared" si="86"/>
        <v>2025-11</v>
      </c>
      <c r="AK423" s="10" t="str">
        <f t="shared" si="87"/>
        <v>T4</v>
      </c>
      <c r="AL423" s="10" t="str">
        <f t="shared" si="88"/>
        <v>50+</v>
      </c>
      <c r="AM423" s="10" t="str">
        <f t="shared" si="89"/>
        <v>bon</v>
      </c>
      <c r="AN423" s="10" t="s">
        <v>2838</v>
      </c>
      <c r="AO423" s="10" t="str">
        <f t="shared" si="90"/>
        <v>Faible</v>
      </c>
    </row>
    <row r="424" spans="1:41">
      <c r="A424" t="s">
        <v>1442</v>
      </c>
      <c r="B424" s="2">
        <v>45900</v>
      </c>
      <c r="C424" t="s">
        <v>1443</v>
      </c>
      <c r="D424" t="s">
        <v>155</v>
      </c>
      <c r="E424" t="s">
        <v>277</v>
      </c>
      <c r="F424" t="s">
        <v>968</v>
      </c>
      <c r="G424">
        <v>4</v>
      </c>
      <c r="H424" s="4">
        <v>48</v>
      </c>
      <c r="I424" s="3">
        <v>0.08</v>
      </c>
      <c r="J424" t="s">
        <v>90</v>
      </c>
      <c r="K424" t="s">
        <v>46</v>
      </c>
      <c r="L424" t="s">
        <v>1444</v>
      </c>
      <c r="M424" t="s">
        <v>123</v>
      </c>
      <c r="N424" t="s">
        <v>255</v>
      </c>
      <c r="O424" t="s">
        <v>158</v>
      </c>
      <c r="P424" t="s">
        <v>51</v>
      </c>
      <c r="Q424" t="s">
        <v>143</v>
      </c>
      <c r="R424" t="s">
        <v>279</v>
      </c>
      <c r="S424" t="s">
        <v>54</v>
      </c>
      <c r="T424" t="s">
        <v>970</v>
      </c>
      <c r="U424" s="5">
        <v>30</v>
      </c>
      <c r="V424" s="5" t="s">
        <v>56</v>
      </c>
      <c r="W424" s="5">
        <v>20</v>
      </c>
      <c r="X424" s="5">
        <v>5.6</v>
      </c>
      <c r="Y424" s="5">
        <v>7</v>
      </c>
      <c r="Z424" s="5" t="s">
        <v>94</v>
      </c>
      <c r="AA424" s="6">
        <v>37.44</v>
      </c>
      <c r="AB424" s="8">
        <f t="shared" si="78"/>
        <v>192</v>
      </c>
      <c r="AC424" s="8">
        <f t="shared" si="79"/>
        <v>15.36</v>
      </c>
      <c r="AD424" s="8">
        <f t="shared" si="80"/>
        <v>176.64</v>
      </c>
      <c r="AE424" s="8">
        <f t="shared" si="81"/>
        <v>149.76</v>
      </c>
      <c r="AF424" s="8">
        <f t="shared" si="82"/>
        <v>26.879999999999995</v>
      </c>
      <c r="AG424" s="9">
        <f t="shared" si="83"/>
        <v>0.15217391304347824</v>
      </c>
      <c r="AH424" s="10">
        <f t="shared" si="84"/>
        <v>2025</v>
      </c>
      <c r="AI424" s="10">
        <f t="shared" si="85"/>
        <v>8</v>
      </c>
      <c r="AJ424" s="10" t="str">
        <f t="shared" si="86"/>
        <v>2025-08</v>
      </c>
      <c r="AK424" s="10" t="str">
        <f t="shared" si="87"/>
        <v>T3</v>
      </c>
      <c r="AL424" s="10" t="str">
        <f t="shared" si="88"/>
        <v>30-39</v>
      </c>
      <c r="AM424" s="10" t="str">
        <f t="shared" si="89"/>
        <v>moyen</v>
      </c>
      <c r="AN424" s="10" t="s">
        <v>2837</v>
      </c>
      <c r="AO424" s="10" t="str">
        <f t="shared" si="90"/>
        <v>Faible</v>
      </c>
    </row>
    <row r="425" spans="1:41">
      <c r="A425" t="s">
        <v>1445</v>
      </c>
      <c r="B425" s="2">
        <v>45725</v>
      </c>
      <c r="C425" t="s">
        <v>1446</v>
      </c>
      <c r="D425" t="s">
        <v>42</v>
      </c>
      <c r="E425" t="s">
        <v>75</v>
      </c>
      <c r="F425" t="s">
        <v>548</v>
      </c>
      <c r="G425">
        <v>1</v>
      </c>
      <c r="H425" s="4">
        <v>260</v>
      </c>
      <c r="I425" s="3">
        <v>0.1</v>
      </c>
      <c r="J425" t="s">
        <v>90</v>
      </c>
      <c r="K425" t="s">
        <v>46</v>
      </c>
      <c r="L425" t="s">
        <v>1447</v>
      </c>
      <c r="M425" t="s">
        <v>54</v>
      </c>
      <c r="N425" t="s">
        <v>49</v>
      </c>
      <c r="O425" t="s">
        <v>50</v>
      </c>
      <c r="P425" t="s">
        <v>51</v>
      </c>
      <c r="Q425" t="s">
        <v>52</v>
      </c>
      <c r="R425" t="s">
        <v>83</v>
      </c>
      <c r="S425" t="s">
        <v>69</v>
      </c>
      <c r="T425" t="s">
        <v>550</v>
      </c>
      <c r="U425" s="5">
        <v>60</v>
      </c>
      <c r="V425" s="5" t="s">
        <v>56</v>
      </c>
      <c r="W425" s="5">
        <v>8</v>
      </c>
      <c r="X425" s="5">
        <v>5.2</v>
      </c>
      <c r="Y425" s="5">
        <v>7</v>
      </c>
      <c r="Z425" s="5" t="s">
        <v>117</v>
      </c>
      <c r="AA425" s="6">
        <v>189.8</v>
      </c>
      <c r="AB425" s="8">
        <f t="shared" si="78"/>
        <v>260</v>
      </c>
      <c r="AC425" s="8">
        <f t="shared" si="79"/>
        <v>26</v>
      </c>
      <c r="AD425" s="8">
        <f t="shared" si="80"/>
        <v>234</v>
      </c>
      <c r="AE425" s="8">
        <f t="shared" si="81"/>
        <v>189.8</v>
      </c>
      <c r="AF425" s="8">
        <f t="shared" si="82"/>
        <v>44.199999999999989</v>
      </c>
      <c r="AG425" s="9">
        <f t="shared" si="83"/>
        <v>0.18888888888888883</v>
      </c>
      <c r="AH425" s="10">
        <f t="shared" si="84"/>
        <v>2025</v>
      </c>
      <c r="AI425" s="10">
        <f t="shared" si="85"/>
        <v>3</v>
      </c>
      <c r="AJ425" s="10" t="str">
        <f t="shared" si="86"/>
        <v>2025-03</v>
      </c>
      <c r="AK425" s="10" t="str">
        <f t="shared" si="87"/>
        <v>T1</v>
      </c>
      <c r="AL425" s="10" t="str">
        <f t="shared" si="88"/>
        <v>50+</v>
      </c>
      <c r="AM425" s="10" t="str">
        <f t="shared" si="89"/>
        <v>moyen</v>
      </c>
      <c r="AN425" s="10" t="s">
        <v>2837</v>
      </c>
      <c r="AO425" s="10" t="str">
        <f t="shared" si="90"/>
        <v>Faible</v>
      </c>
    </row>
    <row r="426" spans="1:41">
      <c r="A426" t="s">
        <v>1448</v>
      </c>
      <c r="B426" s="2">
        <v>45936</v>
      </c>
      <c r="C426" t="s">
        <v>1449</v>
      </c>
      <c r="D426" t="s">
        <v>108</v>
      </c>
      <c r="E426" t="s">
        <v>345</v>
      </c>
      <c r="F426" t="s">
        <v>302</v>
      </c>
      <c r="G426">
        <v>1</v>
      </c>
      <c r="H426" s="4">
        <v>240</v>
      </c>
      <c r="I426" s="3">
        <v>0.1</v>
      </c>
      <c r="J426" t="s">
        <v>45</v>
      </c>
      <c r="K426" t="s">
        <v>46</v>
      </c>
      <c r="L426" t="s">
        <v>1450</v>
      </c>
      <c r="M426" t="s">
        <v>69</v>
      </c>
      <c r="N426" t="s">
        <v>101</v>
      </c>
      <c r="O426" t="s">
        <v>113</v>
      </c>
      <c r="P426" t="s">
        <v>82</v>
      </c>
      <c r="Q426" t="s">
        <v>114</v>
      </c>
      <c r="R426" t="s">
        <v>347</v>
      </c>
      <c r="S426" t="s">
        <v>54</v>
      </c>
      <c r="T426" t="s">
        <v>304</v>
      </c>
      <c r="U426" s="5">
        <v>31</v>
      </c>
      <c r="V426" s="5" t="s">
        <v>85</v>
      </c>
      <c r="W426" s="5">
        <v>47</v>
      </c>
      <c r="X426" s="5">
        <v>4.9000000000000004</v>
      </c>
      <c r="Y426" s="5">
        <v>7</v>
      </c>
      <c r="Z426" s="5" t="s">
        <v>94</v>
      </c>
      <c r="AA426" s="6">
        <v>177.6</v>
      </c>
      <c r="AB426" s="8">
        <f t="shared" si="78"/>
        <v>240</v>
      </c>
      <c r="AC426" s="8">
        <f t="shared" si="79"/>
        <v>24</v>
      </c>
      <c r="AD426" s="8">
        <f t="shared" si="80"/>
        <v>216</v>
      </c>
      <c r="AE426" s="8">
        <f t="shared" si="81"/>
        <v>177.6</v>
      </c>
      <c r="AF426" s="8">
        <f t="shared" si="82"/>
        <v>38.400000000000006</v>
      </c>
      <c r="AG426" s="9">
        <f t="shared" si="83"/>
        <v>0.17777777777777781</v>
      </c>
      <c r="AH426" s="10">
        <f t="shared" si="84"/>
        <v>2025</v>
      </c>
      <c r="AI426" s="10">
        <f t="shared" si="85"/>
        <v>10</v>
      </c>
      <c r="AJ426" s="10" t="str">
        <f t="shared" si="86"/>
        <v>2025-10</v>
      </c>
      <c r="AK426" s="10" t="str">
        <f t="shared" si="87"/>
        <v>T4</v>
      </c>
      <c r="AL426" s="10" t="str">
        <f t="shared" si="88"/>
        <v>30-39</v>
      </c>
      <c r="AM426" s="10" t="str">
        <f t="shared" si="89"/>
        <v>faible</v>
      </c>
      <c r="AN426" s="10" t="s">
        <v>2837</v>
      </c>
      <c r="AO426" s="10" t="str">
        <f t="shared" si="90"/>
        <v>Faible</v>
      </c>
    </row>
    <row r="427" spans="1:41">
      <c r="A427" t="s">
        <v>1451</v>
      </c>
      <c r="B427" s="2">
        <v>46021</v>
      </c>
      <c r="C427" t="s">
        <v>1452</v>
      </c>
      <c r="D427" t="s">
        <v>108</v>
      </c>
      <c r="E427" t="s">
        <v>189</v>
      </c>
      <c r="F427" t="s">
        <v>553</v>
      </c>
      <c r="G427">
        <v>1</v>
      </c>
      <c r="H427" s="4">
        <v>240</v>
      </c>
      <c r="I427" s="3">
        <v>0.05</v>
      </c>
      <c r="J427" t="s">
        <v>77</v>
      </c>
      <c r="K427" t="s">
        <v>46</v>
      </c>
      <c r="L427" t="s">
        <v>1453</v>
      </c>
      <c r="M427" t="s">
        <v>54</v>
      </c>
      <c r="N427" t="s">
        <v>49</v>
      </c>
      <c r="O427" t="s">
        <v>113</v>
      </c>
      <c r="P427" t="s">
        <v>82</v>
      </c>
      <c r="Q427" t="s">
        <v>114</v>
      </c>
      <c r="R427" t="s">
        <v>193</v>
      </c>
      <c r="S427" t="s">
        <v>79</v>
      </c>
      <c r="T427" t="s">
        <v>555</v>
      </c>
      <c r="U427" s="5">
        <v>52</v>
      </c>
      <c r="V427" s="5" t="s">
        <v>56</v>
      </c>
      <c r="W427" s="5">
        <v>26</v>
      </c>
      <c r="X427" s="5">
        <v>3.9</v>
      </c>
      <c r="Y427" s="5">
        <v>8</v>
      </c>
      <c r="Z427" s="5" t="s">
        <v>71</v>
      </c>
      <c r="AA427" s="6">
        <v>177.6</v>
      </c>
      <c r="AB427" s="8">
        <f t="shared" si="78"/>
        <v>240</v>
      </c>
      <c r="AC427" s="8">
        <f t="shared" si="79"/>
        <v>12</v>
      </c>
      <c r="AD427" s="8">
        <f t="shared" si="80"/>
        <v>228</v>
      </c>
      <c r="AE427" s="8">
        <f t="shared" si="81"/>
        <v>177.6</v>
      </c>
      <c r="AF427" s="8">
        <f t="shared" si="82"/>
        <v>50.400000000000006</v>
      </c>
      <c r="AG427" s="9">
        <f t="shared" si="83"/>
        <v>0.22105263157894739</v>
      </c>
      <c r="AH427" s="10">
        <f t="shared" si="84"/>
        <v>2025</v>
      </c>
      <c r="AI427" s="10">
        <f t="shared" si="85"/>
        <v>12</v>
      </c>
      <c r="AJ427" s="10" t="str">
        <f t="shared" si="86"/>
        <v>2025-12</v>
      </c>
      <c r="AK427" s="10" t="str">
        <f t="shared" si="87"/>
        <v>T4</v>
      </c>
      <c r="AL427" s="10" t="str">
        <f t="shared" si="88"/>
        <v>50+</v>
      </c>
      <c r="AM427" s="10" t="str">
        <f t="shared" si="89"/>
        <v>faible</v>
      </c>
      <c r="AN427" s="10" t="s">
        <v>2837</v>
      </c>
      <c r="AO427" s="10" t="str">
        <f t="shared" si="90"/>
        <v>Faible</v>
      </c>
    </row>
    <row r="428" spans="1:41">
      <c r="A428" t="s">
        <v>1454</v>
      </c>
      <c r="B428" s="2">
        <v>45756</v>
      </c>
      <c r="C428" t="s">
        <v>1389</v>
      </c>
      <c r="D428" t="s">
        <v>333</v>
      </c>
      <c r="E428" t="s">
        <v>219</v>
      </c>
      <c r="F428" t="s">
        <v>282</v>
      </c>
      <c r="G428">
        <v>5</v>
      </c>
      <c r="H428" s="4">
        <v>65</v>
      </c>
      <c r="I428" s="3">
        <v>0.05</v>
      </c>
      <c r="J428" t="s">
        <v>45</v>
      </c>
      <c r="K428" t="s">
        <v>46</v>
      </c>
      <c r="L428" t="s">
        <v>1390</v>
      </c>
      <c r="M428" t="s">
        <v>54</v>
      </c>
      <c r="N428" t="s">
        <v>101</v>
      </c>
      <c r="O428" t="s">
        <v>336</v>
      </c>
      <c r="P428" t="s">
        <v>51</v>
      </c>
      <c r="Q428" t="s">
        <v>52</v>
      </c>
      <c r="R428" t="s">
        <v>222</v>
      </c>
      <c r="S428" t="s">
        <v>123</v>
      </c>
      <c r="T428" t="s">
        <v>284</v>
      </c>
      <c r="U428" s="5">
        <v>27</v>
      </c>
      <c r="V428" s="5" t="s">
        <v>56</v>
      </c>
      <c r="W428" s="5">
        <v>41</v>
      </c>
      <c r="X428" s="5">
        <v>4.7</v>
      </c>
      <c r="Y428" s="5">
        <v>7</v>
      </c>
      <c r="Z428" s="5" t="s">
        <v>57</v>
      </c>
      <c r="AA428" s="6">
        <v>47.45</v>
      </c>
      <c r="AB428" s="8">
        <f t="shared" si="78"/>
        <v>325</v>
      </c>
      <c r="AC428" s="8">
        <f t="shared" si="79"/>
        <v>16.25</v>
      </c>
      <c r="AD428" s="8">
        <f t="shared" si="80"/>
        <v>308.75</v>
      </c>
      <c r="AE428" s="8">
        <f t="shared" si="81"/>
        <v>237.25</v>
      </c>
      <c r="AF428" s="8">
        <f t="shared" si="82"/>
        <v>71.5</v>
      </c>
      <c r="AG428" s="9">
        <f t="shared" si="83"/>
        <v>0.23157894736842105</v>
      </c>
      <c r="AH428" s="10">
        <f t="shared" si="84"/>
        <v>2025</v>
      </c>
      <c r="AI428" s="10">
        <f t="shared" si="85"/>
        <v>4</v>
      </c>
      <c r="AJ428" s="10" t="str">
        <f t="shared" si="86"/>
        <v>2025-04</v>
      </c>
      <c r="AK428" s="10" t="str">
        <f t="shared" si="87"/>
        <v>T2</v>
      </c>
      <c r="AL428" s="10" t="str">
        <f t="shared" si="88"/>
        <v>22-29</v>
      </c>
      <c r="AM428" s="10" t="str">
        <f t="shared" si="89"/>
        <v>faible</v>
      </c>
      <c r="AN428" s="10" t="s">
        <v>2837</v>
      </c>
      <c r="AO428" s="10" t="str">
        <f t="shared" si="90"/>
        <v>Faible</v>
      </c>
    </row>
    <row r="429" spans="1:41">
      <c r="A429" t="s">
        <v>1455</v>
      </c>
      <c r="B429" s="2">
        <v>45799</v>
      </c>
      <c r="C429" t="s">
        <v>1456</v>
      </c>
      <c r="D429" t="s">
        <v>128</v>
      </c>
      <c r="E429" t="s">
        <v>139</v>
      </c>
      <c r="F429" t="s">
        <v>413</v>
      </c>
      <c r="G429">
        <v>3</v>
      </c>
      <c r="H429" s="4">
        <v>190</v>
      </c>
      <c r="I429" s="3">
        <v>0.08</v>
      </c>
      <c r="J429" t="s">
        <v>63</v>
      </c>
      <c r="K429" t="s">
        <v>46</v>
      </c>
      <c r="L429" t="s">
        <v>1457</v>
      </c>
      <c r="M429" t="s">
        <v>48</v>
      </c>
      <c r="N429" t="s">
        <v>101</v>
      </c>
      <c r="O429" t="s">
        <v>132</v>
      </c>
      <c r="P429" t="s">
        <v>133</v>
      </c>
      <c r="Q429" t="s">
        <v>52</v>
      </c>
      <c r="R429" t="s">
        <v>144</v>
      </c>
      <c r="S429" t="s">
        <v>65</v>
      </c>
      <c r="T429" t="s">
        <v>415</v>
      </c>
      <c r="U429" s="5">
        <v>38</v>
      </c>
      <c r="V429" s="5" t="s">
        <v>85</v>
      </c>
      <c r="W429" s="5">
        <v>72</v>
      </c>
      <c r="X429" s="5">
        <v>4.5</v>
      </c>
      <c r="Y429" s="5">
        <v>7</v>
      </c>
      <c r="Z429" s="5" t="s">
        <v>117</v>
      </c>
      <c r="AA429" s="6">
        <v>148.19999999999999</v>
      </c>
      <c r="AB429" s="8">
        <f t="shared" si="78"/>
        <v>570</v>
      </c>
      <c r="AC429" s="8">
        <f t="shared" si="79"/>
        <v>45.6</v>
      </c>
      <c r="AD429" s="8">
        <f t="shared" si="80"/>
        <v>524.4</v>
      </c>
      <c r="AE429" s="8">
        <f t="shared" si="81"/>
        <v>444.59999999999997</v>
      </c>
      <c r="AF429" s="8">
        <f t="shared" si="82"/>
        <v>79.800000000000011</v>
      </c>
      <c r="AG429" s="9">
        <f t="shared" si="83"/>
        <v>0.1521739130434783</v>
      </c>
      <c r="AH429" s="10">
        <f t="shared" si="84"/>
        <v>2025</v>
      </c>
      <c r="AI429" s="10">
        <f t="shared" si="85"/>
        <v>5</v>
      </c>
      <c r="AJ429" s="10" t="str">
        <f t="shared" si="86"/>
        <v>2025-05</v>
      </c>
      <c r="AK429" s="10" t="str">
        <f t="shared" si="87"/>
        <v>T2</v>
      </c>
      <c r="AL429" s="10" t="str">
        <f t="shared" si="88"/>
        <v>30-39</v>
      </c>
      <c r="AM429" s="10" t="str">
        <f t="shared" si="89"/>
        <v>faible</v>
      </c>
      <c r="AN429" s="10" t="s">
        <v>2837</v>
      </c>
      <c r="AO429" s="10" t="str">
        <f t="shared" si="90"/>
        <v>Moyenne</v>
      </c>
    </row>
    <row r="430" spans="1:41">
      <c r="A430" t="s">
        <v>1458</v>
      </c>
      <c r="B430" s="2">
        <v>45837</v>
      </c>
      <c r="C430" t="s">
        <v>1459</v>
      </c>
      <c r="D430" t="s">
        <v>74</v>
      </c>
      <c r="E430" t="s">
        <v>109</v>
      </c>
      <c r="F430" t="s">
        <v>130</v>
      </c>
      <c r="G430">
        <v>1</v>
      </c>
      <c r="H430" s="4">
        <v>95</v>
      </c>
      <c r="I430" s="3">
        <v>0.02</v>
      </c>
      <c r="J430" t="s">
        <v>90</v>
      </c>
      <c r="K430" t="s">
        <v>46</v>
      </c>
      <c r="L430" t="s">
        <v>1460</v>
      </c>
      <c r="M430" t="s">
        <v>79</v>
      </c>
      <c r="N430" t="s">
        <v>101</v>
      </c>
      <c r="O430" t="s">
        <v>81</v>
      </c>
      <c r="P430" t="s">
        <v>82</v>
      </c>
      <c r="Q430" t="s">
        <v>52</v>
      </c>
      <c r="R430" t="s">
        <v>115</v>
      </c>
      <c r="S430" t="s">
        <v>65</v>
      </c>
      <c r="T430" t="s">
        <v>135</v>
      </c>
      <c r="U430" s="5">
        <v>43</v>
      </c>
      <c r="V430" s="5" t="s">
        <v>85</v>
      </c>
      <c r="W430" s="5">
        <v>52</v>
      </c>
      <c r="X430" s="5">
        <v>8</v>
      </c>
      <c r="Y430" s="5">
        <v>1</v>
      </c>
      <c r="Z430" s="5" t="s">
        <v>57</v>
      </c>
      <c r="AA430" s="6">
        <v>70.3</v>
      </c>
      <c r="AB430" s="8">
        <f t="shared" si="78"/>
        <v>95</v>
      </c>
      <c r="AC430" s="8">
        <f t="shared" si="79"/>
        <v>1.9000000000000001</v>
      </c>
      <c r="AD430" s="8">
        <f t="shared" si="80"/>
        <v>93.1</v>
      </c>
      <c r="AE430" s="8">
        <f t="shared" si="81"/>
        <v>70.3</v>
      </c>
      <c r="AF430" s="8">
        <f t="shared" si="82"/>
        <v>22.799999999999997</v>
      </c>
      <c r="AG430" s="9">
        <f t="shared" si="83"/>
        <v>0.24489795918367346</v>
      </c>
      <c r="AH430" s="10">
        <f t="shared" si="84"/>
        <v>2025</v>
      </c>
      <c r="AI430" s="10">
        <f t="shared" si="85"/>
        <v>6</v>
      </c>
      <c r="AJ430" s="10" t="str">
        <f t="shared" si="86"/>
        <v>2025-06</v>
      </c>
      <c r="AK430" s="10" t="str">
        <f t="shared" si="87"/>
        <v>T2</v>
      </c>
      <c r="AL430" s="10" t="str">
        <f t="shared" si="88"/>
        <v>40-49</v>
      </c>
      <c r="AM430" s="10" t="str">
        <f t="shared" si="89"/>
        <v>bon</v>
      </c>
      <c r="AN430" s="10" t="s">
        <v>2838</v>
      </c>
      <c r="AO430" s="10" t="str">
        <f t="shared" si="90"/>
        <v>Faible</v>
      </c>
    </row>
    <row r="431" spans="1:41">
      <c r="A431" t="s">
        <v>1461</v>
      </c>
      <c r="B431" s="2">
        <v>45704</v>
      </c>
      <c r="C431" t="s">
        <v>1462</v>
      </c>
      <c r="D431" t="s">
        <v>174</v>
      </c>
      <c r="E431" t="s">
        <v>345</v>
      </c>
      <c r="F431" t="s">
        <v>121</v>
      </c>
      <c r="G431">
        <v>1</v>
      </c>
      <c r="H431" s="4">
        <v>780</v>
      </c>
      <c r="I431" s="3">
        <v>0</v>
      </c>
      <c r="J431" t="s">
        <v>45</v>
      </c>
      <c r="K431" t="s">
        <v>46</v>
      </c>
      <c r="L431" t="s">
        <v>1463</v>
      </c>
      <c r="M431" t="s">
        <v>123</v>
      </c>
      <c r="N431" t="s">
        <v>101</v>
      </c>
      <c r="O431" t="s">
        <v>177</v>
      </c>
      <c r="P431" t="s">
        <v>103</v>
      </c>
      <c r="Q431" t="s">
        <v>114</v>
      </c>
      <c r="R431" t="s">
        <v>347</v>
      </c>
      <c r="S431" t="s">
        <v>54</v>
      </c>
      <c r="T431" t="s">
        <v>125</v>
      </c>
      <c r="U431" s="5">
        <v>47</v>
      </c>
      <c r="V431" s="5" t="s">
        <v>85</v>
      </c>
      <c r="W431" s="5">
        <v>23</v>
      </c>
      <c r="X431" s="5">
        <v>6.7</v>
      </c>
      <c r="Y431" s="5">
        <v>4</v>
      </c>
      <c r="Z431" s="5" t="s">
        <v>57</v>
      </c>
      <c r="AA431" s="6">
        <v>468</v>
      </c>
      <c r="AB431" s="8">
        <f t="shared" si="78"/>
        <v>780</v>
      </c>
      <c r="AC431" s="8">
        <f t="shared" si="79"/>
        <v>0</v>
      </c>
      <c r="AD431" s="8">
        <f t="shared" si="80"/>
        <v>780</v>
      </c>
      <c r="AE431" s="8">
        <f t="shared" si="81"/>
        <v>468</v>
      </c>
      <c r="AF431" s="8">
        <f t="shared" si="82"/>
        <v>312</v>
      </c>
      <c r="AG431" s="9">
        <f t="shared" si="83"/>
        <v>0.4</v>
      </c>
      <c r="AH431" s="10">
        <f t="shared" si="84"/>
        <v>2025</v>
      </c>
      <c r="AI431" s="10">
        <f t="shared" si="85"/>
        <v>2</v>
      </c>
      <c r="AJ431" s="10" t="str">
        <f t="shared" si="86"/>
        <v>2025-02</v>
      </c>
      <c r="AK431" s="10" t="str">
        <f t="shared" si="87"/>
        <v>T1</v>
      </c>
      <c r="AL431" s="10" t="str">
        <f t="shared" si="88"/>
        <v>40-49</v>
      </c>
      <c r="AM431" s="10" t="str">
        <f t="shared" si="89"/>
        <v>moyen</v>
      </c>
      <c r="AN431" s="10" t="s">
        <v>2839</v>
      </c>
      <c r="AO431" s="10" t="str">
        <f t="shared" si="90"/>
        <v>Moyenne</v>
      </c>
    </row>
    <row r="432" spans="1:41">
      <c r="A432" t="s">
        <v>1464</v>
      </c>
      <c r="B432" s="2">
        <v>45984</v>
      </c>
      <c r="C432" t="s">
        <v>1465</v>
      </c>
      <c r="D432" t="s">
        <v>128</v>
      </c>
      <c r="E432" t="s">
        <v>120</v>
      </c>
      <c r="F432" t="s">
        <v>429</v>
      </c>
      <c r="G432">
        <v>2</v>
      </c>
      <c r="H432" s="4">
        <v>190</v>
      </c>
      <c r="I432" s="3">
        <v>0</v>
      </c>
      <c r="J432" t="s">
        <v>45</v>
      </c>
      <c r="K432" t="s">
        <v>46</v>
      </c>
      <c r="L432" t="s">
        <v>1466</v>
      </c>
      <c r="M432" t="s">
        <v>48</v>
      </c>
      <c r="N432" t="s">
        <v>49</v>
      </c>
      <c r="O432" t="s">
        <v>132</v>
      </c>
      <c r="P432" t="s">
        <v>133</v>
      </c>
      <c r="Q432" t="s">
        <v>52</v>
      </c>
      <c r="R432" t="s">
        <v>124</v>
      </c>
      <c r="S432" t="s">
        <v>48</v>
      </c>
      <c r="T432" t="s">
        <v>431</v>
      </c>
      <c r="U432" s="5">
        <v>42</v>
      </c>
      <c r="V432" s="5" t="s">
        <v>56</v>
      </c>
      <c r="W432" s="5">
        <v>42</v>
      </c>
      <c r="X432" s="5">
        <v>8.9</v>
      </c>
      <c r="Y432" s="5">
        <v>1</v>
      </c>
      <c r="Z432" s="5" t="s">
        <v>94</v>
      </c>
      <c r="AA432" s="6">
        <v>148.19999999999999</v>
      </c>
      <c r="AB432" s="8">
        <f t="shared" si="78"/>
        <v>380</v>
      </c>
      <c r="AC432" s="8">
        <f t="shared" si="79"/>
        <v>0</v>
      </c>
      <c r="AD432" s="8">
        <f t="shared" si="80"/>
        <v>380</v>
      </c>
      <c r="AE432" s="8">
        <f t="shared" si="81"/>
        <v>296.39999999999998</v>
      </c>
      <c r="AF432" s="8">
        <f t="shared" si="82"/>
        <v>83.600000000000023</v>
      </c>
      <c r="AG432" s="9">
        <f t="shared" si="83"/>
        <v>0.22000000000000006</v>
      </c>
      <c r="AH432" s="10">
        <f t="shared" si="84"/>
        <v>2025</v>
      </c>
      <c r="AI432" s="10">
        <f t="shared" si="85"/>
        <v>11</v>
      </c>
      <c r="AJ432" s="10" t="str">
        <f t="shared" si="86"/>
        <v>2025-11</v>
      </c>
      <c r="AK432" s="10" t="str">
        <f t="shared" si="87"/>
        <v>T4</v>
      </c>
      <c r="AL432" s="10" t="str">
        <f t="shared" si="88"/>
        <v>40-49</v>
      </c>
      <c r="AM432" s="10" t="str">
        <f t="shared" si="89"/>
        <v>bon</v>
      </c>
      <c r="AN432" s="10" t="s">
        <v>2838</v>
      </c>
      <c r="AO432" s="10" t="str">
        <f t="shared" si="90"/>
        <v>Faible</v>
      </c>
    </row>
    <row r="433" spans="1:41">
      <c r="A433" t="s">
        <v>1467</v>
      </c>
      <c r="B433" s="2">
        <v>45852</v>
      </c>
      <c r="C433" t="s">
        <v>923</v>
      </c>
      <c r="D433" t="s">
        <v>42</v>
      </c>
      <c r="E433" t="s">
        <v>43</v>
      </c>
      <c r="F433" t="s">
        <v>197</v>
      </c>
      <c r="G433">
        <v>4</v>
      </c>
      <c r="H433" s="4">
        <v>260</v>
      </c>
      <c r="I433" s="3">
        <v>0</v>
      </c>
      <c r="J433" t="s">
        <v>77</v>
      </c>
      <c r="K433" t="s">
        <v>46</v>
      </c>
      <c r="L433" t="s">
        <v>924</v>
      </c>
      <c r="M433" t="s">
        <v>54</v>
      </c>
      <c r="N433" t="s">
        <v>112</v>
      </c>
      <c r="O433" t="s">
        <v>50</v>
      </c>
      <c r="P433" t="s">
        <v>51</v>
      </c>
      <c r="Q433" t="s">
        <v>52</v>
      </c>
      <c r="R433" t="s">
        <v>53</v>
      </c>
      <c r="S433" t="s">
        <v>54</v>
      </c>
      <c r="T433" t="s">
        <v>199</v>
      </c>
      <c r="U433" s="5">
        <v>53</v>
      </c>
      <c r="V433" s="5" t="s">
        <v>85</v>
      </c>
      <c r="W433" s="5">
        <v>28</v>
      </c>
      <c r="X433" s="5">
        <v>5.4</v>
      </c>
      <c r="Y433" s="5">
        <v>7</v>
      </c>
      <c r="Z433" s="5" t="s">
        <v>94</v>
      </c>
      <c r="AA433" s="6">
        <v>189.8</v>
      </c>
      <c r="AB433" s="8">
        <f t="shared" si="78"/>
        <v>1040</v>
      </c>
      <c r="AC433" s="8">
        <f t="shared" si="79"/>
        <v>0</v>
      </c>
      <c r="AD433" s="8">
        <f t="shared" si="80"/>
        <v>1040</v>
      </c>
      <c r="AE433" s="8">
        <f t="shared" si="81"/>
        <v>759.2</v>
      </c>
      <c r="AF433" s="8">
        <f t="shared" si="82"/>
        <v>280.79999999999995</v>
      </c>
      <c r="AG433" s="9">
        <f t="shared" si="83"/>
        <v>0.26999999999999996</v>
      </c>
      <c r="AH433" s="10">
        <f t="shared" si="84"/>
        <v>2025</v>
      </c>
      <c r="AI433" s="10">
        <f t="shared" si="85"/>
        <v>7</v>
      </c>
      <c r="AJ433" s="10" t="str">
        <f t="shared" si="86"/>
        <v>2025-07</v>
      </c>
      <c r="AK433" s="10" t="str">
        <f t="shared" si="87"/>
        <v>T3</v>
      </c>
      <c r="AL433" s="10" t="str">
        <f t="shared" si="88"/>
        <v>50+</v>
      </c>
      <c r="AM433" s="10" t="str">
        <f t="shared" si="89"/>
        <v>moyen</v>
      </c>
      <c r="AN433" s="10" t="s">
        <v>2837</v>
      </c>
      <c r="AO433" s="10" t="str">
        <f t="shared" si="90"/>
        <v>Elevée</v>
      </c>
    </row>
    <row r="434" spans="1:41">
      <c r="A434" t="s">
        <v>1468</v>
      </c>
      <c r="B434" s="2">
        <v>45908</v>
      </c>
      <c r="C434" t="s">
        <v>1469</v>
      </c>
      <c r="D434" t="s">
        <v>155</v>
      </c>
      <c r="E434" t="s">
        <v>109</v>
      </c>
      <c r="F434" t="s">
        <v>434</v>
      </c>
      <c r="G434">
        <v>2</v>
      </c>
      <c r="H434" s="4">
        <v>48</v>
      </c>
      <c r="I434" s="3">
        <v>0</v>
      </c>
      <c r="J434" t="s">
        <v>77</v>
      </c>
      <c r="K434" t="s">
        <v>46</v>
      </c>
      <c r="L434" t="s">
        <v>1470</v>
      </c>
      <c r="M434" t="s">
        <v>65</v>
      </c>
      <c r="N434" t="s">
        <v>112</v>
      </c>
      <c r="O434" t="s">
        <v>158</v>
      </c>
      <c r="P434" t="s">
        <v>51</v>
      </c>
      <c r="Q434" t="s">
        <v>143</v>
      </c>
      <c r="R434" t="s">
        <v>115</v>
      </c>
      <c r="S434" t="s">
        <v>65</v>
      </c>
      <c r="T434" t="s">
        <v>436</v>
      </c>
      <c r="U434" s="5">
        <v>40</v>
      </c>
      <c r="V434" s="5" t="s">
        <v>56</v>
      </c>
      <c r="W434" s="5">
        <v>41</v>
      </c>
      <c r="X434" s="5">
        <v>5.8</v>
      </c>
      <c r="Y434" s="5">
        <v>6</v>
      </c>
      <c r="Z434" s="5" t="s">
        <v>94</v>
      </c>
      <c r="AA434" s="6">
        <v>37.44</v>
      </c>
      <c r="AB434" s="8">
        <f t="shared" si="78"/>
        <v>96</v>
      </c>
      <c r="AC434" s="8">
        <f t="shared" si="79"/>
        <v>0</v>
      </c>
      <c r="AD434" s="8">
        <f t="shared" si="80"/>
        <v>96</v>
      </c>
      <c r="AE434" s="8">
        <f t="shared" si="81"/>
        <v>74.88</v>
      </c>
      <c r="AF434" s="8">
        <f t="shared" si="82"/>
        <v>21.120000000000005</v>
      </c>
      <c r="AG434" s="9">
        <f t="shared" si="83"/>
        <v>0.22000000000000006</v>
      </c>
      <c r="AH434" s="10">
        <f t="shared" si="84"/>
        <v>2025</v>
      </c>
      <c r="AI434" s="10">
        <f t="shared" si="85"/>
        <v>9</v>
      </c>
      <c r="AJ434" s="10" t="str">
        <f t="shared" si="86"/>
        <v>2025-09</v>
      </c>
      <c r="AK434" s="10" t="str">
        <f t="shared" si="87"/>
        <v>T3</v>
      </c>
      <c r="AL434" s="10" t="str">
        <f t="shared" si="88"/>
        <v>40-49</v>
      </c>
      <c r="AM434" s="10" t="str">
        <f t="shared" si="89"/>
        <v>moyen</v>
      </c>
      <c r="AN434" s="10" t="s">
        <v>2839</v>
      </c>
      <c r="AO434" s="10" t="str">
        <f t="shared" si="90"/>
        <v>Faible</v>
      </c>
    </row>
    <row r="435" spans="1:41">
      <c r="A435" t="s">
        <v>1471</v>
      </c>
      <c r="B435" s="2">
        <v>45833</v>
      </c>
      <c r="C435" t="s">
        <v>1174</v>
      </c>
      <c r="D435" t="s">
        <v>60</v>
      </c>
      <c r="E435" t="s">
        <v>43</v>
      </c>
      <c r="F435" t="s">
        <v>429</v>
      </c>
      <c r="G435">
        <v>3</v>
      </c>
      <c r="H435" s="4">
        <v>180</v>
      </c>
      <c r="I435" s="3">
        <v>0.05</v>
      </c>
      <c r="J435" t="s">
        <v>77</v>
      </c>
      <c r="K435" t="s">
        <v>46</v>
      </c>
      <c r="L435" t="s">
        <v>1175</v>
      </c>
      <c r="M435" t="s">
        <v>69</v>
      </c>
      <c r="N435" t="s">
        <v>101</v>
      </c>
      <c r="O435" t="s">
        <v>66</v>
      </c>
      <c r="P435" t="s">
        <v>67</v>
      </c>
      <c r="Q435" t="s">
        <v>52</v>
      </c>
      <c r="R435" t="s">
        <v>53</v>
      </c>
      <c r="S435" t="s">
        <v>54</v>
      </c>
      <c r="T435" t="s">
        <v>431</v>
      </c>
      <c r="U435" s="5">
        <v>28</v>
      </c>
      <c r="V435" s="5" t="s">
        <v>85</v>
      </c>
      <c r="W435" s="5">
        <v>18</v>
      </c>
      <c r="X435" s="5">
        <v>6.7</v>
      </c>
      <c r="Y435" s="5">
        <v>4</v>
      </c>
      <c r="Z435" s="5" t="s">
        <v>117</v>
      </c>
      <c r="AA435" s="6">
        <v>129.6</v>
      </c>
      <c r="AB435" s="8">
        <f t="shared" si="78"/>
        <v>540</v>
      </c>
      <c r="AC435" s="8">
        <f t="shared" si="79"/>
        <v>27</v>
      </c>
      <c r="AD435" s="8">
        <f t="shared" si="80"/>
        <v>513</v>
      </c>
      <c r="AE435" s="8">
        <f t="shared" si="81"/>
        <v>388.79999999999995</v>
      </c>
      <c r="AF435" s="8">
        <f t="shared" si="82"/>
        <v>124.20000000000005</v>
      </c>
      <c r="AG435" s="9">
        <f t="shared" si="83"/>
        <v>0.24210526315789482</v>
      </c>
      <c r="AH435" s="10">
        <f t="shared" si="84"/>
        <v>2025</v>
      </c>
      <c r="AI435" s="10">
        <f t="shared" si="85"/>
        <v>6</v>
      </c>
      <c r="AJ435" s="10" t="str">
        <f t="shared" si="86"/>
        <v>2025-06</v>
      </c>
      <c r="AK435" s="10" t="str">
        <f t="shared" si="87"/>
        <v>T2</v>
      </c>
      <c r="AL435" s="10" t="str">
        <f t="shared" si="88"/>
        <v>22-29</v>
      </c>
      <c r="AM435" s="10" t="str">
        <f t="shared" si="89"/>
        <v>moyen</v>
      </c>
      <c r="AN435" s="10" t="s">
        <v>2839</v>
      </c>
      <c r="AO435" s="10" t="str">
        <f t="shared" si="90"/>
        <v>Moyenne</v>
      </c>
    </row>
    <row r="436" spans="1:41">
      <c r="A436" t="s">
        <v>1472</v>
      </c>
      <c r="B436" s="2">
        <v>45791</v>
      </c>
      <c r="C436" t="s">
        <v>1228</v>
      </c>
      <c r="D436" t="s">
        <v>340</v>
      </c>
      <c r="E436" t="s">
        <v>88</v>
      </c>
      <c r="F436" t="s">
        <v>233</v>
      </c>
      <c r="G436">
        <v>1</v>
      </c>
      <c r="H436" s="4">
        <v>22</v>
      </c>
      <c r="I436" s="3">
        <v>0</v>
      </c>
      <c r="J436" t="s">
        <v>45</v>
      </c>
      <c r="K436" t="s">
        <v>46</v>
      </c>
      <c r="L436" t="s">
        <v>1229</v>
      </c>
      <c r="M436" t="s">
        <v>54</v>
      </c>
      <c r="N436" t="s">
        <v>112</v>
      </c>
      <c r="O436" t="s">
        <v>342</v>
      </c>
      <c r="P436" t="s">
        <v>103</v>
      </c>
      <c r="Q436" t="s">
        <v>143</v>
      </c>
      <c r="R436" t="s">
        <v>92</v>
      </c>
      <c r="S436" t="s">
        <v>48</v>
      </c>
      <c r="T436" t="s">
        <v>235</v>
      </c>
      <c r="U436" s="5">
        <v>29</v>
      </c>
      <c r="V436" s="5" t="s">
        <v>85</v>
      </c>
      <c r="W436" s="5">
        <v>46</v>
      </c>
      <c r="X436" s="5">
        <v>6</v>
      </c>
      <c r="Y436" s="5">
        <v>6</v>
      </c>
      <c r="Z436" s="5" t="s">
        <v>94</v>
      </c>
      <c r="AA436" s="6">
        <v>14.96</v>
      </c>
      <c r="AB436" s="8">
        <f t="shared" si="78"/>
        <v>22</v>
      </c>
      <c r="AC436" s="8">
        <f t="shared" si="79"/>
        <v>0</v>
      </c>
      <c r="AD436" s="8">
        <f t="shared" si="80"/>
        <v>22</v>
      </c>
      <c r="AE436" s="8">
        <f t="shared" si="81"/>
        <v>14.96</v>
      </c>
      <c r="AF436" s="8">
        <f t="shared" si="82"/>
        <v>7.0399999999999991</v>
      </c>
      <c r="AG436" s="9">
        <f t="shared" si="83"/>
        <v>0.31999999999999995</v>
      </c>
      <c r="AH436" s="10">
        <f t="shared" si="84"/>
        <v>2025</v>
      </c>
      <c r="AI436" s="10">
        <f t="shared" si="85"/>
        <v>5</v>
      </c>
      <c r="AJ436" s="10" t="str">
        <f t="shared" si="86"/>
        <v>2025-05</v>
      </c>
      <c r="AK436" s="10" t="str">
        <f t="shared" si="87"/>
        <v>T2</v>
      </c>
      <c r="AL436" s="10" t="str">
        <f t="shared" si="88"/>
        <v>22-29</v>
      </c>
      <c r="AM436" s="10" t="str">
        <f t="shared" si="89"/>
        <v>moyen</v>
      </c>
      <c r="AN436" s="10" t="s">
        <v>2839</v>
      </c>
      <c r="AO436" s="10" t="str">
        <f t="shared" si="90"/>
        <v>Faible</v>
      </c>
    </row>
    <row r="437" spans="1:41">
      <c r="A437" t="s">
        <v>1473</v>
      </c>
      <c r="B437" s="2">
        <v>45851</v>
      </c>
      <c r="C437" t="s">
        <v>1474</v>
      </c>
      <c r="D437" t="s">
        <v>108</v>
      </c>
      <c r="E437" t="s">
        <v>315</v>
      </c>
      <c r="F437" t="s">
        <v>44</v>
      </c>
      <c r="G437">
        <v>3</v>
      </c>
      <c r="H437" s="4">
        <v>240</v>
      </c>
      <c r="I437" s="3">
        <v>0</v>
      </c>
      <c r="J437" t="s">
        <v>77</v>
      </c>
      <c r="K437" t="s">
        <v>46</v>
      </c>
      <c r="L437" t="s">
        <v>1475</v>
      </c>
      <c r="M437" t="s">
        <v>65</v>
      </c>
      <c r="N437" t="s">
        <v>112</v>
      </c>
      <c r="O437" t="s">
        <v>113</v>
      </c>
      <c r="P437" t="s">
        <v>82</v>
      </c>
      <c r="Q437" t="s">
        <v>114</v>
      </c>
      <c r="R437" t="s">
        <v>317</v>
      </c>
      <c r="S437" t="s">
        <v>69</v>
      </c>
      <c r="T437" t="s">
        <v>55</v>
      </c>
      <c r="U437" s="5">
        <v>46</v>
      </c>
      <c r="V437" s="5" t="s">
        <v>56</v>
      </c>
      <c r="W437" s="5">
        <v>28</v>
      </c>
      <c r="X437" s="5">
        <v>6.2</v>
      </c>
      <c r="Y437" s="5">
        <v>6</v>
      </c>
      <c r="Z437" s="5" t="s">
        <v>71</v>
      </c>
      <c r="AA437" s="6">
        <v>177.6</v>
      </c>
      <c r="AB437" s="8">
        <f t="shared" si="78"/>
        <v>720</v>
      </c>
      <c r="AC437" s="8">
        <f t="shared" si="79"/>
        <v>0</v>
      </c>
      <c r="AD437" s="8">
        <f t="shared" si="80"/>
        <v>720</v>
      </c>
      <c r="AE437" s="8">
        <f t="shared" si="81"/>
        <v>532.79999999999995</v>
      </c>
      <c r="AF437" s="8">
        <f t="shared" si="82"/>
        <v>187.20000000000005</v>
      </c>
      <c r="AG437" s="9">
        <f t="shared" si="83"/>
        <v>0.26000000000000006</v>
      </c>
      <c r="AH437" s="10">
        <f t="shared" si="84"/>
        <v>2025</v>
      </c>
      <c r="AI437" s="10">
        <f t="shared" si="85"/>
        <v>7</v>
      </c>
      <c r="AJ437" s="10" t="str">
        <f t="shared" si="86"/>
        <v>2025-07</v>
      </c>
      <c r="AK437" s="10" t="str">
        <f t="shared" si="87"/>
        <v>T3</v>
      </c>
      <c r="AL437" s="10" t="str">
        <f t="shared" si="88"/>
        <v>40-49</v>
      </c>
      <c r="AM437" s="10" t="str">
        <f t="shared" si="89"/>
        <v>moyen</v>
      </c>
      <c r="AN437" s="10" t="s">
        <v>2839</v>
      </c>
      <c r="AO437" s="10" t="str">
        <f t="shared" si="90"/>
        <v>Moyenne</v>
      </c>
    </row>
    <row r="438" spans="1:41">
      <c r="A438" t="s">
        <v>1476</v>
      </c>
      <c r="B438" s="2">
        <v>45901</v>
      </c>
      <c r="C438" t="s">
        <v>1477</v>
      </c>
      <c r="D438" t="s">
        <v>138</v>
      </c>
      <c r="E438" t="s">
        <v>75</v>
      </c>
      <c r="F438" t="s">
        <v>369</v>
      </c>
      <c r="G438">
        <v>2</v>
      </c>
      <c r="H438" s="4">
        <v>120</v>
      </c>
      <c r="I438" s="3">
        <v>0.08</v>
      </c>
      <c r="J438" t="s">
        <v>90</v>
      </c>
      <c r="K438" t="s">
        <v>46</v>
      </c>
      <c r="L438" t="s">
        <v>1478</v>
      </c>
      <c r="M438" t="s">
        <v>69</v>
      </c>
      <c r="N438" t="s">
        <v>101</v>
      </c>
      <c r="O438" t="s">
        <v>142</v>
      </c>
      <c r="P438" t="s">
        <v>51</v>
      </c>
      <c r="Q438" t="s">
        <v>143</v>
      </c>
      <c r="R438" t="s">
        <v>83</v>
      </c>
      <c r="S438" t="s">
        <v>69</v>
      </c>
      <c r="T438" t="s">
        <v>371</v>
      </c>
      <c r="U438" s="5">
        <v>41</v>
      </c>
      <c r="V438" s="5" t="s">
        <v>56</v>
      </c>
      <c r="W438" s="5">
        <v>17</v>
      </c>
      <c r="X438" s="5">
        <v>8</v>
      </c>
      <c r="Y438" s="5">
        <v>1</v>
      </c>
      <c r="Z438" s="5" t="s">
        <v>57</v>
      </c>
      <c r="AA438" s="6">
        <v>73.2</v>
      </c>
      <c r="AB438" s="8">
        <f t="shared" si="78"/>
        <v>240</v>
      </c>
      <c r="AC438" s="8">
        <f t="shared" si="79"/>
        <v>19.2</v>
      </c>
      <c r="AD438" s="8">
        <f t="shared" si="80"/>
        <v>220.8</v>
      </c>
      <c r="AE438" s="8">
        <f t="shared" si="81"/>
        <v>146.4</v>
      </c>
      <c r="AF438" s="8">
        <f t="shared" si="82"/>
        <v>74.400000000000006</v>
      </c>
      <c r="AG438" s="9">
        <f t="shared" si="83"/>
        <v>0.33695652173913043</v>
      </c>
      <c r="AH438" s="10">
        <f t="shared" si="84"/>
        <v>2025</v>
      </c>
      <c r="AI438" s="10">
        <f t="shared" si="85"/>
        <v>9</v>
      </c>
      <c r="AJ438" s="10" t="str">
        <f t="shared" si="86"/>
        <v>2025-09</v>
      </c>
      <c r="AK438" s="10" t="str">
        <f t="shared" si="87"/>
        <v>T3</v>
      </c>
      <c r="AL438" s="10" t="str">
        <f t="shared" si="88"/>
        <v>40-49</v>
      </c>
      <c r="AM438" s="10" t="str">
        <f t="shared" si="89"/>
        <v>bon</v>
      </c>
      <c r="AN438" s="10" t="s">
        <v>2838</v>
      </c>
      <c r="AO438" s="10" t="str">
        <f t="shared" si="90"/>
        <v>Faible</v>
      </c>
    </row>
    <row r="439" spans="1:41">
      <c r="A439" t="s">
        <v>1479</v>
      </c>
      <c r="B439" s="2">
        <v>45937</v>
      </c>
      <c r="C439" t="s">
        <v>147</v>
      </c>
      <c r="D439" t="s">
        <v>74</v>
      </c>
      <c r="E439" t="s">
        <v>75</v>
      </c>
      <c r="F439" t="s">
        <v>233</v>
      </c>
      <c r="G439">
        <v>1</v>
      </c>
      <c r="H439" s="4">
        <v>95</v>
      </c>
      <c r="I439" s="3">
        <v>0</v>
      </c>
      <c r="J439" t="s">
        <v>63</v>
      </c>
      <c r="K439" t="s">
        <v>46</v>
      </c>
      <c r="L439" t="s">
        <v>150</v>
      </c>
      <c r="M439" t="s">
        <v>69</v>
      </c>
      <c r="N439" t="s">
        <v>101</v>
      </c>
      <c r="O439" t="s">
        <v>81</v>
      </c>
      <c r="P439" t="s">
        <v>82</v>
      </c>
      <c r="Q439" t="s">
        <v>52</v>
      </c>
      <c r="R439" t="s">
        <v>83</v>
      </c>
      <c r="S439" t="s">
        <v>69</v>
      </c>
      <c r="T439" t="s">
        <v>235</v>
      </c>
      <c r="U439" s="5">
        <v>33</v>
      </c>
      <c r="V439" s="5" t="s">
        <v>56</v>
      </c>
      <c r="W439" s="5">
        <v>43</v>
      </c>
      <c r="X439" s="5">
        <v>7.7</v>
      </c>
      <c r="Y439" s="5">
        <v>3</v>
      </c>
      <c r="Z439" s="5" t="s">
        <v>57</v>
      </c>
      <c r="AA439" s="6">
        <v>70.3</v>
      </c>
      <c r="AB439" s="8">
        <f t="shared" si="78"/>
        <v>95</v>
      </c>
      <c r="AC439" s="8">
        <f t="shared" si="79"/>
        <v>0</v>
      </c>
      <c r="AD439" s="8">
        <f t="shared" si="80"/>
        <v>95</v>
      </c>
      <c r="AE439" s="8">
        <f t="shared" si="81"/>
        <v>70.3</v>
      </c>
      <c r="AF439" s="8">
        <f t="shared" si="82"/>
        <v>24.700000000000003</v>
      </c>
      <c r="AG439" s="9">
        <f t="shared" si="83"/>
        <v>0.26</v>
      </c>
      <c r="AH439" s="10">
        <f t="shared" si="84"/>
        <v>2025</v>
      </c>
      <c r="AI439" s="10">
        <f t="shared" si="85"/>
        <v>10</v>
      </c>
      <c r="AJ439" s="10" t="str">
        <f t="shared" si="86"/>
        <v>2025-10</v>
      </c>
      <c r="AK439" s="10" t="str">
        <f t="shared" si="87"/>
        <v>T4</v>
      </c>
      <c r="AL439" s="10" t="str">
        <f t="shared" si="88"/>
        <v>30-39</v>
      </c>
      <c r="AM439" s="10" t="str">
        <f t="shared" si="89"/>
        <v>bon</v>
      </c>
      <c r="AN439" s="10" t="s">
        <v>2838</v>
      </c>
      <c r="AO439" s="10" t="str">
        <f t="shared" si="90"/>
        <v>Faible</v>
      </c>
    </row>
    <row r="440" spans="1:41">
      <c r="A440" t="s">
        <v>1480</v>
      </c>
      <c r="B440" s="2">
        <v>45782</v>
      </c>
      <c r="C440" t="s">
        <v>1481</v>
      </c>
      <c r="D440" t="s">
        <v>333</v>
      </c>
      <c r="E440" t="s">
        <v>226</v>
      </c>
      <c r="F440" t="s">
        <v>676</v>
      </c>
      <c r="G440">
        <v>1</v>
      </c>
      <c r="H440" s="4">
        <v>65</v>
      </c>
      <c r="I440" s="3">
        <v>0</v>
      </c>
      <c r="J440" t="s">
        <v>77</v>
      </c>
      <c r="K440" t="s">
        <v>46</v>
      </c>
      <c r="L440" t="s">
        <v>1482</v>
      </c>
      <c r="M440" t="s">
        <v>79</v>
      </c>
      <c r="N440" t="s">
        <v>112</v>
      </c>
      <c r="O440" t="s">
        <v>336</v>
      </c>
      <c r="P440" t="s">
        <v>51</v>
      </c>
      <c r="Q440" t="s">
        <v>52</v>
      </c>
      <c r="R440" t="s">
        <v>229</v>
      </c>
      <c r="S440" t="s">
        <v>48</v>
      </c>
      <c r="T440" t="s">
        <v>678</v>
      </c>
      <c r="U440" s="5">
        <v>46</v>
      </c>
      <c r="V440" s="5" t="s">
        <v>56</v>
      </c>
      <c r="W440" s="5">
        <v>29</v>
      </c>
      <c r="X440" s="5">
        <v>6.8</v>
      </c>
      <c r="Y440" s="5">
        <v>3</v>
      </c>
      <c r="Z440" s="5" t="s">
        <v>57</v>
      </c>
      <c r="AA440" s="6">
        <v>47.45</v>
      </c>
      <c r="AB440" s="8">
        <f t="shared" si="78"/>
        <v>65</v>
      </c>
      <c r="AC440" s="8">
        <f t="shared" si="79"/>
        <v>0</v>
      </c>
      <c r="AD440" s="8">
        <f t="shared" si="80"/>
        <v>65</v>
      </c>
      <c r="AE440" s="8">
        <f t="shared" si="81"/>
        <v>47.45</v>
      </c>
      <c r="AF440" s="8">
        <f t="shared" si="82"/>
        <v>17.549999999999997</v>
      </c>
      <c r="AG440" s="9">
        <f t="shared" si="83"/>
        <v>0.26999999999999996</v>
      </c>
      <c r="AH440" s="10">
        <f t="shared" si="84"/>
        <v>2025</v>
      </c>
      <c r="AI440" s="10">
        <f t="shared" si="85"/>
        <v>5</v>
      </c>
      <c r="AJ440" s="10" t="str">
        <f t="shared" si="86"/>
        <v>2025-05</v>
      </c>
      <c r="AK440" s="10" t="str">
        <f t="shared" si="87"/>
        <v>T2</v>
      </c>
      <c r="AL440" s="10" t="str">
        <f t="shared" si="88"/>
        <v>40-49</v>
      </c>
      <c r="AM440" s="10" t="str">
        <f t="shared" si="89"/>
        <v>moyen</v>
      </c>
      <c r="AN440" s="10" t="s">
        <v>2838</v>
      </c>
      <c r="AO440" s="10" t="str">
        <f t="shared" si="90"/>
        <v>Faible</v>
      </c>
    </row>
    <row r="441" spans="1:41">
      <c r="A441" t="s">
        <v>1483</v>
      </c>
      <c r="B441" s="2">
        <v>45777</v>
      </c>
      <c r="C441" t="s">
        <v>716</v>
      </c>
      <c r="D441" t="s">
        <v>74</v>
      </c>
      <c r="E441" t="s">
        <v>219</v>
      </c>
      <c r="F441" t="s">
        <v>323</v>
      </c>
      <c r="G441">
        <v>4</v>
      </c>
      <c r="H441" s="4">
        <v>95</v>
      </c>
      <c r="I441" s="3">
        <v>0.05</v>
      </c>
      <c r="J441" t="s">
        <v>90</v>
      </c>
      <c r="K441" t="s">
        <v>46</v>
      </c>
      <c r="L441" t="s">
        <v>717</v>
      </c>
      <c r="M441" t="s">
        <v>48</v>
      </c>
      <c r="N441" t="s">
        <v>101</v>
      </c>
      <c r="O441" t="s">
        <v>81</v>
      </c>
      <c r="P441" t="s">
        <v>82</v>
      </c>
      <c r="Q441" t="s">
        <v>52</v>
      </c>
      <c r="R441" t="s">
        <v>222</v>
      </c>
      <c r="S441" t="s">
        <v>123</v>
      </c>
      <c r="T441" t="s">
        <v>325</v>
      </c>
      <c r="U441" s="5">
        <v>29</v>
      </c>
      <c r="V441" s="5" t="s">
        <v>56</v>
      </c>
      <c r="W441" s="5">
        <v>14</v>
      </c>
      <c r="X441" s="5">
        <v>6.7</v>
      </c>
      <c r="Y441" s="5">
        <v>4</v>
      </c>
      <c r="Z441" s="5" t="s">
        <v>94</v>
      </c>
      <c r="AA441" s="6">
        <v>70.3</v>
      </c>
      <c r="AB441" s="8">
        <f t="shared" si="78"/>
        <v>380</v>
      </c>
      <c r="AC441" s="8">
        <f t="shared" si="79"/>
        <v>19</v>
      </c>
      <c r="AD441" s="8">
        <f t="shared" si="80"/>
        <v>361</v>
      </c>
      <c r="AE441" s="8">
        <f t="shared" si="81"/>
        <v>281.2</v>
      </c>
      <c r="AF441" s="8">
        <f t="shared" si="82"/>
        <v>79.800000000000011</v>
      </c>
      <c r="AG441" s="9">
        <f t="shared" si="83"/>
        <v>0.22105263157894739</v>
      </c>
      <c r="AH441" s="10">
        <f t="shared" si="84"/>
        <v>2025</v>
      </c>
      <c r="AI441" s="10">
        <f t="shared" si="85"/>
        <v>4</v>
      </c>
      <c r="AJ441" s="10" t="str">
        <f t="shared" si="86"/>
        <v>2025-04</v>
      </c>
      <c r="AK441" s="10" t="str">
        <f t="shared" si="87"/>
        <v>T2</v>
      </c>
      <c r="AL441" s="10" t="str">
        <f t="shared" si="88"/>
        <v>22-29</v>
      </c>
      <c r="AM441" s="10" t="str">
        <f t="shared" si="89"/>
        <v>moyen</v>
      </c>
      <c r="AN441" s="10" t="s">
        <v>2839</v>
      </c>
      <c r="AO441" s="10" t="str">
        <f t="shared" si="90"/>
        <v>Faible</v>
      </c>
    </row>
    <row r="442" spans="1:41">
      <c r="A442" t="s">
        <v>1484</v>
      </c>
      <c r="B442" s="2">
        <v>45685</v>
      </c>
      <c r="C442" t="s">
        <v>1485</v>
      </c>
      <c r="D442" t="s">
        <v>42</v>
      </c>
      <c r="E442" t="s">
        <v>189</v>
      </c>
      <c r="F442" t="s">
        <v>208</v>
      </c>
      <c r="G442">
        <v>10</v>
      </c>
      <c r="H442" s="4">
        <v>260</v>
      </c>
      <c r="I442" s="3">
        <v>0</v>
      </c>
      <c r="J442" t="s">
        <v>45</v>
      </c>
      <c r="K442" t="s">
        <v>46</v>
      </c>
      <c r="L442" t="s">
        <v>1486</v>
      </c>
      <c r="M442" t="s">
        <v>69</v>
      </c>
      <c r="N442" t="s">
        <v>101</v>
      </c>
      <c r="O442" t="s">
        <v>50</v>
      </c>
      <c r="P442" t="s">
        <v>51</v>
      </c>
      <c r="Q442" t="s">
        <v>52</v>
      </c>
      <c r="R442" t="s">
        <v>193</v>
      </c>
      <c r="S442" t="s">
        <v>79</v>
      </c>
      <c r="T442" t="s">
        <v>211</v>
      </c>
      <c r="U442" s="5">
        <v>46</v>
      </c>
      <c r="V442" s="5" t="s">
        <v>85</v>
      </c>
      <c r="W442" s="5">
        <v>45</v>
      </c>
      <c r="X442" s="5">
        <v>3.9</v>
      </c>
      <c r="Y442" s="5">
        <v>8</v>
      </c>
      <c r="Z442" s="5" t="s">
        <v>117</v>
      </c>
      <c r="AA442" s="6">
        <v>189.8</v>
      </c>
      <c r="AB442" s="8">
        <f t="shared" si="78"/>
        <v>2600</v>
      </c>
      <c r="AC442" s="8">
        <f t="shared" si="79"/>
        <v>0</v>
      </c>
      <c r="AD442" s="8">
        <f t="shared" si="80"/>
        <v>2600</v>
      </c>
      <c r="AE442" s="8">
        <f t="shared" si="81"/>
        <v>1898</v>
      </c>
      <c r="AF442" s="8">
        <f t="shared" si="82"/>
        <v>702</v>
      </c>
      <c r="AG442" s="9">
        <f t="shared" si="83"/>
        <v>0.27</v>
      </c>
      <c r="AH442" s="10">
        <f t="shared" si="84"/>
        <v>2025</v>
      </c>
      <c r="AI442" s="10">
        <f t="shared" si="85"/>
        <v>1</v>
      </c>
      <c r="AJ442" s="10" t="str">
        <f t="shared" si="86"/>
        <v>2025-01</v>
      </c>
      <c r="AK442" s="10" t="str">
        <f t="shared" si="87"/>
        <v>T1</v>
      </c>
      <c r="AL442" s="10" t="str">
        <f t="shared" si="88"/>
        <v>40-49</v>
      </c>
      <c r="AM442" s="10" t="str">
        <f t="shared" si="89"/>
        <v>faible</v>
      </c>
      <c r="AN442" s="10" t="s">
        <v>2837</v>
      </c>
      <c r="AO442" s="10" t="str">
        <f t="shared" si="90"/>
        <v>Elevée</v>
      </c>
    </row>
    <row r="443" spans="1:41">
      <c r="A443" t="s">
        <v>1487</v>
      </c>
      <c r="B443" s="2">
        <v>45658</v>
      </c>
      <c r="C443" t="s">
        <v>914</v>
      </c>
      <c r="D443" t="s">
        <v>148</v>
      </c>
      <c r="E443" t="s">
        <v>75</v>
      </c>
      <c r="F443" t="s">
        <v>233</v>
      </c>
      <c r="G443">
        <v>3</v>
      </c>
      <c r="H443" s="4">
        <v>110</v>
      </c>
      <c r="I443" s="3">
        <v>0</v>
      </c>
      <c r="J443" t="s">
        <v>45</v>
      </c>
      <c r="K443" t="s">
        <v>46</v>
      </c>
      <c r="L443" t="s">
        <v>915</v>
      </c>
      <c r="M443" t="s">
        <v>65</v>
      </c>
      <c r="N443" t="s">
        <v>80</v>
      </c>
      <c r="O443" t="s">
        <v>151</v>
      </c>
      <c r="P443" t="s">
        <v>103</v>
      </c>
      <c r="Q443" t="s">
        <v>114</v>
      </c>
      <c r="R443" t="s">
        <v>83</v>
      </c>
      <c r="S443" t="s">
        <v>69</v>
      </c>
      <c r="T443" t="s">
        <v>235</v>
      </c>
      <c r="U443" s="5">
        <v>60</v>
      </c>
      <c r="V443" s="5" t="s">
        <v>56</v>
      </c>
      <c r="W443" s="5">
        <v>65</v>
      </c>
      <c r="X443" s="5">
        <v>4.0999999999999996</v>
      </c>
      <c r="Y443" s="5">
        <v>8</v>
      </c>
      <c r="Z443" s="5" t="s">
        <v>117</v>
      </c>
      <c r="AA443" s="6">
        <v>72.599999999999994</v>
      </c>
      <c r="AB443" s="8">
        <f t="shared" si="78"/>
        <v>330</v>
      </c>
      <c r="AC443" s="8">
        <f t="shared" si="79"/>
        <v>0</v>
      </c>
      <c r="AD443" s="8">
        <f t="shared" si="80"/>
        <v>330</v>
      </c>
      <c r="AE443" s="8">
        <f t="shared" si="81"/>
        <v>217.79999999999998</v>
      </c>
      <c r="AF443" s="8">
        <f t="shared" si="82"/>
        <v>112.20000000000002</v>
      </c>
      <c r="AG443" s="9">
        <f t="shared" si="83"/>
        <v>0.34</v>
      </c>
      <c r="AH443" s="10">
        <f t="shared" si="84"/>
        <v>2025</v>
      </c>
      <c r="AI443" s="10">
        <f t="shared" si="85"/>
        <v>1</v>
      </c>
      <c r="AJ443" s="10" t="str">
        <f t="shared" si="86"/>
        <v>2025-01</v>
      </c>
      <c r="AK443" s="10" t="str">
        <f t="shared" si="87"/>
        <v>T1</v>
      </c>
      <c r="AL443" s="10" t="str">
        <f t="shared" si="88"/>
        <v>50+</v>
      </c>
      <c r="AM443" s="10" t="str">
        <f t="shared" si="89"/>
        <v>faible</v>
      </c>
      <c r="AN443" s="10" t="s">
        <v>2837</v>
      </c>
      <c r="AO443" s="10" t="str">
        <f t="shared" si="90"/>
        <v>Faible</v>
      </c>
    </row>
    <row r="444" spans="1:41">
      <c r="A444" t="s">
        <v>1488</v>
      </c>
      <c r="B444" s="2">
        <v>45762</v>
      </c>
      <c r="C444" t="s">
        <v>1489</v>
      </c>
      <c r="D444" t="s">
        <v>128</v>
      </c>
      <c r="E444" t="s">
        <v>163</v>
      </c>
      <c r="F444" t="s">
        <v>302</v>
      </c>
      <c r="G444">
        <v>2</v>
      </c>
      <c r="H444" s="4">
        <v>190</v>
      </c>
      <c r="I444" s="3">
        <v>0.08</v>
      </c>
      <c r="J444" t="s">
        <v>45</v>
      </c>
      <c r="K444" t="s">
        <v>46</v>
      </c>
      <c r="L444" t="s">
        <v>1490</v>
      </c>
      <c r="M444" t="s">
        <v>65</v>
      </c>
      <c r="N444" t="s">
        <v>255</v>
      </c>
      <c r="O444" t="s">
        <v>132</v>
      </c>
      <c r="P444" t="s">
        <v>133</v>
      </c>
      <c r="Q444" t="s">
        <v>52</v>
      </c>
      <c r="R444" t="s">
        <v>167</v>
      </c>
      <c r="S444" t="s">
        <v>123</v>
      </c>
      <c r="T444" t="s">
        <v>304</v>
      </c>
      <c r="U444" s="5">
        <v>44</v>
      </c>
      <c r="V444" s="5" t="s">
        <v>56</v>
      </c>
      <c r="W444" s="5">
        <v>60</v>
      </c>
      <c r="X444" s="5">
        <v>7.7</v>
      </c>
      <c r="Y444" s="5">
        <v>3</v>
      </c>
      <c r="Z444" s="5" t="s">
        <v>57</v>
      </c>
      <c r="AA444" s="6">
        <v>148.19999999999999</v>
      </c>
      <c r="AB444" s="8">
        <f t="shared" si="78"/>
        <v>380</v>
      </c>
      <c r="AC444" s="8">
        <f t="shared" si="79"/>
        <v>30.400000000000002</v>
      </c>
      <c r="AD444" s="8">
        <f t="shared" si="80"/>
        <v>349.6</v>
      </c>
      <c r="AE444" s="8">
        <f t="shared" si="81"/>
        <v>296.39999999999998</v>
      </c>
      <c r="AF444" s="8">
        <f t="shared" si="82"/>
        <v>53.200000000000045</v>
      </c>
      <c r="AG444" s="9">
        <f t="shared" si="83"/>
        <v>0.15217391304347838</v>
      </c>
      <c r="AH444" s="10">
        <f t="shared" si="84"/>
        <v>2025</v>
      </c>
      <c r="AI444" s="10">
        <f t="shared" si="85"/>
        <v>4</v>
      </c>
      <c r="AJ444" s="10" t="str">
        <f t="shared" si="86"/>
        <v>2025-04</v>
      </c>
      <c r="AK444" s="10" t="str">
        <f t="shared" si="87"/>
        <v>T2</v>
      </c>
      <c r="AL444" s="10" t="str">
        <f t="shared" si="88"/>
        <v>40-49</v>
      </c>
      <c r="AM444" s="10" t="str">
        <f t="shared" si="89"/>
        <v>bon</v>
      </c>
      <c r="AN444" s="10" t="s">
        <v>2838</v>
      </c>
      <c r="AO444" s="10" t="str">
        <f t="shared" si="90"/>
        <v>Faible</v>
      </c>
    </row>
    <row r="445" spans="1:41">
      <c r="A445" t="s">
        <v>1491</v>
      </c>
      <c r="B445" s="2">
        <v>45834</v>
      </c>
      <c r="C445" t="s">
        <v>1492</v>
      </c>
      <c r="D445" t="s">
        <v>138</v>
      </c>
      <c r="E445" t="s">
        <v>277</v>
      </c>
      <c r="F445" t="s">
        <v>62</v>
      </c>
      <c r="G445">
        <v>1</v>
      </c>
      <c r="H445" s="4">
        <v>120</v>
      </c>
      <c r="I445" s="3">
        <v>0.05</v>
      </c>
      <c r="J445" t="s">
        <v>63</v>
      </c>
      <c r="K445" t="s">
        <v>46</v>
      </c>
      <c r="L445" t="s">
        <v>1493</v>
      </c>
      <c r="M445" t="s">
        <v>69</v>
      </c>
      <c r="N445" t="s">
        <v>49</v>
      </c>
      <c r="O445" t="s">
        <v>142</v>
      </c>
      <c r="P445" t="s">
        <v>51</v>
      </c>
      <c r="Q445" t="s">
        <v>143</v>
      </c>
      <c r="R445" t="s">
        <v>279</v>
      </c>
      <c r="S445" t="s">
        <v>54</v>
      </c>
      <c r="T445" t="s">
        <v>70</v>
      </c>
      <c r="U445" s="5">
        <v>39</v>
      </c>
      <c r="V445" s="5" t="s">
        <v>85</v>
      </c>
      <c r="W445" s="5">
        <v>3</v>
      </c>
      <c r="X445" s="5">
        <v>5.3</v>
      </c>
      <c r="Y445" s="5">
        <v>6</v>
      </c>
      <c r="Z445" s="5" t="s">
        <v>94</v>
      </c>
      <c r="AA445" s="6">
        <v>73.2</v>
      </c>
      <c r="AB445" s="8">
        <f t="shared" si="78"/>
        <v>120</v>
      </c>
      <c r="AC445" s="8">
        <f t="shared" si="79"/>
        <v>6</v>
      </c>
      <c r="AD445" s="8">
        <f t="shared" si="80"/>
        <v>114</v>
      </c>
      <c r="AE445" s="8">
        <f t="shared" si="81"/>
        <v>73.2</v>
      </c>
      <c r="AF445" s="8">
        <f t="shared" si="82"/>
        <v>40.799999999999997</v>
      </c>
      <c r="AG445" s="9">
        <f t="shared" si="83"/>
        <v>0.35789473684210527</v>
      </c>
      <c r="AH445" s="10">
        <f t="shared" si="84"/>
        <v>2025</v>
      </c>
      <c r="AI445" s="10">
        <f t="shared" si="85"/>
        <v>6</v>
      </c>
      <c r="AJ445" s="10" t="str">
        <f t="shared" si="86"/>
        <v>2025-06</v>
      </c>
      <c r="AK445" s="10" t="str">
        <f t="shared" si="87"/>
        <v>T2</v>
      </c>
      <c r="AL445" s="10" t="str">
        <f t="shared" si="88"/>
        <v>30-39</v>
      </c>
      <c r="AM445" s="10" t="str">
        <f t="shared" si="89"/>
        <v>moyen</v>
      </c>
      <c r="AN445" s="10" t="s">
        <v>2839</v>
      </c>
      <c r="AO445" s="10" t="str">
        <f t="shared" si="90"/>
        <v>Faible</v>
      </c>
    </row>
    <row r="446" spans="1:41">
      <c r="A446" t="s">
        <v>1494</v>
      </c>
      <c r="B446" s="2">
        <v>45782</v>
      </c>
      <c r="C446" t="s">
        <v>1495</v>
      </c>
      <c r="D446" t="s">
        <v>148</v>
      </c>
      <c r="E446" t="s">
        <v>139</v>
      </c>
      <c r="F446" t="s">
        <v>502</v>
      </c>
      <c r="G446">
        <v>4</v>
      </c>
      <c r="H446" s="4">
        <v>110</v>
      </c>
      <c r="I446" s="3">
        <v>0</v>
      </c>
      <c r="J446" t="s">
        <v>63</v>
      </c>
      <c r="K446" t="s">
        <v>46</v>
      </c>
      <c r="L446" t="s">
        <v>1496</v>
      </c>
      <c r="M446" t="s">
        <v>65</v>
      </c>
      <c r="N446" t="s">
        <v>80</v>
      </c>
      <c r="O446" t="s">
        <v>151</v>
      </c>
      <c r="P446" t="s">
        <v>103</v>
      </c>
      <c r="Q446" t="s">
        <v>114</v>
      </c>
      <c r="R446" t="s">
        <v>144</v>
      </c>
      <c r="S446" t="s">
        <v>65</v>
      </c>
      <c r="T446" t="s">
        <v>504</v>
      </c>
      <c r="U446" s="5">
        <v>49</v>
      </c>
      <c r="V446" s="5" t="s">
        <v>56</v>
      </c>
      <c r="W446" s="5">
        <v>66</v>
      </c>
      <c r="X446" s="5">
        <v>7.8</v>
      </c>
      <c r="Y446" s="5">
        <v>2</v>
      </c>
      <c r="Z446" s="5" t="s">
        <v>57</v>
      </c>
      <c r="AA446" s="6">
        <v>72.599999999999994</v>
      </c>
      <c r="AB446" s="8">
        <f t="shared" si="78"/>
        <v>440</v>
      </c>
      <c r="AC446" s="8">
        <f t="shared" si="79"/>
        <v>0</v>
      </c>
      <c r="AD446" s="8">
        <f t="shared" si="80"/>
        <v>440</v>
      </c>
      <c r="AE446" s="8">
        <f t="shared" si="81"/>
        <v>290.39999999999998</v>
      </c>
      <c r="AF446" s="8">
        <f t="shared" si="82"/>
        <v>149.60000000000002</v>
      </c>
      <c r="AG446" s="9">
        <f t="shared" si="83"/>
        <v>0.34</v>
      </c>
      <c r="AH446" s="10">
        <f t="shared" si="84"/>
        <v>2025</v>
      </c>
      <c r="AI446" s="10">
        <f t="shared" si="85"/>
        <v>5</v>
      </c>
      <c r="AJ446" s="10" t="str">
        <f t="shared" si="86"/>
        <v>2025-05</v>
      </c>
      <c r="AK446" s="10" t="str">
        <f t="shared" si="87"/>
        <v>T2</v>
      </c>
      <c r="AL446" s="10" t="str">
        <f t="shared" si="88"/>
        <v>40-49</v>
      </c>
      <c r="AM446" s="10" t="str">
        <f t="shared" si="89"/>
        <v>bon</v>
      </c>
      <c r="AN446" s="10" t="s">
        <v>2838</v>
      </c>
      <c r="AO446" s="10" t="str">
        <f t="shared" si="90"/>
        <v>Faible</v>
      </c>
    </row>
    <row r="447" spans="1:41">
      <c r="A447" t="s">
        <v>1497</v>
      </c>
      <c r="B447" s="2">
        <v>45802</v>
      </c>
      <c r="C447" t="s">
        <v>1498</v>
      </c>
      <c r="D447" t="s">
        <v>148</v>
      </c>
      <c r="E447" t="s">
        <v>189</v>
      </c>
      <c r="F447" t="s">
        <v>553</v>
      </c>
      <c r="G447">
        <v>4</v>
      </c>
      <c r="H447" s="4">
        <v>110</v>
      </c>
      <c r="I447" s="3">
        <v>0.08</v>
      </c>
      <c r="J447" t="s">
        <v>63</v>
      </c>
      <c r="K447" t="s">
        <v>46</v>
      </c>
      <c r="L447" t="s">
        <v>1499</v>
      </c>
      <c r="M447" t="s">
        <v>65</v>
      </c>
      <c r="N447" t="s">
        <v>49</v>
      </c>
      <c r="O447" t="s">
        <v>151</v>
      </c>
      <c r="P447" t="s">
        <v>103</v>
      </c>
      <c r="Q447" t="s">
        <v>114</v>
      </c>
      <c r="R447" t="s">
        <v>193</v>
      </c>
      <c r="S447" t="s">
        <v>79</v>
      </c>
      <c r="T447" t="s">
        <v>555</v>
      </c>
      <c r="U447" s="5">
        <v>26</v>
      </c>
      <c r="V447" s="5" t="s">
        <v>56</v>
      </c>
      <c r="W447" s="5">
        <v>13</v>
      </c>
      <c r="X447" s="5">
        <v>6.5</v>
      </c>
      <c r="Y447" s="5">
        <v>5</v>
      </c>
      <c r="Z447" s="5" t="s">
        <v>57</v>
      </c>
      <c r="AA447" s="6">
        <v>72.599999999999994</v>
      </c>
      <c r="AB447" s="8">
        <f t="shared" si="78"/>
        <v>440</v>
      </c>
      <c r="AC447" s="8">
        <f t="shared" si="79"/>
        <v>35.200000000000003</v>
      </c>
      <c r="AD447" s="8">
        <f t="shared" si="80"/>
        <v>404.8</v>
      </c>
      <c r="AE447" s="8">
        <f t="shared" si="81"/>
        <v>290.39999999999998</v>
      </c>
      <c r="AF447" s="8">
        <f t="shared" si="82"/>
        <v>114.40000000000003</v>
      </c>
      <c r="AG447" s="9">
        <f t="shared" si="83"/>
        <v>0.282608695652174</v>
      </c>
      <c r="AH447" s="10">
        <f t="shared" si="84"/>
        <v>2025</v>
      </c>
      <c r="AI447" s="10">
        <f t="shared" si="85"/>
        <v>5</v>
      </c>
      <c r="AJ447" s="10" t="str">
        <f t="shared" si="86"/>
        <v>2025-05</v>
      </c>
      <c r="AK447" s="10" t="str">
        <f t="shared" si="87"/>
        <v>T2</v>
      </c>
      <c r="AL447" s="10" t="str">
        <f t="shared" si="88"/>
        <v>22-29</v>
      </c>
      <c r="AM447" s="10" t="str">
        <f t="shared" si="89"/>
        <v>moyen</v>
      </c>
      <c r="AN447" s="10" t="s">
        <v>2839</v>
      </c>
      <c r="AO447" s="10" t="str">
        <f t="shared" si="90"/>
        <v>Faible</v>
      </c>
    </row>
    <row r="448" spans="1:41">
      <c r="A448" t="s">
        <v>1500</v>
      </c>
      <c r="B448" s="2">
        <v>46000</v>
      </c>
      <c r="C448" t="s">
        <v>1501</v>
      </c>
      <c r="D448" t="s">
        <v>174</v>
      </c>
      <c r="E448" t="s">
        <v>315</v>
      </c>
      <c r="F448" t="s">
        <v>164</v>
      </c>
      <c r="G448">
        <v>4</v>
      </c>
      <c r="H448" s="4">
        <v>780</v>
      </c>
      <c r="I448" s="3">
        <v>0.05</v>
      </c>
      <c r="J448" t="s">
        <v>90</v>
      </c>
      <c r="K448" t="s">
        <v>46</v>
      </c>
      <c r="L448" t="s">
        <v>1502</v>
      </c>
      <c r="M448" t="s">
        <v>54</v>
      </c>
      <c r="N448" t="s">
        <v>112</v>
      </c>
      <c r="O448" t="s">
        <v>177</v>
      </c>
      <c r="P448" t="s">
        <v>103</v>
      </c>
      <c r="Q448" t="s">
        <v>114</v>
      </c>
      <c r="R448" t="s">
        <v>317</v>
      </c>
      <c r="S448" t="s">
        <v>69</v>
      </c>
      <c r="T448" t="s">
        <v>168</v>
      </c>
      <c r="U448" s="5">
        <v>47</v>
      </c>
      <c r="V448" s="5" t="s">
        <v>85</v>
      </c>
      <c r="W448" s="5">
        <v>14</v>
      </c>
      <c r="X448" s="5">
        <v>6.5</v>
      </c>
      <c r="Y448" s="5">
        <v>5</v>
      </c>
      <c r="Z448" s="5" t="s">
        <v>71</v>
      </c>
      <c r="AA448" s="6">
        <v>468</v>
      </c>
      <c r="AB448" s="8">
        <f t="shared" si="78"/>
        <v>3120</v>
      </c>
      <c r="AC448" s="8">
        <f t="shared" si="79"/>
        <v>156</v>
      </c>
      <c r="AD448" s="8">
        <f t="shared" si="80"/>
        <v>2964</v>
      </c>
      <c r="AE448" s="8">
        <f t="shared" si="81"/>
        <v>1872</v>
      </c>
      <c r="AF448" s="8">
        <f t="shared" si="82"/>
        <v>1092</v>
      </c>
      <c r="AG448" s="9">
        <f t="shared" si="83"/>
        <v>0.36842105263157893</v>
      </c>
      <c r="AH448" s="10">
        <f t="shared" si="84"/>
        <v>2025</v>
      </c>
      <c r="AI448" s="10">
        <f t="shared" si="85"/>
        <v>12</v>
      </c>
      <c r="AJ448" s="10" t="str">
        <f t="shared" si="86"/>
        <v>2025-12</v>
      </c>
      <c r="AK448" s="10" t="str">
        <f t="shared" si="87"/>
        <v>T4</v>
      </c>
      <c r="AL448" s="10" t="str">
        <f t="shared" si="88"/>
        <v>40-49</v>
      </c>
      <c r="AM448" s="10" t="str">
        <f t="shared" si="89"/>
        <v>moyen</v>
      </c>
      <c r="AN448" s="10" t="s">
        <v>2839</v>
      </c>
      <c r="AO448" s="10" t="str">
        <f t="shared" si="90"/>
        <v>Elevée</v>
      </c>
    </row>
    <row r="449" spans="1:41">
      <c r="A449" t="s">
        <v>1503</v>
      </c>
      <c r="B449" s="2">
        <v>45680</v>
      </c>
      <c r="C449" t="s">
        <v>1504</v>
      </c>
      <c r="D449" t="s">
        <v>42</v>
      </c>
      <c r="E449" t="s">
        <v>277</v>
      </c>
      <c r="F449" t="s">
        <v>202</v>
      </c>
      <c r="G449">
        <v>1</v>
      </c>
      <c r="H449" s="4">
        <v>260</v>
      </c>
      <c r="I449" s="3">
        <v>0.02</v>
      </c>
      <c r="J449" t="s">
        <v>90</v>
      </c>
      <c r="K449" t="s">
        <v>46</v>
      </c>
      <c r="L449" t="s">
        <v>1505</v>
      </c>
      <c r="M449" t="s">
        <v>65</v>
      </c>
      <c r="N449" t="s">
        <v>255</v>
      </c>
      <c r="O449" t="s">
        <v>50</v>
      </c>
      <c r="P449" t="s">
        <v>51</v>
      </c>
      <c r="Q449" t="s">
        <v>52</v>
      </c>
      <c r="R449" t="s">
        <v>279</v>
      </c>
      <c r="S449" t="s">
        <v>54</v>
      </c>
      <c r="T449" t="s">
        <v>204</v>
      </c>
      <c r="U449" s="5">
        <v>51</v>
      </c>
      <c r="V449" s="5" t="s">
        <v>56</v>
      </c>
      <c r="W449" s="5">
        <v>55</v>
      </c>
      <c r="X449" s="5">
        <v>7.7</v>
      </c>
      <c r="Y449" s="5">
        <v>3</v>
      </c>
      <c r="Z449" s="5" t="s">
        <v>94</v>
      </c>
      <c r="AA449" s="6">
        <v>189.8</v>
      </c>
      <c r="AB449" s="8">
        <f t="shared" si="78"/>
        <v>260</v>
      </c>
      <c r="AC449" s="8">
        <f t="shared" si="79"/>
        <v>5.2</v>
      </c>
      <c r="AD449" s="8">
        <f t="shared" si="80"/>
        <v>254.8</v>
      </c>
      <c r="AE449" s="8">
        <f t="shared" si="81"/>
        <v>189.8</v>
      </c>
      <c r="AF449" s="8">
        <f t="shared" si="82"/>
        <v>65</v>
      </c>
      <c r="AG449" s="9">
        <f t="shared" si="83"/>
        <v>0.25510204081632654</v>
      </c>
      <c r="AH449" s="10">
        <f t="shared" si="84"/>
        <v>2025</v>
      </c>
      <c r="AI449" s="10">
        <f t="shared" si="85"/>
        <v>1</v>
      </c>
      <c r="AJ449" s="10" t="str">
        <f t="shared" si="86"/>
        <v>2025-01</v>
      </c>
      <c r="AK449" s="10" t="str">
        <f t="shared" si="87"/>
        <v>T1</v>
      </c>
      <c r="AL449" s="10" t="str">
        <f t="shared" si="88"/>
        <v>50+</v>
      </c>
      <c r="AM449" s="10" t="str">
        <f t="shared" si="89"/>
        <v>bon</v>
      </c>
      <c r="AN449" s="10" t="s">
        <v>2838</v>
      </c>
      <c r="AO449" s="10" t="str">
        <f t="shared" si="90"/>
        <v>Faible</v>
      </c>
    </row>
    <row r="450" spans="1:41">
      <c r="A450" t="s">
        <v>1506</v>
      </c>
      <c r="B450" s="2">
        <v>45817</v>
      </c>
      <c r="C450" t="s">
        <v>1507</v>
      </c>
      <c r="D450" t="s">
        <v>333</v>
      </c>
      <c r="E450" t="s">
        <v>98</v>
      </c>
      <c r="F450" t="s">
        <v>350</v>
      </c>
      <c r="G450">
        <v>2</v>
      </c>
      <c r="H450" s="4">
        <v>65</v>
      </c>
      <c r="I450" s="3">
        <v>0.1</v>
      </c>
      <c r="J450" t="s">
        <v>63</v>
      </c>
      <c r="K450" t="s">
        <v>46</v>
      </c>
      <c r="L450" t="s">
        <v>1508</v>
      </c>
      <c r="M450" t="s">
        <v>79</v>
      </c>
      <c r="N450" t="s">
        <v>80</v>
      </c>
      <c r="O450" t="s">
        <v>336</v>
      </c>
      <c r="P450" t="s">
        <v>51</v>
      </c>
      <c r="Q450" t="s">
        <v>52</v>
      </c>
      <c r="R450" t="s">
        <v>104</v>
      </c>
      <c r="S450" t="s">
        <v>79</v>
      </c>
      <c r="T450" t="s">
        <v>352</v>
      </c>
      <c r="U450" s="5">
        <v>54</v>
      </c>
      <c r="V450" s="5" t="s">
        <v>56</v>
      </c>
      <c r="W450" s="5">
        <v>21</v>
      </c>
      <c r="X450" s="5">
        <v>3.4</v>
      </c>
      <c r="Y450" s="5">
        <v>9</v>
      </c>
      <c r="Z450" s="5" t="s">
        <v>57</v>
      </c>
      <c r="AA450" s="6">
        <v>47.45</v>
      </c>
      <c r="AB450" s="8">
        <f t="shared" si="78"/>
        <v>130</v>
      </c>
      <c r="AC450" s="8">
        <f t="shared" si="79"/>
        <v>13</v>
      </c>
      <c r="AD450" s="8">
        <f t="shared" si="80"/>
        <v>117</v>
      </c>
      <c r="AE450" s="8">
        <f t="shared" si="81"/>
        <v>94.9</v>
      </c>
      <c r="AF450" s="8">
        <f t="shared" si="82"/>
        <v>22.099999999999994</v>
      </c>
      <c r="AG450" s="9">
        <f t="shared" si="83"/>
        <v>0.18888888888888883</v>
      </c>
      <c r="AH450" s="10">
        <f t="shared" si="84"/>
        <v>2025</v>
      </c>
      <c r="AI450" s="10">
        <f t="shared" si="85"/>
        <v>6</v>
      </c>
      <c r="AJ450" s="10" t="str">
        <f t="shared" si="86"/>
        <v>2025-06</v>
      </c>
      <c r="AK450" s="10" t="str">
        <f t="shared" si="87"/>
        <v>T2</v>
      </c>
      <c r="AL450" s="10" t="str">
        <f t="shared" si="88"/>
        <v>50+</v>
      </c>
      <c r="AM450" s="10" t="str">
        <f t="shared" si="89"/>
        <v>faible</v>
      </c>
      <c r="AN450" s="10" t="s">
        <v>2837</v>
      </c>
      <c r="AO450" s="10" t="str">
        <f t="shared" si="90"/>
        <v>Faible</v>
      </c>
    </row>
    <row r="451" spans="1:41">
      <c r="A451" t="s">
        <v>1509</v>
      </c>
      <c r="B451" s="2">
        <v>46007</v>
      </c>
      <c r="C451" t="s">
        <v>826</v>
      </c>
      <c r="D451" t="s">
        <v>128</v>
      </c>
      <c r="E451" t="s">
        <v>75</v>
      </c>
      <c r="F451" t="s">
        <v>227</v>
      </c>
      <c r="G451">
        <v>2</v>
      </c>
      <c r="H451" s="4">
        <v>190</v>
      </c>
      <c r="I451" s="3">
        <v>0</v>
      </c>
      <c r="J451" t="s">
        <v>63</v>
      </c>
      <c r="K451" t="s">
        <v>46</v>
      </c>
      <c r="L451" t="s">
        <v>827</v>
      </c>
      <c r="M451" t="s">
        <v>79</v>
      </c>
      <c r="N451" t="s">
        <v>112</v>
      </c>
      <c r="O451" t="s">
        <v>132</v>
      </c>
      <c r="P451" t="s">
        <v>133</v>
      </c>
      <c r="Q451" t="s">
        <v>52</v>
      </c>
      <c r="R451" t="s">
        <v>83</v>
      </c>
      <c r="S451" t="s">
        <v>69</v>
      </c>
      <c r="T451" t="s">
        <v>230</v>
      </c>
      <c r="U451" s="5">
        <v>54</v>
      </c>
      <c r="V451" s="5" t="s">
        <v>85</v>
      </c>
      <c r="W451" s="5">
        <v>34</v>
      </c>
      <c r="X451" s="5">
        <v>7</v>
      </c>
      <c r="Y451" s="5">
        <v>3</v>
      </c>
      <c r="Z451" s="5" t="s">
        <v>57</v>
      </c>
      <c r="AA451" s="6">
        <v>148.19999999999999</v>
      </c>
      <c r="AB451" s="8">
        <f t="shared" ref="AB451:AB514" si="91">G451*H451</f>
        <v>380</v>
      </c>
      <c r="AC451" s="8">
        <f t="shared" ref="AC451:AC514" si="92">I451*AB451</f>
        <v>0</v>
      </c>
      <c r="AD451" s="8">
        <f t="shared" ref="AD451:AD514" si="93">AB451-AC451</f>
        <v>380</v>
      </c>
      <c r="AE451" s="8">
        <f t="shared" ref="AE451:AE514" si="94">G451*AA451</f>
        <v>296.39999999999998</v>
      </c>
      <c r="AF451" s="8">
        <f t="shared" ref="AF451:AF514" si="95">AD451-AE451</f>
        <v>83.600000000000023</v>
      </c>
      <c r="AG451" s="9">
        <f t="shared" ref="AG451:AG514" si="96">IFERROR(AF451/AD451,)</f>
        <v>0.22000000000000006</v>
      </c>
      <c r="AH451" s="10">
        <f t="shared" ref="AH451:AH514" si="97">YEAR(B451)</f>
        <v>2025</v>
      </c>
      <c r="AI451" s="10">
        <f t="shared" ref="AI451:AI514" si="98">MONTH(B451)</f>
        <v>12</v>
      </c>
      <c r="AJ451" s="10" t="str">
        <f t="shared" ref="AJ451:AJ514" si="99">TEXT(B451,"yyyy-mm")</f>
        <v>2025-12</v>
      </c>
      <c r="AK451" s="10" t="str">
        <f t="shared" ref="AK451:AK514" si="100">"T"&amp;ROUNDUP(MONTH(B451)/3,0)</f>
        <v>T4</v>
      </c>
      <c r="AL451" s="10" t="str">
        <f t="shared" ref="AL451:AL514" si="101">IF(U451&lt;30,"22-29",IF(U451&lt;40,"30-39",IF(U451&lt;50,"40-49","50+")))</f>
        <v>50+</v>
      </c>
      <c r="AM451" s="10" t="str">
        <f t="shared" ref="AM451:AM514" si="102">IF(X451&lt;5,"faible",IF(X451&lt;7,"moyen",IF(X451&lt;9,"bon","excellent")))</f>
        <v>bon</v>
      </c>
      <c r="AN451" s="10" t="s">
        <v>2838</v>
      </c>
      <c r="AO451" s="10" t="str">
        <f t="shared" ref="AO451:AO514" si="103">IF(AD451&gt;=1000,"Elevée",IF(AD451&gt;=500,"Moyenne","Faible"))</f>
        <v>Faible</v>
      </c>
    </row>
    <row r="452" spans="1:41">
      <c r="A452" t="s">
        <v>1510</v>
      </c>
      <c r="B452" s="2">
        <v>45664</v>
      </c>
      <c r="C452" t="s">
        <v>1511</v>
      </c>
      <c r="D452" t="s">
        <v>97</v>
      </c>
      <c r="E452" t="s">
        <v>226</v>
      </c>
      <c r="F452" t="s">
        <v>439</v>
      </c>
      <c r="G452">
        <v>1</v>
      </c>
      <c r="H452" s="4">
        <v>520</v>
      </c>
      <c r="I452" s="3">
        <v>0</v>
      </c>
      <c r="J452" t="s">
        <v>63</v>
      </c>
      <c r="K452" t="s">
        <v>46</v>
      </c>
      <c r="L452" t="s">
        <v>1512</v>
      </c>
      <c r="M452" t="s">
        <v>123</v>
      </c>
      <c r="N452" t="s">
        <v>255</v>
      </c>
      <c r="O452" t="s">
        <v>102</v>
      </c>
      <c r="P452" t="s">
        <v>103</v>
      </c>
      <c r="Q452" t="s">
        <v>52</v>
      </c>
      <c r="R452" t="s">
        <v>229</v>
      </c>
      <c r="S452" t="s">
        <v>48</v>
      </c>
      <c r="T452" t="s">
        <v>441</v>
      </c>
      <c r="U452" s="5">
        <v>38</v>
      </c>
      <c r="V452" s="5" t="s">
        <v>56</v>
      </c>
      <c r="W452" s="5">
        <v>29</v>
      </c>
      <c r="X452" s="5">
        <v>7.2</v>
      </c>
      <c r="Y452" s="5">
        <v>2</v>
      </c>
      <c r="Z452" s="5" t="s">
        <v>57</v>
      </c>
      <c r="AA452" s="6">
        <v>348.4</v>
      </c>
      <c r="AB452" s="8">
        <f t="shared" si="91"/>
        <v>520</v>
      </c>
      <c r="AC452" s="8">
        <f t="shared" si="92"/>
        <v>0</v>
      </c>
      <c r="AD452" s="8">
        <f t="shared" si="93"/>
        <v>520</v>
      </c>
      <c r="AE452" s="8">
        <f t="shared" si="94"/>
        <v>348.4</v>
      </c>
      <c r="AF452" s="8">
        <f t="shared" si="95"/>
        <v>171.60000000000002</v>
      </c>
      <c r="AG452" s="9">
        <f t="shared" si="96"/>
        <v>0.33000000000000007</v>
      </c>
      <c r="AH452" s="10">
        <f t="shared" si="97"/>
        <v>2025</v>
      </c>
      <c r="AI452" s="10">
        <f t="shared" si="98"/>
        <v>1</v>
      </c>
      <c r="AJ452" s="10" t="str">
        <f t="shared" si="99"/>
        <v>2025-01</v>
      </c>
      <c r="AK452" s="10" t="str">
        <f t="shared" si="100"/>
        <v>T1</v>
      </c>
      <c r="AL452" s="10" t="str">
        <f t="shared" si="101"/>
        <v>30-39</v>
      </c>
      <c r="AM452" s="10" t="str">
        <f t="shared" si="102"/>
        <v>bon</v>
      </c>
      <c r="AN452" s="10" t="s">
        <v>2838</v>
      </c>
      <c r="AO452" s="10" t="str">
        <f t="shared" si="103"/>
        <v>Moyenne</v>
      </c>
    </row>
    <row r="453" spans="1:41">
      <c r="A453" t="s">
        <v>1513</v>
      </c>
      <c r="B453" s="2">
        <v>45685</v>
      </c>
      <c r="C453" t="s">
        <v>1514</v>
      </c>
      <c r="D453" t="s">
        <v>272</v>
      </c>
      <c r="E453" t="s">
        <v>226</v>
      </c>
      <c r="F453" t="s">
        <v>190</v>
      </c>
      <c r="G453">
        <v>2</v>
      </c>
      <c r="H453" s="4">
        <v>420</v>
      </c>
      <c r="I453" s="3">
        <v>0</v>
      </c>
      <c r="J453" t="s">
        <v>90</v>
      </c>
      <c r="K453" t="s">
        <v>46</v>
      </c>
      <c r="L453" t="s">
        <v>1515</v>
      </c>
      <c r="M453" t="s">
        <v>79</v>
      </c>
      <c r="N453" t="s">
        <v>101</v>
      </c>
      <c r="O453" t="s">
        <v>274</v>
      </c>
      <c r="P453" t="s">
        <v>133</v>
      </c>
      <c r="Q453" t="s">
        <v>114</v>
      </c>
      <c r="R453" t="s">
        <v>229</v>
      </c>
      <c r="S453" t="s">
        <v>48</v>
      </c>
      <c r="T453" t="s">
        <v>194</v>
      </c>
      <c r="U453" s="5">
        <v>56</v>
      </c>
      <c r="V453" s="5" t="s">
        <v>56</v>
      </c>
      <c r="W453" s="5">
        <v>14</v>
      </c>
      <c r="X453" s="5">
        <v>5.0999999999999996</v>
      </c>
      <c r="Y453" s="5">
        <v>6</v>
      </c>
      <c r="Z453" s="5" t="s">
        <v>117</v>
      </c>
      <c r="AA453" s="6">
        <v>273</v>
      </c>
      <c r="AB453" s="8">
        <f t="shared" si="91"/>
        <v>840</v>
      </c>
      <c r="AC453" s="8">
        <f t="shared" si="92"/>
        <v>0</v>
      </c>
      <c r="AD453" s="8">
        <f t="shared" si="93"/>
        <v>840</v>
      </c>
      <c r="AE453" s="8">
        <f t="shared" si="94"/>
        <v>546</v>
      </c>
      <c r="AF453" s="8">
        <f t="shared" si="95"/>
        <v>294</v>
      </c>
      <c r="AG453" s="9">
        <f t="shared" si="96"/>
        <v>0.35</v>
      </c>
      <c r="AH453" s="10">
        <f t="shared" si="97"/>
        <v>2025</v>
      </c>
      <c r="AI453" s="10">
        <f t="shared" si="98"/>
        <v>1</v>
      </c>
      <c r="AJ453" s="10" t="str">
        <f t="shared" si="99"/>
        <v>2025-01</v>
      </c>
      <c r="AK453" s="10" t="str">
        <f t="shared" si="100"/>
        <v>T1</v>
      </c>
      <c r="AL453" s="10" t="str">
        <f t="shared" si="101"/>
        <v>50+</v>
      </c>
      <c r="AM453" s="10" t="str">
        <f t="shared" si="102"/>
        <v>moyen</v>
      </c>
      <c r="AN453" s="10" t="s">
        <v>2839</v>
      </c>
      <c r="AO453" s="10" t="str">
        <f t="shared" si="103"/>
        <v>Moyenne</v>
      </c>
    </row>
    <row r="454" spans="1:41">
      <c r="A454" t="s">
        <v>1516</v>
      </c>
      <c r="B454" s="2">
        <v>45829</v>
      </c>
      <c r="C454" t="s">
        <v>1517</v>
      </c>
      <c r="D454" t="s">
        <v>60</v>
      </c>
      <c r="E454" t="s">
        <v>277</v>
      </c>
      <c r="F454" t="s">
        <v>502</v>
      </c>
      <c r="G454">
        <v>5</v>
      </c>
      <c r="H454" s="4">
        <v>180</v>
      </c>
      <c r="I454" s="3">
        <v>0</v>
      </c>
      <c r="J454" t="s">
        <v>90</v>
      </c>
      <c r="K454" t="s">
        <v>46</v>
      </c>
      <c r="L454" t="s">
        <v>1518</v>
      </c>
      <c r="M454" t="s">
        <v>54</v>
      </c>
      <c r="N454" t="s">
        <v>112</v>
      </c>
      <c r="O454" t="s">
        <v>66</v>
      </c>
      <c r="P454" t="s">
        <v>67</v>
      </c>
      <c r="Q454" t="s">
        <v>52</v>
      </c>
      <c r="R454" t="s">
        <v>279</v>
      </c>
      <c r="S454" t="s">
        <v>54</v>
      </c>
      <c r="T454" t="s">
        <v>504</v>
      </c>
      <c r="U454" s="5">
        <v>60</v>
      </c>
      <c r="V454" s="5" t="s">
        <v>56</v>
      </c>
      <c r="W454" s="5">
        <v>37</v>
      </c>
      <c r="X454" s="5">
        <v>8.4</v>
      </c>
      <c r="Y454" s="5">
        <v>1</v>
      </c>
      <c r="Z454" s="5" t="s">
        <v>57</v>
      </c>
      <c r="AA454" s="6">
        <v>129.6</v>
      </c>
      <c r="AB454" s="8">
        <f t="shared" si="91"/>
        <v>900</v>
      </c>
      <c r="AC454" s="8">
        <f t="shared" si="92"/>
        <v>0</v>
      </c>
      <c r="AD454" s="8">
        <f t="shared" si="93"/>
        <v>900</v>
      </c>
      <c r="AE454" s="8">
        <f t="shared" si="94"/>
        <v>648</v>
      </c>
      <c r="AF454" s="8">
        <f t="shared" si="95"/>
        <v>252</v>
      </c>
      <c r="AG454" s="9">
        <f t="shared" si="96"/>
        <v>0.28000000000000003</v>
      </c>
      <c r="AH454" s="10">
        <f t="shared" si="97"/>
        <v>2025</v>
      </c>
      <c r="AI454" s="10">
        <f t="shared" si="98"/>
        <v>6</v>
      </c>
      <c r="AJ454" s="10" t="str">
        <f t="shared" si="99"/>
        <v>2025-06</v>
      </c>
      <c r="AK454" s="10" t="str">
        <f t="shared" si="100"/>
        <v>T2</v>
      </c>
      <c r="AL454" s="10" t="str">
        <f t="shared" si="101"/>
        <v>50+</v>
      </c>
      <c r="AM454" s="10" t="str">
        <f t="shared" si="102"/>
        <v>bon</v>
      </c>
      <c r="AN454" s="10" t="s">
        <v>2838</v>
      </c>
      <c r="AO454" s="10" t="str">
        <f t="shared" si="103"/>
        <v>Moyenne</v>
      </c>
    </row>
    <row r="455" spans="1:41">
      <c r="A455" t="s">
        <v>1519</v>
      </c>
      <c r="B455" s="2">
        <v>45661</v>
      </c>
      <c r="C455" t="s">
        <v>1520</v>
      </c>
      <c r="D455" t="s">
        <v>148</v>
      </c>
      <c r="E455" t="s">
        <v>214</v>
      </c>
      <c r="F455" t="s">
        <v>813</v>
      </c>
      <c r="G455">
        <v>2</v>
      </c>
      <c r="H455" s="4">
        <v>110</v>
      </c>
      <c r="I455" s="3">
        <v>0.08</v>
      </c>
      <c r="J455" t="s">
        <v>77</v>
      </c>
      <c r="K455" t="s">
        <v>46</v>
      </c>
      <c r="L455" t="s">
        <v>1521</v>
      </c>
      <c r="M455" t="s">
        <v>79</v>
      </c>
      <c r="N455" t="s">
        <v>80</v>
      </c>
      <c r="O455" t="s">
        <v>151</v>
      </c>
      <c r="P455" t="s">
        <v>103</v>
      </c>
      <c r="Q455" t="s">
        <v>114</v>
      </c>
      <c r="R455" t="s">
        <v>216</v>
      </c>
      <c r="S455" t="s">
        <v>65</v>
      </c>
      <c r="T455" t="s">
        <v>815</v>
      </c>
      <c r="U455" s="5">
        <v>51</v>
      </c>
      <c r="V455" s="5" t="s">
        <v>85</v>
      </c>
      <c r="W455" s="5">
        <v>9</v>
      </c>
      <c r="X455" s="5">
        <v>6.1</v>
      </c>
      <c r="Y455" s="5">
        <v>5</v>
      </c>
      <c r="Z455" s="5" t="s">
        <v>71</v>
      </c>
      <c r="AA455" s="6">
        <v>72.599999999999994</v>
      </c>
      <c r="AB455" s="8">
        <f t="shared" si="91"/>
        <v>220</v>
      </c>
      <c r="AC455" s="8">
        <f t="shared" si="92"/>
        <v>17.600000000000001</v>
      </c>
      <c r="AD455" s="8">
        <f t="shared" si="93"/>
        <v>202.4</v>
      </c>
      <c r="AE455" s="8">
        <f t="shared" si="94"/>
        <v>145.19999999999999</v>
      </c>
      <c r="AF455" s="8">
        <f t="shared" si="95"/>
        <v>57.200000000000017</v>
      </c>
      <c r="AG455" s="9">
        <f t="shared" si="96"/>
        <v>0.282608695652174</v>
      </c>
      <c r="AH455" s="10">
        <f t="shared" si="97"/>
        <v>2025</v>
      </c>
      <c r="AI455" s="10">
        <f t="shared" si="98"/>
        <v>1</v>
      </c>
      <c r="AJ455" s="10" t="str">
        <f t="shared" si="99"/>
        <v>2025-01</v>
      </c>
      <c r="AK455" s="10" t="str">
        <f t="shared" si="100"/>
        <v>T1</v>
      </c>
      <c r="AL455" s="10" t="str">
        <f t="shared" si="101"/>
        <v>50+</v>
      </c>
      <c r="AM455" s="10" t="str">
        <f t="shared" si="102"/>
        <v>moyen</v>
      </c>
      <c r="AN455" s="10" t="s">
        <v>2839</v>
      </c>
      <c r="AO455" s="10" t="str">
        <f t="shared" si="103"/>
        <v>Faible</v>
      </c>
    </row>
    <row r="456" spans="1:41">
      <c r="A456" t="s">
        <v>1522</v>
      </c>
      <c r="B456" s="2">
        <v>45802</v>
      </c>
      <c r="C456" t="s">
        <v>1087</v>
      </c>
      <c r="D456" t="s">
        <v>333</v>
      </c>
      <c r="E456" t="s">
        <v>219</v>
      </c>
      <c r="F456" t="s">
        <v>233</v>
      </c>
      <c r="G456">
        <v>1</v>
      </c>
      <c r="H456" s="4">
        <v>65</v>
      </c>
      <c r="I456" s="3">
        <v>0.1</v>
      </c>
      <c r="J456" t="s">
        <v>63</v>
      </c>
      <c r="K456" t="s">
        <v>46</v>
      </c>
      <c r="L456" t="s">
        <v>1088</v>
      </c>
      <c r="M456" t="s">
        <v>48</v>
      </c>
      <c r="N456" t="s">
        <v>101</v>
      </c>
      <c r="O456" t="s">
        <v>336</v>
      </c>
      <c r="P456" t="s">
        <v>51</v>
      </c>
      <c r="Q456" t="s">
        <v>52</v>
      </c>
      <c r="R456" t="s">
        <v>222</v>
      </c>
      <c r="S456" t="s">
        <v>123</v>
      </c>
      <c r="T456" t="s">
        <v>235</v>
      </c>
      <c r="U456" s="5">
        <v>51</v>
      </c>
      <c r="V456" s="5" t="s">
        <v>85</v>
      </c>
      <c r="W456" s="5">
        <v>51</v>
      </c>
      <c r="X456" s="5">
        <v>4.7</v>
      </c>
      <c r="Y456" s="5">
        <v>7</v>
      </c>
      <c r="Z456" s="5" t="s">
        <v>117</v>
      </c>
      <c r="AA456" s="6">
        <v>47.45</v>
      </c>
      <c r="AB456" s="8">
        <f t="shared" si="91"/>
        <v>65</v>
      </c>
      <c r="AC456" s="8">
        <f t="shared" si="92"/>
        <v>6.5</v>
      </c>
      <c r="AD456" s="8">
        <f t="shared" si="93"/>
        <v>58.5</v>
      </c>
      <c r="AE456" s="8">
        <f t="shared" si="94"/>
        <v>47.45</v>
      </c>
      <c r="AF456" s="8">
        <f t="shared" si="95"/>
        <v>11.049999999999997</v>
      </c>
      <c r="AG456" s="9">
        <f t="shared" si="96"/>
        <v>0.18888888888888883</v>
      </c>
      <c r="AH456" s="10">
        <f t="shared" si="97"/>
        <v>2025</v>
      </c>
      <c r="AI456" s="10">
        <f t="shared" si="98"/>
        <v>5</v>
      </c>
      <c r="AJ456" s="10" t="str">
        <f t="shared" si="99"/>
        <v>2025-05</v>
      </c>
      <c r="AK456" s="10" t="str">
        <f t="shared" si="100"/>
        <v>T2</v>
      </c>
      <c r="AL456" s="10" t="str">
        <f t="shared" si="101"/>
        <v>50+</v>
      </c>
      <c r="AM456" s="10" t="str">
        <f t="shared" si="102"/>
        <v>faible</v>
      </c>
      <c r="AN456" s="10" t="s">
        <v>2837</v>
      </c>
      <c r="AO456" s="10" t="str">
        <f t="shared" si="103"/>
        <v>Faible</v>
      </c>
    </row>
    <row r="457" spans="1:41">
      <c r="A457" t="s">
        <v>1523</v>
      </c>
      <c r="B457" s="2">
        <v>45830</v>
      </c>
      <c r="C457" t="s">
        <v>1524</v>
      </c>
      <c r="D457" t="s">
        <v>60</v>
      </c>
      <c r="E457" t="s">
        <v>109</v>
      </c>
      <c r="F457" t="s">
        <v>190</v>
      </c>
      <c r="G457">
        <v>3</v>
      </c>
      <c r="H457" s="4">
        <v>180</v>
      </c>
      <c r="I457" s="3">
        <v>0.1</v>
      </c>
      <c r="J457" t="s">
        <v>90</v>
      </c>
      <c r="K457" t="s">
        <v>46</v>
      </c>
      <c r="L457" t="s">
        <v>1525</v>
      </c>
      <c r="M457" t="s">
        <v>79</v>
      </c>
      <c r="N457" t="s">
        <v>49</v>
      </c>
      <c r="O457" t="s">
        <v>66</v>
      </c>
      <c r="P457" t="s">
        <v>67</v>
      </c>
      <c r="Q457" t="s">
        <v>52</v>
      </c>
      <c r="R457" t="s">
        <v>115</v>
      </c>
      <c r="S457" t="s">
        <v>65</v>
      </c>
      <c r="T457" t="s">
        <v>194</v>
      </c>
      <c r="U457" s="5">
        <v>59</v>
      </c>
      <c r="V457" s="5" t="s">
        <v>85</v>
      </c>
      <c r="W457" s="5">
        <v>26</v>
      </c>
      <c r="X457" s="5">
        <v>3.7</v>
      </c>
      <c r="Y457" s="5">
        <v>8</v>
      </c>
      <c r="Z457" s="5" t="s">
        <v>71</v>
      </c>
      <c r="AA457" s="6">
        <v>129.6</v>
      </c>
      <c r="AB457" s="8">
        <f t="shared" si="91"/>
        <v>540</v>
      </c>
      <c r="AC457" s="8">
        <f t="shared" si="92"/>
        <v>54</v>
      </c>
      <c r="AD457" s="8">
        <f t="shared" si="93"/>
        <v>486</v>
      </c>
      <c r="AE457" s="8">
        <f t="shared" si="94"/>
        <v>388.79999999999995</v>
      </c>
      <c r="AF457" s="8">
        <f t="shared" si="95"/>
        <v>97.200000000000045</v>
      </c>
      <c r="AG457" s="9">
        <f t="shared" si="96"/>
        <v>0.20000000000000009</v>
      </c>
      <c r="AH457" s="10">
        <f t="shared" si="97"/>
        <v>2025</v>
      </c>
      <c r="AI457" s="10">
        <f t="shared" si="98"/>
        <v>6</v>
      </c>
      <c r="AJ457" s="10" t="str">
        <f t="shared" si="99"/>
        <v>2025-06</v>
      </c>
      <c r="AK457" s="10" t="str">
        <f t="shared" si="100"/>
        <v>T2</v>
      </c>
      <c r="AL457" s="10" t="str">
        <f t="shared" si="101"/>
        <v>50+</v>
      </c>
      <c r="AM457" s="10" t="str">
        <f t="shared" si="102"/>
        <v>faible</v>
      </c>
      <c r="AN457" s="10" t="s">
        <v>2837</v>
      </c>
      <c r="AO457" s="10" t="str">
        <f t="shared" si="103"/>
        <v>Faible</v>
      </c>
    </row>
    <row r="458" spans="1:41">
      <c r="A458" t="s">
        <v>1526</v>
      </c>
      <c r="B458" s="2">
        <v>45666</v>
      </c>
      <c r="C458" t="s">
        <v>1527</v>
      </c>
      <c r="D458" t="s">
        <v>74</v>
      </c>
      <c r="E458" t="s">
        <v>315</v>
      </c>
      <c r="F458" t="s">
        <v>369</v>
      </c>
      <c r="G458">
        <v>2</v>
      </c>
      <c r="H458" s="4">
        <v>95</v>
      </c>
      <c r="I458" s="3">
        <v>0</v>
      </c>
      <c r="J458" t="s">
        <v>90</v>
      </c>
      <c r="K458" t="s">
        <v>46</v>
      </c>
      <c r="L458" t="s">
        <v>1528</v>
      </c>
      <c r="M458" t="s">
        <v>123</v>
      </c>
      <c r="N458" t="s">
        <v>255</v>
      </c>
      <c r="O458" t="s">
        <v>81</v>
      </c>
      <c r="P458" t="s">
        <v>82</v>
      </c>
      <c r="Q458" t="s">
        <v>52</v>
      </c>
      <c r="R458" t="s">
        <v>317</v>
      </c>
      <c r="S458" t="s">
        <v>69</v>
      </c>
      <c r="T458" t="s">
        <v>371</v>
      </c>
      <c r="U458" s="5">
        <v>53</v>
      </c>
      <c r="V458" s="5" t="s">
        <v>85</v>
      </c>
      <c r="W458" s="5">
        <v>27</v>
      </c>
      <c r="X458" s="5">
        <v>4.7</v>
      </c>
      <c r="Y458" s="5">
        <v>7</v>
      </c>
      <c r="Z458" s="5" t="s">
        <v>57</v>
      </c>
      <c r="AA458" s="6">
        <v>70.3</v>
      </c>
      <c r="AB458" s="8">
        <f t="shared" si="91"/>
        <v>190</v>
      </c>
      <c r="AC458" s="8">
        <f t="shared" si="92"/>
        <v>0</v>
      </c>
      <c r="AD458" s="8">
        <f t="shared" si="93"/>
        <v>190</v>
      </c>
      <c r="AE458" s="8">
        <f t="shared" si="94"/>
        <v>140.6</v>
      </c>
      <c r="AF458" s="8">
        <f t="shared" si="95"/>
        <v>49.400000000000006</v>
      </c>
      <c r="AG458" s="9">
        <f t="shared" si="96"/>
        <v>0.26</v>
      </c>
      <c r="AH458" s="10">
        <f t="shared" si="97"/>
        <v>2025</v>
      </c>
      <c r="AI458" s="10">
        <f t="shared" si="98"/>
        <v>1</v>
      </c>
      <c r="AJ458" s="10" t="str">
        <f t="shared" si="99"/>
        <v>2025-01</v>
      </c>
      <c r="AK458" s="10" t="str">
        <f t="shared" si="100"/>
        <v>T1</v>
      </c>
      <c r="AL458" s="10" t="str">
        <f t="shared" si="101"/>
        <v>50+</v>
      </c>
      <c r="AM458" s="10" t="str">
        <f t="shared" si="102"/>
        <v>faible</v>
      </c>
      <c r="AN458" s="10" t="s">
        <v>2837</v>
      </c>
      <c r="AO458" s="10" t="str">
        <f t="shared" si="103"/>
        <v>Faible</v>
      </c>
    </row>
    <row r="459" spans="1:41">
      <c r="A459" t="s">
        <v>1529</v>
      </c>
      <c r="B459" s="2">
        <v>45860</v>
      </c>
      <c r="C459" t="s">
        <v>1530</v>
      </c>
      <c r="D459" t="s">
        <v>188</v>
      </c>
      <c r="E459" t="s">
        <v>61</v>
      </c>
      <c r="F459" t="s">
        <v>175</v>
      </c>
      <c r="G459">
        <v>1</v>
      </c>
      <c r="H459" s="4">
        <v>350</v>
      </c>
      <c r="I459" s="3">
        <v>0</v>
      </c>
      <c r="J459" t="s">
        <v>90</v>
      </c>
      <c r="K459" t="s">
        <v>46</v>
      </c>
      <c r="L459" t="s">
        <v>1531</v>
      </c>
      <c r="M459" t="s">
        <v>48</v>
      </c>
      <c r="N459" t="s">
        <v>49</v>
      </c>
      <c r="O459" t="s">
        <v>192</v>
      </c>
      <c r="P459" t="s">
        <v>51</v>
      </c>
      <c r="Q459" t="s">
        <v>114</v>
      </c>
      <c r="R459" t="s">
        <v>68</v>
      </c>
      <c r="S459" t="s">
        <v>69</v>
      </c>
      <c r="T459" t="s">
        <v>178</v>
      </c>
      <c r="U459" s="5">
        <v>55</v>
      </c>
      <c r="V459" s="5" t="s">
        <v>85</v>
      </c>
      <c r="W459" s="5">
        <v>38</v>
      </c>
      <c r="X459" s="5">
        <v>3.7</v>
      </c>
      <c r="Y459" s="5">
        <v>8</v>
      </c>
      <c r="Z459" s="5" t="s">
        <v>57</v>
      </c>
      <c r="AA459" s="6">
        <v>213.5</v>
      </c>
      <c r="AB459" s="8">
        <f t="shared" si="91"/>
        <v>350</v>
      </c>
      <c r="AC459" s="8">
        <f t="shared" si="92"/>
        <v>0</v>
      </c>
      <c r="AD459" s="8">
        <f t="shared" si="93"/>
        <v>350</v>
      </c>
      <c r="AE459" s="8">
        <f t="shared" si="94"/>
        <v>213.5</v>
      </c>
      <c r="AF459" s="8">
        <f t="shared" si="95"/>
        <v>136.5</v>
      </c>
      <c r="AG459" s="9">
        <f t="shared" si="96"/>
        <v>0.39</v>
      </c>
      <c r="AH459" s="10">
        <f t="shared" si="97"/>
        <v>2025</v>
      </c>
      <c r="AI459" s="10">
        <f t="shared" si="98"/>
        <v>7</v>
      </c>
      <c r="AJ459" s="10" t="str">
        <f t="shared" si="99"/>
        <v>2025-07</v>
      </c>
      <c r="AK459" s="10" t="str">
        <f t="shared" si="100"/>
        <v>T3</v>
      </c>
      <c r="AL459" s="10" t="str">
        <f t="shared" si="101"/>
        <v>50+</v>
      </c>
      <c r="AM459" s="10" t="str">
        <f t="shared" si="102"/>
        <v>faible</v>
      </c>
      <c r="AN459" s="10" t="s">
        <v>2837</v>
      </c>
      <c r="AO459" s="10" t="str">
        <f t="shared" si="103"/>
        <v>Faible</v>
      </c>
    </row>
    <row r="460" spans="1:41">
      <c r="A460" t="s">
        <v>1532</v>
      </c>
      <c r="B460" s="2">
        <v>45825</v>
      </c>
      <c r="C460" t="s">
        <v>1533</v>
      </c>
      <c r="D460" t="s">
        <v>155</v>
      </c>
      <c r="E460" t="s">
        <v>219</v>
      </c>
      <c r="F460" t="s">
        <v>282</v>
      </c>
      <c r="G460">
        <v>2</v>
      </c>
      <c r="H460" s="4">
        <v>48</v>
      </c>
      <c r="I460" s="3">
        <v>0</v>
      </c>
      <c r="J460" t="s">
        <v>90</v>
      </c>
      <c r="K460" t="s">
        <v>46</v>
      </c>
      <c r="L460" t="s">
        <v>1534</v>
      </c>
      <c r="M460" t="s">
        <v>69</v>
      </c>
      <c r="N460" t="s">
        <v>49</v>
      </c>
      <c r="O460" t="s">
        <v>158</v>
      </c>
      <c r="P460" t="s">
        <v>51</v>
      </c>
      <c r="Q460" t="s">
        <v>143</v>
      </c>
      <c r="R460" t="s">
        <v>222</v>
      </c>
      <c r="S460" t="s">
        <v>123</v>
      </c>
      <c r="T460" t="s">
        <v>284</v>
      </c>
      <c r="U460" s="5">
        <v>45</v>
      </c>
      <c r="V460" s="5" t="s">
        <v>85</v>
      </c>
      <c r="W460" s="5">
        <v>7</v>
      </c>
      <c r="X460" s="5">
        <v>6</v>
      </c>
      <c r="Y460" s="5">
        <v>4</v>
      </c>
      <c r="Z460" s="5" t="s">
        <v>117</v>
      </c>
      <c r="AA460" s="6">
        <v>37.44</v>
      </c>
      <c r="AB460" s="8">
        <f t="shared" si="91"/>
        <v>96</v>
      </c>
      <c r="AC460" s="8">
        <f t="shared" si="92"/>
        <v>0</v>
      </c>
      <c r="AD460" s="8">
        <f t="shared" si="93"/>
        <v>96</v>
      </c>
      <c r="AE460" s="8">
        <f t="shared" si="94"/>
        <v>74.88</v>
      </c>
      <c r="AF460" s="8">
        <f t="shared" si="95"/>
        <v>21.120000000000005</v>
      </c>
      <c r="AG460" s="9">
        <f t="shared" si="96"/>
        <v>0.22000000000000006</v>
      </c>
      <c r="AH460" s="10">
        <f t="shared" si="97"/>
        <v>2025</v>
      </c>
      <c r="AI460" s="10">
        <f t="shared" si="98"/>
        <v>6</v>
      </c>
      <c r="AJ460" s="10" t="str">
        <f t="shared" si="99"/>
        <v>2025-06</v>
      </c>
      <c r="AK460" s="10" t="str">
        <f t="shared" si="100"/>
        <v>T2</v>
      </c>
      <c r="AL460" s="10" t="str">
        <f t="shared" si="101"/>
        <v>40-49</v>
      </c>
      <c r="AM460" s="10" t="str">
        <f t="shared" si="102"/>
        <v>moyen</v>
      </c>
      <c r="AN460" s="10" t="s">
        <v>2839</v>
      </c>
      <c r="AO460" s="10" t="str">
        <f t="shared" si="103"/>
        <v>Faible</v>
      </c>
    </row>
    <row r="461" spans="1:41">
      <c r="A461" t="s">
        <v>1535</v>
      </c>
      <c r="B461" s="2">
        <v>45863</v>
      </c>
      <c r="C461" t="s">
        <v>1536</v>
      </c>
      <c r="D461" t="s">
        <v>108</v>
      </c>
      <c r="E461" t="s">
        <v>43</v>
      </c>
      <c r="F461" t="s">
        <v>190</v>
      </c>
      <c r="G461">
        <v>1</v>
      </c>
      <c r="H461" s="4">
        <v>240</v>
      </c>
      <c r="I461" s="3">
        <v>0.08</v>
      </c>
      <c r="J461" t="s">
        <v>77</v>
      </c>
      <c r="K461" t="s">
        <v>46</v>
      </c>
      <c r="L461" t="s">
        <v>1537</v>
      </c>
      <c r="M461" t="s">
        <v>48</v>
      </c>
      <c r="N461" t="s">
        <v>80</v>
      </c>
      <c r="O461" t="s">
        <v>113</v>
      </c>
      <c r="P461" t="s">
        <v>82</v>
      </c>
      <c r="Q461" t="s">
        <v>114</v>
      </c>
      <c r="R461" t="s">
        <v>53</v>
      </c>
      <c r="S461" t="s">
        <v>54</v>
      </c>
      <c r="T461" t="s">
        <v>194</v>
      </c>
      <c r="U461" s="5">
        <v>29</v>
      </c>
      <c r="V461" s="5" t="s">
        <v>85</v>
      </c>
      <c r="W461" s="5">
        <v>42</v>
      </c>
      <c r="X461" s="5">
        <v>4.8</v>
      </c>
      <c r="Y461" s="5">
        <v>6</v>
      </c>
      <c r="Z461" s="5" t="s">
        <v>71</v>
      </c>
      <c r="AA461" s="6">
        <v>177.6</v>
      </c>
      <c r="AB461" s="8">
        <f t="shared" si="91"/>
        <v>240</v>
      </c>
      <c r="AC461" s="8">
        <f t="shared" si="92"/>
        <v>19.2</v>
      </c>
      <c r="AD461" s="8">
        <f t="shared" si="93"/>
        <v>220.8</v>
      </c>
      <c r="AE461" s="8">
        <f t="shared" si="94"/>
        <v>177.6</v>
      </c>
      <c r="AF461" s="8">
        <f t="shared" si="95"/>
        <v>43.200000000000017</v>
      </c>
      <c r="AG461" s="9">
        <f t="shared" si="96"/>
        <v>0.19565217391304354</v>
      </c>
      <c r="AH461" s="10">
        <f t="shared" si="97"/>
        <v>2025</v>
      </c>
      <c r="AI461" s="10">
        <f t="shared" si="98"/>
        <v>7</v>
      </c>
      <c r="AJ461" s="10" t="str">
        <f t="shared" si="99"/>
        <v>2025-07</v>
      </c>
      <c r="AK461" s="10" t="str">
        <f t="shared" si="100"/>
        <v>T3</v>
      </c>
      <c r="AL461" s="10" t="str">
        <f t="shared" si="101"/>
        <v>22-29</v>
      </c>
      <c r="AM461" s="10" t="str">
        <f t="shared" si="102"/>
        <v>faible</v>
      </c>
      <c r="AN461" s="10" t="s">
        <v>2839</v>
      </c>
      <c r="AO461" s="10" t="str">
        <f t="shared" si="103"/>
        <v>Faible</v>
      </c>
    </row>
    <row r="462" spans="1:41">
      <c r="A462" t="s">
        <v>1538</v>
      </c>
      <c r="B462" s="2">
        <v>45756</v>
      </c>
      <c r="C462" t="s">
        <v>1539</v>
      </c>
      <c r="D462" t="s">
        <v>333</v>
      </c>
      <c r="E462" t="s">
        <v>345</v>
      </c>
      <c r="F462" t="s">
        <v>208</v>
      </c>
      <c r="G462">
        <v>3</v>
      </c>
      <c r="H462" s="4">
        <v>65</v>
      </c>
      <c r="I462" s="3">
        <v>0</v>
      </c>
      <c r="J462" t="s">
        <v>45</v>
      </c>
      <c r="K462" t="s">
        <v>46</v>
      </c>
      <c r="L462" t="s">
        <v>1540</v>
      </c>
      <c r="M462" t="s">
        <v>79</v>
      </c>
      <c r="N462" t="s">
        <v>49</v>
      </c>
      <c r="O462" t="s">
        <v>336</v>
      </c>
      <c r="P462" t="s">
        <v>51</v>
      </c>
      <c r="Q462" t="s">
        <v>52</v>
      </c>
      <c r="R462" t="s">
        <v>347</v>
      </c>
      <c r="S462" t="s">
        <v>54</v>
      </c>
      <c r="T462" t="s">
        <v>211</v>
      </c>
      <c r="U462" s="5">
        <v>56</v>
      </c>
      <c r="V462" s="5" t="s">
        <v>56</v>
      </c>
      <c r="W462" s="5">
        <v>16</v>
      </c>
      <c r="X462" s="5">
        <v>6.3</v>
      </c>
      <c r="Y462" s="5">
        <v>5</v>
      </c>
      <c r="Z462" s="5" t="s">
        <v>117</v>
      </c>
      <c r="AA462" s="6">
        <v>47.45</v>
      </c>
      <c r="AB462" s="8">
        <f t="shared" si="91"/>
        <v>195</v>
      </c>
      <c r="AC462" s="8">
        <f t="shared" si="92"/>
        <v>0</v>
      </c>
      <c r="AD462" s="8">
        <f t="shared" si="93"/>
        <v>195</v>
      </c>
      <c r="AE462" s="8">
        <f t="shared" si="94"/>
        <v>142.35000000000002</v>
      </c>
      <c r="AF462" s="8">
        <f t="shared" si="95"/>
        <v>52.649999999999977</v>
      </c>
      <c r="AG462" s="9">
        <f t="shared" si="96"/>
        <v>0.26999999999999991</v>
      </c>
      <c r="AH462" s="10">
        <f t="shared" si="97"/>
        <v>2025</v>
      </c>
      <c r="AI462" s="10">
        <f t="shared" si="98"/>
        <v>4</v>
      </c>
      <c r="AJ462" s="10" t="str">
        <f t="shared" si="99"/>
        <v>2025-04</v>
      </c>
      <c r="AK462" s="10" t="str">
        <f t="shared" si="100"/>
        <v>T2</v>
      </c>
      <c r="AL462" s="10" t="str">
        <f t="shared" si="101"/>
        <v>50+</v>
      </c>
      <c r="AM462" s="10" t="str">
        <f t="shared" si="102"/>
        <v>moyen</v>
      </c>
      <c r="AN462" s="10" t="s">
        <v>2839</v>
      </c>
      <c r="AO462" s="10" t="str">
        <f t="shared" si="103"/>
        <v>Faible</v>
      </c>
    </row>
    <row r="463" spans="1:41">
      <c r="A463" t="s">
        <v>1541</v>
      </c>
      <c r="B463" s="2">
        <v>45881</v>
      </c>
      <c r="C463" t="s">
        <v>1542</v>
      </c>
      <c r="D463" t="s">
        <v>60</v>
      </c>
      <c r="E463" t="s">
        <v>277</v>
      </c>
      <c r="F463" t="s">
        <v>429</v>
      </c>
      <c r="G463">
        <v>1</v>
      </c>
      <c r="H463" s="4">
        <v>180</v>
      </c>
      <c r="I463" s="3">
        <v>0.08</v>
      </c>
      <c r="J463" t="s">
        <v>45</v>
      </c>
      <c r="K463" t="s">
        <v>46</v>
      </c>
      <c r="L463" t="s">
        <v>1543</v>
      </c>
      <c r="M463" t="s">
        <v>123</v>
      </c>
      <c r="N463" t="s">
        <v>101</v>
      </c>
      <c r="O463" t="s">
        <v>66</v>
      </c>
      <c r="P463" t="s">
        <v>67</v>
      </c>
      <c r="Q463" t="s">
        <v>52</v>
      </c>
      <c r="R463" t="s">
        <v>279</v>
      </c>
      <c r="S463" t="s">
        <v>54</v>
      </c>
      <c r="T463" t="s">
        <v>431</v>
      </c>
      <c r="U463" s="5">
        <v>22</v>
      </c>
      <c r="V463" s="5" t="s">
        <v>56</v>
      </c>
      <c r="W463" s="5">
        <v>49</v>
      </c>
      <c r="X463" s="5">
        <v>7.3</v>
      </c>
      <c r="Y463" s="5">
        <v>3</v>
      </c>
      <c r="Z463" s="5" t="s">
        <v>117</v>
      </c>
      <c r="AA463" s="6">
        <v>129.6</v>
      </c>
      <c r="AB463" s="8">
        <f t="shared" si="91"/>
        <v>180</v>
      </c>
      <c r="AC463" s="8">
        <f t="shared" si="92"/>
        <v>14.4</v>
      </c>
      <c r="AD463" s="8">
        <f t="shared" si="93"/>
        <v>165.6</v>
      </c>
      <c r="AE463" s="8">
        <f t="shared" si="94"/>
        <v>129.6</v>
      </c>
      <c r="AF463" s="8">
        <f t="shared" si="95"/>
        <v>36</v>
      </c>
      <c r="AG463" s="9">
        <f t="shared" si="96"/>
        <v>0.21739130434782608</v>
      </c>
      <c r="AH463" s="10">
        <f t="shared" si="97"/>
        <v>2025</v>
      </c>
      <c r="AI463" s="10">
        <f t="shared" si="98"/>
        <v>8</v>
      </c>
      <c r="AJ463" s="10" t="str">
        <f t="shared" si="99"/>
        <v>2025-08</v>
      </c>
      <c r="AK463" s="10" t="str">
        <f t="shared" si="100"/>
        <v>T3</v>
      </c>
      <c r="AL463" s="10" t="str">
        <f t="shared" si="101"/>
        <v>22-29</v>
      </c>
      <c r="AM463" s="10" t="str">
        <f t="shared" si="102"/>
        <v>bon</v>
      </c>
      <c r="AN463" s="10" t="s">
        <v>2838</v>
      </c>
      <c r="AO463" s="10" t="str">
        <f t="shared" si="103"/>
        <v>Faible</v>
      </c>
    </row>
    <row r="464" spans="1:41">
      <c r="A464" t="s">
        <v>1544</v>
      </c>
      <c r="B464" s="2">
        <v>45803</v>
      </c>
      <c r="C464" t="s">
        <v>1545</v>
      </c>
      <c r="D464" t="s">
        <v>148</v>
      </c>
      <c r="E464" t="s">
        <v>75</v>
      </c>
      <c r="F464" t="s">
        <v>140</v>
      </c>
      <c r="G464">
        <v>1</v>
      </c>
      <c r="H464" s="4">
        <v>110</v>
      </c>
      <c r="I464" s="3">
        <v>0.02</v>
      </c>
      <c r="J464" t="s">
        <v>45</v>
      </c>
      <c r="K464" t="s">
        <v>46</v>
      </c>
      <c r="L464" t="s">
        <v>1546</v>
      </c>
      <c r="M464" t="s">
        <v>65</v>
      </c>
      <c r="N464" t="s">
        <v>112</v>
      </c>
      <c r="O464" t="s">
        <v>151</v>
      </c>
      <c r="P464" t="s">
        <v>103</v>
      </c>
      <c r="Q464" t="s">
        <v>114</v>
      </c>
      <c r="R464" t="s">
        <v>83</v>
      </c>
      <c r="S464" t="s">
        <v>69</v>
      </c>
      <c r="T464" t="s">
        <v>145</v>
      </c>
      <c r="U464" s="5">
        <v>59</v>
      </c>
      <c r="V464" s="5" t="s">
        <v>85</v>
      </c>
      <c r="W464" s="5">
        <v>29</v>
      </c>
      <c r="X464" s="5">
        <v>5</v>
      </c>
      <c r="Y464" s="5">
        <v>8</v>
      </c>
      <c r="Z464" s="5" t="s">
        <v>94</v>
      </c>
      <c r="AA464" s="6">
        <v>72.599999999999994</v>
      </c>
      <c r="AB464" s="8">
        <f t="shared" si="91"/>
        <v>110</v>
      </c>
      <c r="AC464" s="8">
        <f t="shared" si="92"/>
        <v>2.2000000000000002</v>
      </c>
      <c r="AD464" s="8">
        <f t="shared" si="93"/>
        <v>107.8</v>
      </c>
      <c r="AE464" s="8">
        <f t="shared" si="94"/>
        <v>72.599999999999994</v>
      </c>
      <c r="AF464" s="8">
        <f t="shared" si="95"/>
        <v>35.200000000000003</v>
      </c>
      <c r="AG464" s="9">
        <f t="shared" si="96"/>
        <v>0.32653061224489799</v>
      </c>
      <c r="AH464" s="10">
        <f t="shared" si="97"/>
        <v>2025</v>
      </c>
      <c r="AI464" s="10">
        <f t="shared" si="98"/>
        <v>5</v>
      </c>
      <c r="AJ464" s="10" t="str">
        <f t="shared" si="99"/>
        <v>2025-05</v>
      </c>
      <c r="AK464" s="10" t="str">
        <f t="shared" si="100"/>
        <v>T2</v>
      </c>
      <c r="AL464" s="10" t="str">
        <f t="shared" si="101"/>
        <v>50+</v>
      </c>
      <c r="AM464" s="10" t="str">
        <f t="shared" si="102"/>
        <v>moyen</v>
      </c>
      <c r="AN464" s="10" t="s">
        <v>2837</v>
      </c>
      <c r="AO464" s="10" t="str">
        <f t="shared" si="103"/>
        <v>Faible</v>
      </c>
    </row>
    <row r="465" spans="1:41">
      <c r="A465" t="s">
        <v>1547</v>
      </c>
      <c r="B465" s="2">
        <v>45894</v>
      </c>
      <c r="C465" t="s">
        <v>1548</v>
      </c>
      <c r="D465" t="s">
        <v>42</v>
      </c>
      <c r="E465" t="s">
        <v>109</v>
      </c>
      <c r="F465" t="s">
        <v>467</v>
      </c>
      <c r="G465">
        <v>3</v>
      </c>
      <c r="H465" s="4">
        <v>260</v>
      </c>
      <c r="I465" s="3">
        <v>0.08</v>
      </c>
      <c r="J465" t="s">
        <v>77</v>
      </c>
      <c r="K465" t="s">
        <v>46</v>
      </c>
      <c r="L465" t="s">
        <v>1549</v>
      </c>
      <c r="M465" t="s">
        <v>48</v>
      </c>
      <c r="N465" t="s">
        <v>49</v>
      </c>
      <c r="O465" t="s">
        <v>50</v>
      </c>
      <c r="P465" t="s">
        <v>51</v>
      </c>
      <c r="Q465" t="s">
        <v>52</v>
      </c>
      <c r="R465" t="s">
        <v>115</v>
      </c>
      <c r="S465" t="s">
        <v>65</v>
      </c>
      <c r="T465" t="s">
        <v>469</v>
      </c>
      <c r="U465" s="5">
        <v>25</v>
      </c>
      <c r="V465" s="5" t="s">
        <v>85</v>
      </c>
      <c r="W465" s="5">
        <v>29</v>
      </c>
      <c r="X465" s="5">
        <v>6.3</v>
      </c>
      <c r="Y465" s="5">
        <v>5</v>
      </c>
      <c r="Z465" s="5" t="s">
        <v>57</v>
      </c>
      <c r="AA465" s="6">
        <v>189.8</v>
      </c>
      <c r="AB465" s="8">
        <f t="shared" si="91"/>
        <v>780</v>
      </c>
      <c r="AC465" s="8">
        <f t="shared" si="92"/>
        <v>62.4</v>
      </c>
      <c r="AD465" s="8">
        <f t="shared" si="93"/>
        <v>717.6</v>
      </c>
      <c r="AE465" s="8">
        <f t="shared" si="94"/>
        <v>569.40000000000009</v>
      </c>
      <c r="AF465" s="8">
        <f t="shared" si="95"/>
        <v>148.19999999999993</v>
      </c>
      <c r="AG465" s="9">
        <f t="shared" si="96"/>
        <v>0.20652173913043467</v>
      </c>
      <c r="AH465" s="10">
        <f t="shared" si="97"/>
        <v>2025</v>
      </c>
      <c r="AI465" s="10">
        <f t="shared" si="98"/>
        <v>8</v>
      </c>
      <c r="AJ465" s="10" t="str">
        <f t="shared" si="99"/>
        <v>2025-08</v>
      </c>
      <c r="AK465" s="10" t="str">
        <f t="shared" si="100"/>
        <v>T3</v>
      </c>
      <c r="AL465" s="10" t="str">
        <f t="shared" si="101"/>
        <v>22-29</v>
      </c>
      <c r="AM465" s="10" t="str">
        <f t="shared" si="102"/>
        <v>moyen</v>
      </c>
      <c r="AN465" s="10" t="s">
        <v>2839</v>
      </c>
      <c r="AO465" s="10" t="str">
        <f t="shared" si="103"/>
        <v>Moyenne</v>
      </c>
    </row>
    <row r="466" spans="1:41">
      <c r="A466" t="s">
        <v>1550</v>
      </c>
      <c r="B466" s="2">
        <v>45690</v>
      </c>
      <c r="C466" t="s">
        <v>1551</v>
      </c>
      <c r="D466" t="s">
        <v>138</v>
      </c>
      <c r="E466" t="s">
        <v>189</v>
      </c>
      <c r="F466" t="s">
        <v>156</v>
      </c>
      <c r="G466">
        <v>3</v>
      </c>
      <c r="H466" s="4">
        <v>120</v>
      </c>
      <c r="I466" s="3">
        <v>0.08</v>
      </c>
      <c r="J466" t="s">
        <v>63</v>
      </c>
      <c r="K466" t="s">
        <v>46</v>
      </c>
      <c r="L466" t="s">
        <v>1552</v>
      </c>
      <c r="M466" t="s">
        <v>54</v>
      </c>
      <c r="N466" t="s">
        <v>255</v>
      </c>
      <c r="O466" t="s">
        <v>142</v>
      </c>
      <c r="P466" t="s">
        <v>51</v>
      </c>
      <c r="Q466" t="s">
        <v>143</v>
      </c>
      <c r="R466" t="s">
        <v>193</v>
      </c>
      <c r="S466" t="s">
        <v>79</v>
      </c>
      <c r="T466" t="s">
        <v>159</v>
      </c>
      <c r="U466" s="5">
        <v>49</v>
      </c>
      <c r="V466" s="5" t="s">
        <v>85</v>
      </c>
      <c r="W466" s="5">
        <v>23</v>
      </c>
      <c r="X466" s="5">
        <v>8.1</v>
      </c>
      <c r="Y466" s="5">
        <v>3</v>
      </c>
      <c r="Z466" s="5" t="s">
        <v>117</v>
      </c>
      <c r="AA466" s="6">
        <v>73.2</v>
      </c>
      <c r="AB466" s="8">
        <f t="shared" si="91"/>
        <v>360</v>
      </c>
      <c r="AC466" s="8">
        <f t="shared" si="92"/>
        <v>28.8</v>
      </c>
      <c r="AD466" s="8">
        <f t="shared" si="93"/>
        <v>331.2</v>
      </c>
      <c r="AE466" s="8">
        <f t="shared" si="94"/>
        <v>219.60000000000002</v>
      </c>
      <c r="AF466" s="8">
        <f t="shared" si="95"/>
        <v>111.59999999999997</v>
      </c>
      <c r="AG466" s="9">
        <f t="shared" si="96"/>
        <v>0.33695652173913032</v>
      </c>
      <c r="AH466" s="10">
        <f t="shared" si="97"/>
        <v>2025</v>
      </c>
      <c r="AI466" s="10">
        <f t="shared" si="98"/>
        <v>2</v>
      </c>
      <c r="AJ466" s="10" t="str">
        <f t="shared" si="99"/>
        <v>2025-02</v>
      </c>
      <c r="AK466" s="10" t="str">
        <f t="shared" si="100"/>
        <v>T1</v>
      </c>
      <c r="AL466" s="10" t="str">
        <f t="shared" si="101"/>
        <v>40-49</v>
      </c>
      <c r="AM466" s="10" t="str">
        <f t="shared" si="102"/>
        <v>bon</v>
      </c>
      <c r="AN466" s="10" t="s">
        <v>2838</v>
      </c>
      <c r="AO466" s="10" t="str">
        <f t="shared" si="103"/>
        <v>Faible</v>
      </c>
    </row>
    <row r="467" spans="1:41">
      <c r="A467" t="s">
        <v>1553</v>
      </c>
      <c r="B467" s="2">
        <v>45943</v>
      </c>
      <c r="C467" t="s">
        <v>894</v>
      </c>
      <c r="D467" t="s">
        <v>148</v>
      </c>
      <c r="E467" t="s">
        <v>277</v>
      </c>
      <c r="F467" t="s">
        <v>323</v>
      </c>
      <c r="G467">
        <v>1</v>
      </c>
      <c r="H467" s="4">
        <v>110</v>
      </c>
      <c r="I467" s="3">
        <v>0</v>
      </c>
      <c r="J467" t="s">
        <v>77</v>
      </c>
      <c r="K467" t="s">
        <v>46</v>
      </c>
      <c r="L467" t="s">
        <v>895</v>
      </c>
      <c r="M467" t="s">
        <v>65</v>
      </c>
      <c r="N467" t="s">
        <v>112</v>
      </c>
      <c r="O467" t="s">
        <v>151</v>
      </c>
      <c r="P467" t="s">
        <v>103</v>
      </c>
      <c r="Q467" t="s">
        <v>114</v>
      </c>
      <c r="R467" t="s">
        <v>279</v>
      </c>
      <c r="S467" t="s">
        <v>54</v>
      </c>
      <c r="T467" t="s">
        <v>325</v>
      </c>
      <c r="U467" s="5">
        <v>25</v>
      </c>
      <c r="V467" s="5" t="s">
        <v>85</v>
      </c>
      <c r="W467" s="5">
        <v>46</v>
      </c>
      <c r="X467" s="5">
        <v>5.0999999999999996</v>
      </c>
      <c r="Y467" s="5">
        <v>6</v>
      </c>
      <c r="Z467" s="5" t="s">
        <v>94</v>
      </c>
      <c r="AA467" s="6">
        <v>72.599999999999994</v>
      </c>
      <c r="AB467" s="8">
        <f t="shared" si="91"/>
        <v>110</v>
      </c>
      <c r="AC467" s="8">
        <f t="shared" si="92"/>
        <v>0</v>
      </c>
      <c r="AD467" s="8">
        <f t="shared" si="93"/>
        <v>110</v>
      </c>
      <c r="AE467" s="8">
        <f t="shared" si="94"/>
        <v>72.599999999999994</v>
      </c>
      <c r="AF467" s="8">
        <f t="shared" si="95"/>
        <v>37.400000000000006</v>
      </c>
      <c r="AG467" s="9">
        <f t="shared" si="96"/>
        <v>0.34</v>
      </c>
      <c r="AH467" s="10">
        <f t="shared" si="97"/>
        <v>2025</v>
      </c>
      <c r="AI467" s="10">
        <f t="shared" si="98"/>
        <v>10</v>
      </c>
      <c r="AJ467" s="10" t="str">
        <f t="shared" si="99"/>
        <v>2025-10</v>
      </c>
      <c r="AK467" s="10" t="str">
        <f t="shared" si="100"/>
        <v>T4</v>
      </c>
      <c r="AL467" s="10" t="str">
        <f t="shared" si="101"/>
        <v>22-29</v>
      </c>
      <c r="AM467" s="10" t="str">
        <f t="shared" si="102"/>
        <v>moyen</v>
      </c>
      <c r="AN467" s="10" t="s">
        <v>2839</v>
      </c>
      <c r="AO467" s="10" t="str">
        <f t="shared" si="103"/>
        <v>Faible</v>
      </c>
    </row>
    <row r="468" spans="1:41">
      <c r="A468" t="s">
        <v>1554</v>
      </c>
      <c r="B468" s="2">
        <v>45913</v>
      </c>
      <c r="C468" t="s">
        <v>1149</v>
      </c>
      <c r="D468" t="s">
        <v>42</v>
      </c>
      <c r="E468" t="s">
        <v>139</v>
      </c>
      <c r="F468" t="s">
        <v>302</v>
      </c>
      <c r="G468">
        <v>1</v>
      </c>
      <c r="H468" s="4">
        <v>260</v>
      </c>
      <c r="I468" s="3">
        <v>0.08</v>
      </c>
      <c r="J468" t="s">
        <v>45</v>
      </c>
      <c r="K468" t="s">
        <v>46</v>
      </c>
      <c r="L468" t="s">
        <v>1150</v>
      </c>
      <c r="M468" t="s">
        <v>65</v>
      </c>
      <c r="N468" t="s">
        <v>255</v>
      </c>
      <c r="O468" t="s">
        <v>50</v>
      </c>
      <c r="P468" t="s">
        <v>51</v>
      </c>
      <c r="Q468" t="s">
        <v>52</v>
      </c>
      <c r="R468" t="s">
        <v>144</v>
      </c>
      <c r="S468" t="s">
        <v>65</v>
      </c>
      <c r="T468" t="s">
        <v>304</v>
      </c>
      <c r="U468" s="5">
        <v>48</v>
      </c>
      <c r="V468" s="5" t="s">
        <v>56</v>
      </c>
      <c r="W468" s="5">
        <v>54</v>
      </c>
      <c r="X468" s="5">
        <v>9.3000000000000007</v>
      </c>
      <c r="Y468" s="5">
        <v>1</v>
      </c>
      <c r="Z468" s="5" t="s">
        <v>71</v>
      </c>
      <c r="AA468" s="6">
        <v>189.8</v>
      </c>
      <c r="AB468" s="8">
        <f t="shared" si="91"/>
        <v>260</v>
      </c>
      <c r="AC468" s="8">
        <f t="shared" si="92"/>
        <v>20.8</v>
      </c>
      <c r="AD468" s="8">
        <f t="shared" si="93"/>
        <v>239.2</v>
      </c>
      <c r="AE468" s="8">
        <f t="shared" si="94"/>
        <v>189.8</v>
      </c>
      <c r="AF468" s="8">
        <f t="shared" si="95"/>
        <v>49.399999999999977</v>
      </c>
      <c r="AG468" s="9">
        <f t="shared" si="96"/>
        <v>0.2065217391304347</v>
      </c>
      <c r="AH468" s="10">
        <f t="shared" si="97"/>
        <v>2025</v>
      </c>
      <c r="AI468" s="10">
        <f t="shared" si="98"/>
        <v>9</v>
      </c>
      <c r="AJ468" s="10" t="str">
        <f t="shared" si="99"/>
        <v>2025-09</v>
      </c>
      <c r="AK468" s="10" t="str">
        <f t="shared" si="100"/>
        <v>T3</v>
      </c>
      <c r="AL468" s="10" t="str">
        <f t="shared" si="101"/>
        <v>40-49</v>
      </c>
      <c r="AM468" s="10" t="str">
        <f t="shared" si="102"/>
        <v>excellent</v>
      </c>
      <c r="AN468" s="10" t="s">
        <v>2838</v>
      </c>
      <c r="AO468" s="10" t="str">
        <f t="shared" si="103"/>
        <v>Faible</v>
      </c>
    </row>
    <row r="469" spans="1:41">
      <c r="A469" t="s">
        <v>1555</v>
      </c>
      <c r="B469" s="2">
        <v>45950</v>
      </c>
      <c r="C469" t="s">
        <v>1556</v>
      </c>
      <c r="D469" t="s">
        <v>148</v>
      </c>
      <c r="E469" t="s">
        <v>219</v>
      </c>
      <c r="F469" t="s">
        <v>424</v>
      </c>
      <c r="G469">
        <v>10</v>
      </c>
      <c r="H469" s="4">
        <v>110</v>
      </c>
      <c r="I469" s="3">
        <v>0.08</v>
      </c>
      <c r="J469" t="s">
        <v>63</v>
      </c>
      <c r="K469" t="s">
        <v>46</v>
      </c>
      <c r="L469" t="s">
        <v>1557</v>
      </c>
      <c r="M469" t="s">
        <v>65</v>
      </c>
      <c r="N469" t="s">
        <v>101</v>
      </c>
      <c r="O469" t="s">
        <v>151</v>
      </c>
      <c r="P469" t="s">
        <v>103</v>
      </c>
      <c r="Q469" t="s">
        <v>114</v>
      </c>
      <c r="R469" t="s">
        <v>222</v>
      </c>
      <c r="S469" t="s">
        <v>123</v>
      </c>
      <c r="T469" t="s">
        <v>426</v>
      </c>
      <c r="U469" s="5">
        <v>50</v>
      </c>
      <c r="V469" s="5" t="s">
        <v>85</v>
      </c>
      <c r="W469" s="5">
        <v>56</v>
      </c>
      <c r="X469" s="5">
        <v>8.6999999999999993</v>
      </c>
      <c r="Y469" s="5">
        <v>2</v>
      </c>
      <c r="Z469" s="5" t="s">
        <v>57</v>
      </c>
      <c r="AA469" s="6">
        <v>72.599999999999994</v>
      </c>
      <c r="AB469" s="8">
        <f t="shared" si="91"/>
        <v>1100</v>
      </c>
      <c r="AC469" s="8">
        <f t="shared" si="92"/>
        <v>88</v>
      </c>
      <c r="AD469" s="8">
        <f t="shared" si="93"/>
        <v>1012</v>
      </c>
      <c r="AE469" s="8">
        <f t="shared" si="94"/>
        <v>726</v>
      </c>
      <c r="AF469" s="8">
        <f t="shared" si="95"/>
        <v>286</v>
      </c>
      <c r="AG469" s="9">
        <f t="shared" si="96"/>
        <v>0.28260869565217389</v>
      </c>
      <c r="AH469" s="10">
        <f t="shared" si="97"/>
        <v>2025</v>
      </c>
      <c r="AI469" s="10">
        <f t="shared" si="98"/>
        <v>10</v>
      </c>
      <c r="AJ469" s="10" t="str">
        <f t="shared" si="99"/>
        <v>2025-10</v>
      </c>
      <c r="AK469" s="10" t="str">
        <f t="shared" si="100"/>
        <v>T4</v>
      </c>
      <c r="AL469" s="10" t="str">
        <f t="shared" si="101"/>
        <v>50+</v>
      </c>
      <c r="AM469" s="10" t="str">
        <f t="shared" si="102"/>
        <v>bon</v>
      </c>
      <c r="AN469" s="10" t="s">
        <v>2838</v>
      </c>
      <c r="AO469" s="10" t="str">
        <f t="shared" si="103"/>
        <v>Elevée</v>
      </c>
    </row>
    <row r="470" spans="1:41">
      <c r="A470" t="s">
        <v>1558</v>
      </c>
      <c r="B470" s="2">
        <v>45929</v>
      </c>
      <c r="C470" t="s">
        <v>1559</v>
      </c>
      <c r="D470" t="s">
        <v>174</v>
      </c>
      <c r="E470" t="s">
        <v>88</v>
      </c>
      <c r="F470" t="s">
        <v>175</v>
      </c>
      <c r="G470">
        <v>2</v>
      </c>
      <c r="H470" s="4">
        <v>780</v>
      </c>
      <c r="I470" s="3">
        <v>0</v>
      </c>
      <c r="J470" t="s">
        <v>77</v>
      </c>
      <c r="K470" t="s">
        <v>46</v>
      </c>
      <c r="L470" t="s">
        <v>1560</v>
      </c>
      <c r="M470" t="s">
        <v>123</v>
      </c>
      <c r="N470" t="s">
        <v>101</v>
      </c>
      <c r="O470" t="s">
        <v>177</v>
      </c>
      <c r="P470" t="s">
        <v>103</v>
      </c>
      <c r="Q470" t="s">
        <v>114</v>
      </c>
      <c r="R470" t="s">
        <v>92</v>
      </c>
      <c r="S470" t="s">
        <v>48</v>
      </c>
      <c r="T470" t="s">
        <v>178</v>
      </c>
      <c r="U470" s="5">
        <v>42</v>
      </c>
      <c r="V470" s="5" t="s">
        <v>56</v>
      </c>
      <c r="W470" s="5">
        <v>52</v>
      </c>
      <c r="X470" s="5">
        <v>6.6</v>
      </c>
      <c r="Y470" s="5">
        <v>3</v>
      </c>
      <c r="Z470" s="5" t="s">
        <v>57</v>
      </c>
      <c r="AA470" s="6">
        <v>468</v>
      </c>
      <c r="AB470" s="8">
        <f t="shared" si="91"/>
        <v>1560</v>
      </c>
      <c r="AC470" s="8">
        <f t="shared" si="92"/>
        <v>0</v>
      </c>
      <c r="AD470" s="8">
        <f t="shared" si="93"/>
        <v>1560</v>
      </c>
      <c r="AE470" s="8">
        <f t="shared" si="94"/>
        <v>936</v>
      </c>
      <c r="AF470" s="8">
        <f t="shared" si="95"/>
        <v>624</v>
      </c>
      <c r="AG470" s="9">
        <f t="shared" si="96"/>
        <v>0.4</v>
      </c>
      <c r="AH470" s="10">
        <f t="shared" si="97"/>
        <v>2025</v>
      </c>
      <c r="AI470" s="10">
        <f t="shared" si="98"/>
        <v>9</v>
      </c>
      <c r="AJ470" s="10" t="str">
        <f t="shared" si="99"/>
        <v>2025-09</v>
      </c>
      <c r="AK470" s="10" t="str">
        <f t="shared" si="100"/>
        <v>T3</v>
      </c>
      <c r="AL470" s="10" t="str">
        <f t="shared" si="101"/>
        <v>40-49</v>
      </c>
      <c r="AM470" s="10" t="str">
        <f t="shared" si="102"/>
        <v>moyen</v>
      </c>
      <c r="AN470" s="10" t="s">
        <v>2838</v>
      </c>
      <c r="AO470" s="10" t="str">
        <f t="shared" si="103"/>
        <v>Elevée</v>
      </c>
    </row>
    <row r="471" spans="1:41">
      <c r="A471" t="s">
        <v>1561</v>
      </c>
      <c r="B471" s="2">
        <v>45957</v>
      </c>
      <c r="C471" t="s">
        <v>266</v>
      </c>
      <c r="D471" t="s">
        <v>138</v>
      </c>
      <c r="E471" t="s">
        <v>98</v>
      </c>
      <c r="F471" t="s">
        <v>267</v>
      </c>
      <c r="G471">
        <v>1</v>
      </c>
      <c r="H471" s="4">
        <v>120</v>
      </c>
      <c r="I471" s="3">
        <v>0</v>
      </c>
      <c r="J471" t="s">
        <v>63</v>
      </c>
      <c r="K471" t="s">
        <v>46</v>
      </c>
      <c r="L471" t="s">
        <v>268</v>
      </c>
      <c r="M471" t="s">
        <v>48</v>
      </c>
      <c r="N471" t="s">
        <v>101</v>
      </c>
      <c r="O471" t="s">
        <v>142</v>
      </c>
      <c r="P471" t="s">
        <v>51</v>
      </c>
      <c r="Q471" t="s">
        <v>143</v>
      </c>
      <c r="R471" t="s">
        <v>104</v>
      </c>
      <c r="S471" t="s">
        <v>79</v>
      </c>
      <c r="T471" t="s">
        <v>269</v>
      </c>
      <c r="U471" s="5">
        <v>52</v>
      </c>
      <c r="V471" s="5" t="s">
        <v>85</v>
      </c>
      <c r="W471" s="5">
        <v>42</v>
      </c>
      <c r="X471" s="5">
        <v>3.8</v>
      </c>
      <c r="Y471" s="5">
        <v>9</v>
      </c>
      <c r="Z471" s="5" t="s">
        <v>71</v>
      </c>
      <c r="AA471" s="6">
        <v>73.2</v>
      </c>
      <c r="AB471" s="8">
        <f t="shared" si="91"/>
        <v>120</v>
      </c>
      <c r="AC471" s="8">
        <f t="shared" si="92"/>
        <v>0</v>
      </c>
      <c r="AD471" s="8">
        <f t="shared" si="93"/>
        <v>120</v>
      </c>
      <c r="AE471" s="8">
        <f t="shared" si="94"/>
        <v>73.2</v>
      </c>
      <c r="AF471" s="8">
        <f t="shared" si="95"/>
        <v>46.8</v>
      </c>
      <c r="AG471" s="9">
        <f t="shared" si="96"/>
        <v>0.38999999999999996</v>
      </c>
      <c r="AH471" s="10">
        <f t="shared" si="97"/>
        <v>2025</v>
      </c>
      <c r="AI471" s="10">
        <f t="shared" si="98"/>
        <v>10</v>
      </c>
      <c r="AJ471" s="10" t="str">
        <f t="shared" si="99"/>
        <v>2025-10</v>
      </c>
      <c r="AK471" s="10" t="str">
        <f t="shared" si="100"/>
        <v>T4</v>
      </c>
      <c r="AL471" s="10" t="str">
        <f t="shared" si="101"/>
        <v>50+</v>
      </c>
      <c r="AM471" s="10" t="str">
        <f t="shared" si="102"/>
        <v>faible</v>
      </c>
      <c r="AN471" s="10" t="s">
        <v>2837</v>
      </c>
      <c r="AO471" s="10" t="str">
        <f t="shared" si="103"/>
        <v>Faible</v>
      </c>
    </row>
    <row r="472" spans="1:41">
      <c r="A472" t="s">
        <v>1562</v>
      </c>
      <c r="B472" s="2">
        <v>45909</v>
      </c>
      <c r="C472" t="s">
        <v>1563</v>
      </c>
      <c r="D472" t="s">
        <v>74</v>
      </c>
      <c r="E472" t="s">
        <v>61</v>
      </c>
      <c r="F472" t="s">
        <v>175</v>
      </c>
      <c r="G472">
        <v>20</v>
      </c>
      <c r="H472" s="4">
        <v>95</v>
      </c>
      <c r="I472" s="3">
        <v>0.02</v>
      </c>
      <c r="J472" t="s">
        <v>45</v>
      </c>
      <c r="K472" t="s">
        <v>46</v>
      </c>
      <c r="L472" t="s">
        <v>1564</v>
      </c>
      <c r="M472" t="s">
        <v>65</v>
      </c>
      <c r="N472" t="s">
        <v>49</v>
      </c>
      <c r="O472" t="s">
        <v>81</v>
      </c>
      <c r="P472" t="s">
        <v>82</v>
      </c>
      <c r="Q472" t="s">
        <v>52</v>
      </c>
      <c r="R472" t="s">
        <v>68</v>
      </c>
      <c r="S472" t="s">
        <v>69</v>
      </c>
      <c r="T472" t="s">
        <v>178</v>
      </c>
      <c r="U472" s="5">
        <v>38</v>
      </c>
      <c r="V472" s="5" t="s">
        <v>56</v>
      </c>
      <c r="W472" s="5">
        <v>57</v>
      </c>
      <c r="X472" s="5">
        <v>6.9</v>
      </c>
      <c r="Y472" s="5">
        <v>4</v>
      </c>
      <c r="Z472" s="5" t="s">
        <v>94</v>
      </c>
      <c r="AA472" s="6">
        <v>70.3</v>
      </c>
      <c r="AB472" s="8">
        <f t="shared" si="91"/>
        <v>1900</v>
      </c>
      <c r="AC472" s="8">
        <f t="shared" si="92"/>
        <v>38</v>
      </c>
      <c r="AD472" s="8">
        <f t="shared" si="93"/>
        <v>1862</v>
      </c>
      <c r="AE472" s="8">
        <f t="shared" si="94"/>
        <v>1406</v>
      </c>
      <c r="AF472" s="8">
        <f t="shared" si="95"/>
        <v>456</v>
      </c>
      <c r="AG472" s="9">
        <f t="shared" si="96"/>
        <v>0.24489795918367346</v>
      </c>
      <c r="AH472" s="10">
        <f t="shared" si="97"/>
        <v>2025</v>
      </c>
      <c r="AI472" s="10">
        <f t="shared" si="98"/>
        <v>9</v>
      </c>
      <c r="AJ472" s="10" t="str">
        <f t="shared" si="99"/>
        <v>2025-09</v>
      </c>
      <c r="AK472" s="10" t="str">
        <f t="shared" si="100"/>
        <v>T3</v>
      </c>
      <c r="AL472" s="10" t="str">
        <f t="shared" si="101"/>
        <v>30-39</v>
      </c>
      <c r="AM472" s="10" t="str">
        <f t="shared" si="102"/>
        <v>moyen</v>
      </c>
      <c r="AN472" s="10" t="s">
        <v>2839</v>
      </c>
      <c r="AO472" s="10" t="str">
        <f t="shared" si="103"/>
        <v>Elevée</v>
      </c>
    </row>
    <row r="473" spans="1:41">
      <c r="A473" t="s">
        <v>1565</v>
      </c>
      <c r="B473" s="2">
        <v>45766</v>
      </c>
      <c r="C473" t="s">
        <v>646</v>
      </c>
      <c r="D473" t="s">
        <v>97</v>
      </c>
      <c r="E473" t="s">
        <v>226</v>
      </c>
      <c r="F473" t="s">
        <v>429</v>
      </c>
      <c r="G473">
        <v>20</v>
      </c>
      <c r="H473" s="4">
        <v>520</v>
      </c>
      <c r="I473" s="3">
        <v>0.05</v>
      </c>
      <c r="J473" t="s">
        <v>77</v>
      </c>
      <c r="K473" t="s">
        <v>46</v>
      </c>
      <c r="L473" t="s">
        <v>647</v>
      </c>
      <c r="M473" t="s">
        <v>79</v>
      </c>
      <c r="N473" t="s">
        <v>80</v>
      </c>
      <c r="O473" t="s">
        <v>102</v>
      </c>
      <c r="P473" t="s">
        <v>103</v>
      </c>
      <c r="Q473" t="s">
        <v>52</v>
      </c>
      <c r="R473" t="s">
        <v>229</v>
      </c>
      <c r="S473" t="s">
        <v>48</v>
      </c>
      <c r="T473" t="s">
        <v>431</v>
      </c>
      <c r="U473" s="5">
        <v>33</v>
      </c>
      <c r="V473" s="5" t="s">
        <v>85</v>
      </c>
      <c r="W473" s="5">
        <v>17</v>
      </c>
      <c r="X473" s="5">
        <v>7.3</v>
      </c>
      <c r="Y473" s="5">
        <v>3</v>
      </c>
      <c r="Z473" s="5" t="s">
        <v>94</v>
      </c>
      <c r="AA473" s="6">
        <v>348.4</v>
      </c>
      <c r="AB473" s="8">
        <f t="shared" si="91"/>
        <v>10400</v>
      </c>
      <c r="AC473" s="8">
        <f t="shared" si="92"/>
        <v>520</v>
      </c>
      <c r="AD473" s="8">
        <f t="shared" si="93"/>
        <v>9880</v>
      </c>
      <c r="AE473" s="8">
        <f t="shared" si="94"/>
        <v>6968</v>
      </c>
      <c r="AF473" s="8">
        <f t="shared" si="95"/>
        <v>2912</v>
      </c>
      <c r="AG473" s="9">
        <f t="shared" si="96"/>
        <v>0.29473684210526313</v>
      </c>
      <c r="AH473" s="10">
        <f t="shared" si="97"/>
        <v>2025</v>
      </c>
      <c r="AI473" s="10">
        <f t="shared" si="98"/>
        <v>4</v>
      </c>
      <c r="AJ473" s="10" t="str">
        <f t="shared" si="99"/>
        <v>2025-04</v>
      </c>
      <c r="AK473" s="10" t="str">
        <f t="shared" si="100"/>
        <v>T2</v>
      </c>
      <c r="AL473" s="10" t="str">
        <f t="shared" si="101"/>
        <v>30-39</v>
      </c>
      <c r="AM473" s="10" t="str">
        <f t="shared" si="102"/>
        <v>bon</v>
      </c>
      <c r="AN473" s="10" t="s">
        <v>2838</v>
      </c>
      <c r="AO473" s="10" t="str">
        <f t="shared" si="103"/>
        <v>Elevée</v>
      </c>
    </row>
    <row r="474" spans="1:41">
      <c r="A474" t="s">
        <v>1566</v>
      </c>
      <c r="B474" s="2">
        <v>45838</v>
      </c>
      <c r="C474" t="s">
        <v>1567</v>
      </c>
      <c r="D474" t="s">
        <v>148</v>
      </c>
      <c r="E474" t="s">
        <v>61</v>
      </c>
      <c r="F474" t="s">
        <v>369</v>
      </c>
      <c r="G474">
        <v>4</v>
      </c>
      <c r="H474" s="4">
        <v>110</v>
      </c>
      <c r="I474" s="3">
        <v>0.02</v>
      </c>
      <c r="J474" t="s">
        <v>77</v>
      </c>
      <c r="K474" t="s">
        <v>46</v>
      </c>
      <c r="L474" t="s">
        <v>1568</v>
      </c>
      <c r="M474" t="s">
        <v>123</v>
      </c>
      <c r="N474" t="s">
        <v>101</v>
      </c>
      <c r="O474" t="s">
        <v>151</v>
      </c>
      <c r="P474" t="s">
        <v>103</v>
      </c>
      <c r="Q474" t="s">
        <v>114</v>
      </c>
      <c r="R474" t="s">
        <v>68</v>
      </c>
      <c r="S474" t="s">
        <v>69</v>
      </c>
      <c r="T474" t="s">
        <v>371</v>
      </c>
      <c r="U474" s="5">
        <v>30</v>
      </c>
      <c r="V474" s="5" t="s">
        <v>56</v>
      </c>
      <c r="W474" s="5">
        <v>72</v>
      </c>
      <c r="X474" s="5">
        <v>4.7</v>
      </c>
      <c r="Y474" s="5">
        <v>7</v>
      </c>
      <c r="Z474" s="5" t="s">
        <v>71</v>
      </c>
      <c r="AA474" s="6">
        <v>72.599999999999994</v>
      </c>
      <c r="AB474" s="8">
        <f t="shared" si="91"/>
        <v>440</v>
      </c>
      <c r="AC474" s="8">
        <f t="shared" si="92"/>
        <v>8.8000000000000007</v>
      </c>
      <c r="AD474" s="8">
        <f t="shared" si="93"/>
        <v>431.2</v>
      </c>
      <c r="AE474" s="8">
        <f t="shared" si="94"/>
        <v>290.39999999999998</v>
      </c>
      <c r="AF474" s="8">
        <f t="shared" si="95"/>
        <v>140.80000000000001</v>
      </c>
      <c r="AG474" s="9">
        <f t="shared" si="96"/>
        <v>0.32653061224489799</v>
      </c>
      <c r="AH474" s="10">
        <f t="shared" si="97"/>
        <v>2025</v>
      </c>
      <c r="AI474" s="10">
        <f t="shared" si="98"/>
        <v>6</v>
      </c>
      <c r="AJ474" s="10" t="str">
        <f t="shared" si="99"/>
        <v>2025-06</v>
      </c>
      <c r="AK474" s="10" t="str">
        <f t="shared" si="100"/>
        <v>T2</v>
      </c>
      <c r="AL474" s="10" t="str">
        <f t="shared" si="101"/>
        <v>30-39</v>
      </c>
      <c r="AM474" s="10" t="str">
        <f t="shared" si="102"/>
        <v>faible</v>
      </c>
      <c r="AN474" s="10" t="s">
        <v>2837</v>
      </c>
      <c r="AO474" s="10" t="str">
        <f t="shared" si="103"/>
        <v>Faible</v>
      </c>
    </row>
    <row r="475" spans="1:41">
      <c r="A475" t="s">
        <v>1569</v>
      </c>
      <c r="B475" s="2">
        <v>45932</v>
      </c>
      <c r="C475" t="s">
        <v>1570</v>
      </c>
      <c r="D475" t="s">
        <v>97</v>
      </c>
      <c r="E475" t="s">
        <v>189</v>
      </c>
      <c r="F475" t="s">
        <v>458</v>
      </c>
      <c r="G475">
        <v>3</v>
      </c>
      <c r="H475" s="4">
        <v>520</v>
      </c>
      <c r="I475" s="3">
        <v>0</v>
      </c>
      <c r="J475" t="s">
        <v>63</v>
      </c>
      <c r="K475" t="s">
        <v>46</v>
      </c>
      <c r="L475" t="s">
        <v>1571</v>
      </c>
      <c r="M475" t="s">
        <v>79</v>
      </c>
      <c r="N475" t="s">
        <v>255</v>
      </c>
      <c r="O475" t="s">
        <v>102</v>
      </c>
      <c r="P475" t="s">
        <v>103</v>
      </c>
      <c r="Q475" t="s">
        <v>52</v>
      </c>
      <c r="R475" t="s">
        <v>193</v>
      </c>
      <c r="S475" t="s">
        <v>79</v>
      </c>
      <c r="T475" t="s">
        <v>460</v>
      </c>
      <c r="U475" s="5">
        <v>46</v>
      </c>
      <c r="V475" s="5" t="s">
        <v>56</v>
      </c>
      <c r="W475" s="5">
        <v>69</v>
      </c>
      <c r="X475" s="5">
        <v>7.1</v>
      </c>
      <c r="Y475" s="5">
        <v>4</v>
      </c>
      <c r="Z475" s="5" t="s">
        <v>94</v>
      </c>
      <c r="AA475" s="6">
        <v>348.4</v>
      </c>
      <c r="AB475" s="8">
        <f t="shared" si="91"/>
        <v>1560</v>
      </c>
      <c r="AC475" s="8">
        <f t="shared" si="92"/>
        <v>0</v>
      </c>
      <c r="AD475" s="8">
        <f t="shared" si="93"/>
        <v>1560</v>
      </c>
      <c r="AE475" s="8">
        <f t="shared" si="94"/>
        <v>1045.1999999999998</v>
      </c>
      <c r="AF475" s="8">
        <f t="shared" si="95"/>
        <v>514.80000000000018</v>
      </c>
      <c r="AG475" s="9">
        <f t="shared" si="96"/>
        <v>0.33000000000000013</v>
      </c>
      <c r="AH475" s="10">
        <f t="shared" si="97"/>
        <v>2025</v>
      </c>
      <c r="AI475" s="10">
        <f t="shared" si="98"/>
        <v>10</v>
      </c>
      <c r="AJ475" s="10" t="str">
        <f t="shared" si="99"/>
        <v>2025-10</v>
      </c>
      <c r="AK475" s="10" t="str">
        <f t="shared" si="100"/>
        <v>T4</v>
      </c>
      <c r="AL475" s="10" t="str">
        <f t="shared" si="101"/>
        <v>40-49</v>
      </c>
      <c r="AM475" s="10" t="str">
        <f t="shared" si="102"/>
        <v>bon</v>
      </c>
      <c r="AN475" s="10" t="s">
        <v>2839</v>
      </c>
      <c r="AO475" s="10" t="str">
        <f t="shared" si="103"/>
        <v>Elevée</v>
      </c>
    </row>
    <row r="476" spans="1:41">
      <c r="A476" t="s">
        <v>1572</v>
      </c>
      <c r="B476" s="2">
        <v>45748</v>
      </c>
      <c r="C476" t="s">
        <v>1573</v>
      </c>
      <c r="D476" t="s">
        <v>74</v>
      </c>
      <c r="E476" t="s">
        <v>139</v>
      </c>
      <c r="F476" t="s">
        <v>62</v>
      </c>
      <c r="G476">
        <v>2</v>
      </c>
      <c r="H476" s="4">
        <v>95</v>
      </c>
      <c r="I476" s="3">
        <v>0</v>
      </c>
      <c r="J476" t="s">
        <v>77</v>
      </c>
      <c r="K476" t="s">
        <v>46</v>
      </c>
      <c r="L476" t="s">
        <v>1574</v>
      </c>
      <c r="M476" t="s">
        <v>69</v>
      </c>
      <c r="N476" t="s">
        <v>49</v>
      </c>
      <c r="O476" t="s">
        <v>81</v>
      </c>
      <c r="P476" t="s">
        <v>82</v>
      </c>
      <c r="Q476" t="s">
        <v>52</v>
      </c>
      <c r="R476" t="s">
        <v>144</v>
      </c>
      <c r="S476" t="s">
        <v>65</v>
      </c>
      <c r="T476" t="s">
        <v>70</v>
      </c>
      <c r="U476" s="5">
        <v>56</v>
      </c>
      <c r="V476" s="5" t="s">
        <v>85</v>
      </c>
      <c r="W476" s="5">
        <v>38</v>
      </c>
      <c r="X476" s="5">
        <v>6.4</v>
      </c>
      <c r="Y476" s="5">
        <v>4</v>
      </c>
      <c r="Z476" s="5" t="s">
        <v>117</v>
      </c>
      <c r="AA476" s="6">
        <v>70.3</v>
      </c>
      <c r="AB476" s="8">
        <f t="shared" si="91"/>
        <v>190</v>
      </c>
      <c r="AC476" s="8">
        <f t="shared" si="92"/>
        <v>0</v>
      </c>
      <c r="AD476" s="8">
        <f t="shared" si="93"/>
        <v>190</v>
      </c>
      <c r="AE476" s="8">
        <f t="shared" si="94"/>
        <v>140.6</v>
      </c>
      <c r="AF476" s="8">
        <f t="shared" si="95"/>
        <v>49.400000000000006</v>
      </c>
      <c r="AG476" s="9">
        <f t="shared" si="96"/>
        <v>0.26</v>
      </c>
      <c r="AH476" s="10">
        <f t="shared" si="97"/>
        <v>2025</v>
      </c>
      <c r="AI476" s="10">
        <f t="shared" si="98"/>
        <v>4</v>
      </c>
      <c r="AJ476" s="10" t="str">
        <f t="shared" si="99"/>
        <v>2025-04</v>
      </c>
      <c r="AK476" s="10" t="str">
        <f t="shared" si="100"/>
        <v>T2</v>
      </c>
      <c r="AL476" s="10" t="str">
        <f t="shared" si="101"/>
        <v>50+</v>
      </c>
      <c r="AM476" s="10" t="str">
        <f t="shared" si="102"/>
        <v>moyen</v>
      </c>
      <c r="AN476" s="10" t="s">
        <v>2839</v>
      </c>
      <c r="AO476" s="10" t="str">
        <f t="shared" si="103"/>
        <v>Faible</v>
      </c>
    </row>
    <row r="477" spans="1:41">
      <c r="A477" t="s">
        <v>1575</v>
      </c>
      <c r="B477" s="2">
        <v>45992</v>
      </c>
      <c r="C477" t="s">
        <v>1576</v>
      </c>
      <c r="D477" t="s">
        <v>97</v>
      </c>
      <c r="E477" t="s">
        <v>226</v>
      </c>
      <c r="F477" t="s">
        <v>89</v>
      </c>
      <c r="G477">
        <v>2</v>
      </c>
      <c r="H477" s="4">
        <v>520</v>
      </c>
      <c r="I477" s="3">
        <v>0.02</v>
      </c>
      <c r="J477" t="s">
        <v>63</v>
      </c>
      <c r="K477" t="s">
        <v>46</v>
      </c>
      <c r="L477" t="s">
        <v>1577</v>
      </c>
      <c r="M477" t="s">
        <v>54</v>
      </c>
      <c r="N477" t="s">
        <v>49</v>
      </c>
      <c r="O477" t="s">
        <v>102</v>
      </c>
      <c r="P477" t="s">
        <v>103</v>
      </c>
      <c r="Q477" t="s">
        <v>52</v>
      </c>
      <c r="R477" t="s">
        <v>229</v>
      </c>
      <c r="S477" t="s">
        <v>48</v>
      </c>
      <c r="T477" t="s">
        <v>93</v>
      </c>
      <c r="U477" s="5">
        <v>45</v>
      </c>
      <c r="V477" s="5" t="s">
        <v>56</v>
      </c>
      <c r="W477" s="5">
        <v>61</v>
      </c>
      <c r="X477" s="5">
        <v>5.6</v>
      </c>
      <c r="Y477" s="5">
        <v>5</v>
      </c>
      <c r="Z477" s="5" t="s">
        <v>117</v>
      </c>
      <c r="AA477" s="6">
        <v>348.4</v>
      </c>
      <c r="AB477" s="8">
        <f t="shared" si="91"/>
        <v>1040</v>
      </c>
      <c r="AC477" s="8">
        <f t="shared" si="92"/>
        <v>20.8</v>
      </c>
      <c r="AD477" s="8">
        <f t="shared" si="93"/>
        <v>1019.2</v>
      </c>
      <c r="AE477" s="8">
        <f t="shared" si="94"/>
        <v>696.8</v>
      </c>
      <c r="AF477" s="8">
        <f t="shared" si="95"/>
        <v>322.40000000000009</v>
      </c>
      <c r="AG477" s="9">
        <f t="shared" si="96"/>
        <v>0.31632653061224497</v>
      </c>
      <c r="AH477" s="10">
        <f t="shared" si="97"/>
        <v>2025</v>
      </c>
      <c r="AI477" s="10">
        <f t="shared" si="98"/>
        <v>12</v>
      </c>
      <c r="AJ477" s="10" t="str">
        <f t="shared" si="99"/>
        <v>2025-12</v>
      </c>
      <c r="AK477" s="10" t="str">
        <f t="shared" si="100"/>
        <v>T4</v>
      </c>
      <c r="AL477" s="10" t="str">
        <f t="shared" si="101"/>
        <v>40-49</v>
      </c>
      <c r="AM477" s="10" t="str">
        <f t="shared" si="102"/>
        <v>moyen</v>
      </c>
      <c r="AN477" s="10" t="s">
        <v>2839</v>
      </c>
      <c r="AO477" s="10" t="str">
        <f t="shared" si="103"/>
        <v>Elevée</v>
      </c>
    </row>
    <row r="478" spans="1:41">
      <c r="A478" t="s">
        <v>1578</v>
      </c>
      <c r="B478" s="2">
        <v>45978</v>
      </c>
      <c r="C478" t="s">
        <v>1579</v>
      </c>
      <c r="D478" t="s">
        <v>162</v>
      </c>
      <c r="E478" t="s">
        <v>75</v>
      </c>
      <c r="F478" t="s">
        <v>44</v>
      </c>
      <c r="G478">
        <v>2</v>
      </c>
      <c r="H478" s="4">
        <v>35</v>
      </c>
      <c r="I478" s="3">
        <v>0</v>
      </c>
      <c r="J478" t="s">
        <v>77</v>
      </c>
      <c r="K478" t="s">
        <v>46</v>
      </c>
      <c r="L478" t="s">
        <v>1580</v>
      </c>
      <c r="M478" t="s">
        <v>65</v>
      </c>
      <c r="N478" t="s">
        <v>101</v>
      </c>
      <c r="O478" t="s">
        <v>166</v>
      </c>
      <c r="P478" t="s">
        <v>103</v>
      </c>
      <c r="Q478" t="s">
        <v>143</v>
      </c>
      <c r="R478" t="s">
        <v>83</v>
      </c>
      <c r="S478" t="s">
        <v>69</v>
      </c>
      <c r="T478" t="s">
        <v>55</v>
      </c>
      <c r="U478" s="5">
        <v>24</v>
      </c>
      <c r="V478" s="5" t="s">
        <v>85</v>
      </c>
      <c r="W478" s="5">
        <v>42</v>
      </c>
      <c r="X478" s="5">
        <v>9.3000000000000007</v>
      </c>
      <c r="Y478" s="5">
        <v>1</v>
      </c>
      <c r="Z478" s="5" t="s">
        <v>117</v>
      </c>
      <c r="AA478" s="6">
        <v>24.15</v>
      </c>
      <c r="AB478" s="8">
        <f t="shared" si="91"/>
        <v>70</v>
      </c>
      <c r="AC478" s="8">
        <f t="shared" si="92"/>
        <v>0</v>
      </c>
      <c r="AD478" s="8">
        <f t="shared" si="93"/>
        <v>70</v>
      </c>
      <c r="AE478" s="8">
        <f t="shared" si="94"/>
        <v>48.3</v>
      </c>
      <c r="AF478" s="8">
        <f t="shared" si="95"/>
        <v>21.700000000000003</v>
      </c>
      <c r="AG478" s="9">
        <f t="shared" si="96"/>
        <v>0.31000000000000005</v>
      </c>
      <c r="AH478" s="10">
        <f t="shared" si="97"/>
        <v>2025</v>
      </c>
      <c r="AI478" s="10">
        <f t="shared" si="98"/>
        <v>11</v>
      </c>
      <c r="AJ478" s="10" t="str">
        <f t="shared" si="99"/>
        <v>2025-11</v>
      </c>
      <c r="AK478" s="10" t="str">
        <f t="shared" si="100"/>
        <v>T4</v>
      </c>
      <c r="AL478" s="10" t="str">
        <f t="shared" si="101"/>
        <v>22-29</v>
      </c>
      <c r="AM478" s="10" t="str">
        <f t="shared" si="102"/>
        <v>excellent</v>
      </c>
      <c r="AN478" s="10" t="s">
        <v>2838</v>
      </c>
      <c r="AO478" s="10" t="str">
        <f t="shared" si="103"/>
        <v>Faible</v>
      </c>
    </row>
    <row r="479" spans="1:41">
      <c r="A479" t="s">
        <v>1581</v>
      </c>
      <c r="B479" s="2">
        <v>45846</v>
      </c>
      <c r="C479" t="s">
        <v>1582</v>
      </c>
      <c r="D479" t="s">
        <v>181</v>
      </c>
      <c r="E479" t="s">
        <v>75</v>
      </c>
      <c r="F479" t="s">
        <v>233</v>
      </c>
      <c r="G479">
        <v>4</v>
      </c>
      <c r="H479" s="4">
        <v>145</v>
      </c>
      <c r="I479" s="3">
        <v>0</v>
      </c>
      <c r="J479" t="s">
        <v>45</v>
      </c>
      <c r="K479" t="s">
        <v>46</v>
      </c>
      <c r="L479" t="s">
        <v>1583</v>
      </c>
      <c r="M479" t="s">
        <v>65</v>
      </c>
      <c r="N479" t="s">
        <v>49</v>
      </c>
      <c r="O479" t="s">
        <v>184</v>
      </c>
      <c r="P479" t="s">
        <v>103</v>
      </c>
      <c r="Q479" t="s">
        <v>52</v>
      </c>
      <c r="R479" t="s">
        <v>83</v>
      </c>
      <c r="S479" t="s">
        <v>69</v>
      </c>
      <c r="T479" t="s">
        <v>235</v>
      </c>
      <c r="U479" s="5">
        <v>41</v>
      </c>
      <c r="V479" s="5" t="s">
        <v>56</v>
      </c>
      <c r="W479" s="5">
        <v>52</v>
      </c>
      <c r="X479" s="5">
        <v>7.1</v>
      </c>
      <c r="Y479" s="5">
        <v>4</v>
      </c>
      <c r="Z479" s="5" t="s">
        <v>57</v>
      </c>
      <c r="AA479" s="6">
        <v>97.15</v>
      </c>
      <c r="AB479" s="8">
        <f t="shared" si="91"/>
        <v>580</v>
      </c>
      <c r="AC479" s="8">
        <f t="shared" si="92"/>
        <v>0</v>
      </c>
      <c r="AD479" s="8">
        <f t="shared" si="93"/>
        <v>580</v>
      </c>
      <c r="AE479" s="8">
        <f t="shared" si="94"/>
        <v>388.6</v>
      </c>
      <c r="AF479" s="8">
        <f t="shared" si="95"/>
        <v>191.39999999999998</v>
      </c>
      <c r="AG479" s="9">
        <f t="shared" si="96"/>
        <v>0.32999999999999996</v>
      </c>
      <c r="AH479" s="10">
        <f t="shared" si="97"/>
        <v>2025</v>
      </c>
      <c r="AI479" s="10">
        <f t="shared" si="98"/>
        <v>7</v>
      </c>
      <c r="AJ479" s="10" t="str">
        <f t="shared" si="99"/>
        <v>2025-07</v>
      </c>
      <c r="AK479" s="10" t="str">
        <f t="shared" si="100"/>
        <v>T3</v>
      </c>
      <c r="AL479" s="10" t="str">
        <f t="shared" si="101"/>
        <v>40-49</v>
      </c>
      <c r="AM479" s="10" t="str">
        <f t="shared" si="102"/>
        <v>bon</v>
      </c>
      <c r="AN479" s="10" t="s">
        <v>2839</v>
      </c>
      <c r="AO479" s="10" t="str">
        <f t="shared" si="103"/>
        <v>Moyenne</v>
      </c>
    </row>
    <row r="480" spans="1:41">
      <c r="A480" t="s">
        <v>1584</v>
      </c>
      <c r="B480" s="2">
        <v>45691</v>
      </c>
      <c r="C480" t="s">
        <v>1171</v>
      </c>
      <c r="D480" t="s">
        <v>108</v>
      </c>
      <c r="E480" t="s">
        <v>98</v>
      </c>
      <c r="F480" t="s">
        <v>350</v>
      </c>
      <c r="G480">
        <v>5</v>
      </c>
      <c r="H480" s="4">
        <v>240</v>
      </c>
      <c r="I480" s="3">
        <v>0</v>
      </c>
      <c r="J480" t="s">
        <v>63</v>
      </c>
      <c r="K480" t="s">
        <v>46</v>
      </c>
      <c r="L480" t="s">
        <v>1172</v>
      </c>
      <c r="M480" t="s">
        <v>65</v>
      </c>
      <c r="N480" t="s">
        <v>80</v>
      </c>
      <c r="O480" t="s">
        <v>113</v>
      </c>
      <c r="P480" t="s">
        <v>82</v>
      </c>
      <c r="Q480" t="s">
        <v>114</v>
      </c>
      <c r="R480" t="s">
        <v>104</v>
      </c>
      <c r="S480" t="s">
        <v>79</v>
      </c>
      <c r="T480" t="s">
        <v>352</v>
      </c>
      <c r="U480" s="5">
        <v>43</v>
      </c>
      <c r="V480" s="5" t="s">
        <v>56</v>
      </c>
      <c r="W480" s="5">
        <v>31</v>
      </c>
      <c r="X480" s="5">
        <v>7.4</v>
      </c>
      <c r="Y480" s="5">
        <v>4</v>
      </c>
      <c r="Z480" s="5" t="s">
        <v>94</v>
      </c>
      <c r="AA480" s="6">
        <v>177.6</v>
      </c>
      <c r="AB480" s="8">
        <f t="shared" si="91"/>
        <v>1200</v>
      </c>
      <c r="AC480" s="8">
        <f t="shared" si="92"/>
        <v>0</v>
      </c>
      <c r="AD480" s="8">
        <f t="shared" si="93"/>
        <v>1200</v>
      </c>
      <c r="AE480" s="8">
        <f t="shared" si="94"/>
        <v>888</v>
      </c>
      <c r="AF480" s="8">
        <f t="shared" si="95"/>
        <v>312</v>
      </c>
      <c r="AG480" s="9">
        <f t="shared" si="96"/>
        <v>0.26</v>
      </c>
      <c r="AH480" s="10">
        <f t="shared" si="97"/>
        <v>2025</v>
      </c>
      <c r="AI480" s="10">
        <f t="shared" si="98"/>
        <v>2</v>
      </c>
      <c r="AJ480" s="10" t="str">
        <f t="shared" si="99"/>
        <v>2025-02</v>
      </c>
      <c r="AK480" s="10" t="str">
        <f t="shared" si="100"/>
        <v>T1</v>
      </c>
      <c r="AL480" s="10" t="str">
        <f t="shared" si="101"/>
        <v>40-49</v>
      </c>
      <c r="AM480" s="10" t="str">
        <f t="shared" si="102"/>
        <v>bon</v>
      </c>
      <c r="AN480" s="10" t="s">
        <v>2839</v>
      </c>
      <c r="AO480" s="10" t="str">
        <f t="shared" si="103"/>
        <v>Elevée</v>
      </c>
    </row>
    <row r="481" spans="1:41">
      <c r="A481" t="s">
        <v>1585</v>
      </c>
      <c r="B481" s="2">
        <v>45914</v>
      </c>
      <c r="C481" t="s">
        <v>466</v>
      </c>
      <c r="D481" t="s">
        <v>162</v>
      </c>
      <c r="E481" t="s">
        <v>75</v>
      </c>
      <c r="F481" t="s">
        <v>233</v>
      </c>
      <c r="G481">
        <v>3</v>
      </c>
      <c r="H481" s="4">
        <v>35</v>
      </c>
      <c r="I481" s="3">
        <v>0.1</v>
      </c>
      <c r="J481" t="s">
        <v>77</v>
      </c>
      <c r="K481" t="s">
        <v>46</v>
      </c>
      <c r="L481" t="s">
        <v>468</v>
      </c>
      <c r="M481" t="s">
        <v>123</v>
      </c>
      <c r="N481" t="s">
        <v>255</v>
      </c>
      <c r="O481" t="s">
        <v>166</v>
      </c>
      <c r="P481" t="s">
        <v>103</v>
      </c>
      <c r="Q481" t="s">
        <v>143</v>
      </c>
      <c r="R481" t="s">
        <v>83</v>
      </c>
      <c r="S481" t="s">
        <v>69</v>
      </c>
      <c r="T481" t="s">
        <v>235</v>
      </c>
      <c r="U481" s="5">
        <v>41</v>
      </c>
      <c r="V481" s="5" t="s">
        <v>85</v>
      </c>
      <c r="W481" s="5">
        <v>55</v>
      </c>
      <c r="X481" s="5">
        <v>6.5</v>
      </c>
      <c r="Y481" s="5">
        <v>5</v>
      </c>
      <c r="Z481" s="5" t="s">
        <v>117</v>
      </c>
      <c r="AA481" s="6">
        <v>24.15</v>
      </c>
      <c r="AB481" s="8">
        <f t="shared" si="91"/>
        <v>105</v>
      </c>
      <c r="AC481" s="8">
        <f t="shared" si="92"/>
        <v>10.5</v>
      </c>
      <c r="AD481" s="8">
        <f t="shared" si="93"/>
        <v>94.5</v>
      </c>
      <c r="AE481" s="8">
        <f t="shared" si="94"/>
        <v>72.449999999999989</v>
      </c>
      <c r="AF481" s="8">
        <f t="shared" si="95"/>
        <v>22.050000000000011</v>
      </c>
      <c r="AG481" s="9">
        <f t="shared" si="96"/>
        <v>0.23333333333333345</v>
      </c>
      <c r="AH481" s="10">
        <f t="shared" si="97"/>
        <v>2025</v>
      </c>
      <c r="AI481" s="10">
        <f t="shared" si="98"/>
        <v>9</v>
      </c>
      <c r="AJ481" s="10" t="str">
        <f t="shared" si="99"/>
        <v>2025-09</v>
      </c>
      <c r="AK481" s="10" t="str">
        <f t="shared" si="100"/>
        <v>T3</v>
      </c>
      <c r="AL481" s="10" t="str">
        <f t="shared" si="101"/>
        <v>40-49</v>
      </c>
      <c r="AM481" s="10" t="str">
        <f t="shared" si="102"/>
        <v>moyen</v>
      </c>
      <c r="AN481" s="10" t="s">
        <v>2839</v>
      </c>
      <c r="AO481" s="10" t="str">
        <f t="shared" si="103"/>
        <v>Faible</v>
      </c>
    </row>
    <row r="482" spans="1:41">
      <c r="A482" t="s">
        <v>1586</v>
      </c>
      <c r="B482" s="2">
        <v>45693</v>
      </c>
      <c r="C482" t="s">
        <v>587</v>
      </c>
      <c r="D482" t="s">
        <v>162</v>
      </c>
      <c r="E482" t="s">
        <v>139</v>
      </c>
      <c r="F482" t="s">
        <v>99</v>
      </c>
      <c r="G482">
        <v>1</v>
      </c>
      <c r="H482" s="4">
        <v>35</v>
      </c>
      <c r="I482" s="3">
        <v>0</v>
      </c>
      <c r="J482" t="s">
        <v>63</v>
      </c>
      <c r="K482" t="s">
        <v>46</v>
      </c>
      <c r="L482" t="s">
        <v>588</v>
      </c>
      <c r="M482" t="s">
        <v>48</v>
      </c>
      <c r="N482" t="s">
        <v>101</v>
      </c>
      <c r="O482" t="s">
        <v>166</v>
      </c>
      <c r="P482" t="s">
        <v>103</v>
      </c>
      <c r="Q482" t="s">
        <v>143</v>
      </c>
      <c r="R482" t="s">
        <v>144</v>
      </c>
      <c r="S482" t="s">
        <v>65</v>
      </c>
      <c r="T482" t="s">
        <v>105</v>
      </c>
      <c r="U482" s="5">
        <v>32</v>
      </c>
      <c r="V482" s="5" t="s">
        <v>85</v>
      </c>
      <c r="W482" s="5">
        <v>72</v>
      </c>
      <c r="X482" s="5">
        <v>8.3000000000000007</v>
      </c>
      <c r="Y482" s="5">
        <v>2</v>
      </c>
      <c r="Z482" s="5" t="s">
        <v>71</v>
      </c>
      <c r="AA482" s="6">
        <v>24.15</v>
      </c>
      <c r="AB482" s="8">
        <f t="shared" si="91"/>
        <v>35</v>
      </c>
      <c r="AC482" s="8">
        <f t="shared" si="92"/>
        <v>0</v>
      </c>
      <c r="AD482" s="8">
        <f t="shared" si="93"/>
        <v>35</v>
      </c>
      <c r="AE482" s="8">
        <f t="shared" si="94"/>
        <v>24.15</v>
      </c>
      <c r="AF482" s="8">
        <f t="shared" si="95"/>
        <v>10.850000000000001</v>
      </c>
      <c r="AG482" s="9">
        <f t="shared" si="96"/>
        <v>0.31000000000000005</v>
      </c>
      <c r="AH482" s="10">
        <f t="shared" si="97"/>
        <v>2025</v>
      </c>
      <c r="AI482" s="10">
        <f t="shared" si="98"/>
        <v>2</v>
      </c>
      <c r="AJ482" s="10" t="str">
        <f t="shared" si="99"/>
        <v>2025-02</v>
      </c>
      <c r="AK482" s="10" t="str">
        <f t="shared" si="100"/>
        <v>T1</v>
      </c>
      <c r="AL482" s="10" t="str">
        <f t="shared" si="101"/>
        <v>30-39</v>
      </c>
      <c r="AM482" s="10" t="str">
        <f t="shared" si="102"/>
        <v>bon</v>
      </c>
      <c r="AN482" s="10" t="s">
        <v>2838</v>
      </c>
      <c r="AO482" s="10" t="str">
        <f t="shared" si="103"/>
        <v>Faible</v>
      </c>
    </row>
    <row r="483" spans="1:41">
      <c r="A483" t="s">
        <v>1587</v>
      </c>
      <c r="B483" s="2">
        <v>45871</v>
      </c>
      <c r="C483" t="s">
        <v>1588</v>
      </c>
      <c r="D483" t="s">
        <v>148</v>
      </c>
      <c r="E483" t="s">
        <v>214</v>
      </c>
      <c r="F483" t="s">
        <v>208</v>
      </c>
      <c r="G483">
        <v>10</v>
      </c>
      <c r="H483" s="4">
        <v>110</v>
      </c>
      <c r="I483" s="3">
        <v>0.08</v>
      </c>
      <c r="J483" t="s">
        <v>90</v>
      </c>
      <c r="K483" t="s">
        <v>46</v>
      </c>
      <c r="L483" t="s">
        <v>1589</v>
      </c>
      <c r="M483" t="s">
        <v>48</v>
      </c>
      <c r="N483" t="s">
        <v>255</v>
      </c>
      <c r="O483" t="s">
        <v>151</v>
      </c>
      <c r="P483" t="s">
        <v>103</v>
      </c>
      <c r="Q483" t="s">
        <v>114</v>
      </c>
      <c r="R483" t="s">
        <v>216</v>
      </c>
      <c r="S483" t="s">
        <v>65</v>
      </c>
      <c r="T483" t="s">
        <v>211</v>
      </c>
      <c r="U483" s="5">
        <v>33</v>
      </c>
      <c r="V483" s="5" t="s">
        <v>56</v>
      </c>
      <c r="W483" s="5">
        <v>9</v>
      </c>
      <c r="X483" s="5">
        <v>8.1999999999999993</v>
      </c>
      <c r="Y483" s="5">
        <v>1</v>
      </c>
      <c r="Z483" s="5" t="s">
        <v>57</v>
      </c>
      <c r="AA483" s="6">
        <v>72.599999999999994</v>
      </c>
      <c r="AB483" s="8">
        <f t="shared" si="91"/>
        <v>1100</v>
      </c>
      <c r="AC483" s="8">
        <f t="shared" si="92"/>
        <v>88</v>
      </c>
      <c r="AD483" s="8">
        <f t="shared" si="93"/>
        <v>1012</v>
      </c>
      <c r="AE483" s="8">
        <f t="shared" si="94"/>
        <v>726</v>
      </c>
      <c r="AF483" s="8">
        <f t="shared" si="95"/>
        <v>286</v>
      </c>
      <c r="AG483" s="9">
        <f t="shared" si="96"/>
        <v>0.28260869565217389</v>
      </c>
      <c r="AH483" s="10">
        <f t="shared" si="97"/>
        <v>2025</v>
      </c>
      <c r="AI483" s="10">
        <f t="shared" si="98"/>
        <v>8</v>
      </c>
      <c r="AJ483" s="10" t="str">
        <f t="shared" si="99"/>
        <v>2025-08</v>
      </c>
      <c r="AK483" s="10" t="str">
        <f t="shared" si="100"/>
        <v>T3</v>
      </c>
      <c r="AL483" s="10" t="str">
        <f t="shared" si="101"/>
        <v>30-39</v>
      </c>
      <c r="AM483" s="10" t="str">
        <f t="shared" si="102"/>
        <v>bon</v>
      </c>
      <c r="AN483" s="10" t="s">
        <v>2838</v>
      </c>
      <c r="AO483" s="10" t="str">
        <f t="shared" si="103"/>
        <v>Elevée</v>
      </c>
    </row>
    <row r="484" spans="1:41">
      <c r="A484" t="s">
        <v>1590</v>
      </c>
      <c r="B484" s="2">
        <v>45688</v>
      </c>
      <c r="C484" t="s">
        <v>1501</v>
      </c>
      <c r="D484" t="s">
        <v>138</v>
      </c>
      <c r="E484" t="s">
        <v>139</v>
      </c>
      <c r="F484" t="s">
        <v>676</v>
      </c>
      <c r="G484">
        <v>2</v>
      </c>
      <c r="H484" s="4">
        <v>120</v>
      </c>
      <c r="I484" s="3">
        <v>0.02</v>
      </c>
      <c r="J484" t="s">
        <v>90</v>
      </c>
      <c r="K484" t="s">
        <v>46</v>
      </c>
      <c r="L484" t="s">
        <v>1502</v>
      </c>
      <c r="M484" t="s">
        <v>54</v>
      </c>
      <c r="N484" t="s">
        <v>112</v>
      </c>
      <c r="O484" t="s">
        <v>142</v>
      </c>
      <c r="P484" t="s">
        <v>51</v>
      </c>
      <c r="Q484" t="s">
        <v>143</v>
      </c>
      <c r="R484" t="s">
        <v>144</v>
      </c>
      <c r="S484" t="s">
        <v>65</v>
      </c>
      <c r="T484" t="s">
        <v>678</v>
      </c>
      <c r="U484" s="5">
        <v>47</v>
      </c>
      <c r="V484" s="5" t="s">
        <v>85</v>
      </c>
      <c r="W484" s="5">
        <v>14</v>
      </c>
      <c r="X484" s="5">
        <v>7.2</v>
      </c>
      <c r="Y484" s="5">
        <v>3</v>
      </c>
      <c r="Z484" s="5" t="s">
        <v>94</v>
      </c>
      <c r="AA484" s="6">
        <v>73.2</v>
      </c>
      <c r="AB484" s="8">
        <f t="shared" si="91"/>
        <v>240</v>
      </c>
      <c r="AC484" s="8">
        <f t="shared" si="92"/>
        <v>4.8</v>
      </c>
      <c r="AD484" s="8">
        <f t="shared" si="93"/>
        <v>235.2</v>
      </c>
      <c r="AE484" s="8">
        <f t="shared" si="94"/>
        <v>146.4</v>
      </c>
      <c r="AF484" s="8">
        <f t="shared" si="95"/>
        <v>88.799999999999983</v>
      </c>
      <c r="AG484" s="9">
        <f t="shared" si="96"/>
        <v>0.37755102040816318</v>
      </c>
      <c r="AH484" s="10">
        <f t="shared" si="97"/>
        <v>2025</v>
      </c>
      <c r="AI484" s="10">
        <f t="shared" si="98"/>
        <v>1</v>
      </c>
      <c r="AJ484" s="10" t="str">
        <f t="shared" si="99"/>
        <v>2025-01</v>
      </c>
      <c r="AK484" s="10" t="str">
        <f t="shared" si="100"/>
        <v>T1</v>
      </c>
      <c r="AL484" s="10" t="str">
        <f t="shared" si="101"/>
        <v>40-49</v>
      </c>
      <c r="AM484" s="10" t="str">
        <f t="shared" si="102"/>
        <v>bon</v>
      </c>
      <c r="AN484" s="10" t="s">
        <v>2838</v>
      </c>
      <c r="AO484" s="10" t="str">
        <f t="shared" si="103"/>
        <v>Faible</v>
      </c>
    </row>
    <row r="485" spans="1:41">
      <c r="A485" t="s">
        <v>1591</v>
      </c>
      <c r="B485" s="2">
        <v>45721</v>
      </c>
      <c r="C485" t="s">
        <v>1592</v>
      </c>
      <c r="D485" t="s">
        <v>155</v>
      </c>
      <c r="E485" t="s">
        <v>129</v>
      </c>
      <c r="F485" t="s">
        <v>208</v>
      </c>
      <c r="G485">
        <v>1</v>
      </c>
      <c r="H485" s="4">
        <v>48</v>
      </c>
      <c r="I485" s="3">
        <v>0.1</v>
      </c>
      <c r="J485" t="s">
        <v>77</v>
      </c>
      <c r="K485" t="s">
        <v>46</v>
      </c>
      <c r="L485" t="s">
        <v>1593</v>
      </c>
      <c r="M485" t="s">
        <v>69</v>
      </c>
      <c r="N485" t="s">
        <v>255</v>
      </c>
      <c r="O485" t="s">
        <v>158</v>
      </c>
      <c r="P485" t="s">
        <v>51</v>
      </c>
      <c r="Q485" t="s">
        <v>143</v>
      </c>
      <c r="R485" t="s">
        <v>134</v>
      </c>
      <c r="S485" t="s">
        <v>123</v>
      </c>
      <c r="T485" t="s">
        <v>211</v>
      </c>
      <c r="U485" s="5">
        <v>31</v>
      </c>
      <c r="V485" s="5" t="s">
        <v>85</v>
      </c>
      <c r="W485" s="5">
        <v>6</v>
      </c>
      <c r="X485" s="5">
        <v>8.1999999999999993</v>
      </c>
      <c r="Y485" s="5">
        <v>1</v>
      </c>
      <c r="Z485" s="5" t="s">
        <v>94</v>
      </c>
      <c r="AA485" s="6">
        <v>37.44</v>
      </c>
      <c r="AB485" s="8">
        <f t="shared" si="91"/>
        <v>48</v>
      </c>
      <c r="AC485" s="8">
        <f t="shared" si="92"/>
        <v>4.8000000000000007</v>
      </c>
      <c r="AD485" s="8">
        <f t="shared" si="93"/>
        <v>43.2</v>
      </c>
      <c r="AE485" s="8">
        <f t="shared" si="94"/>
        <v>37.44</v>
      </c>
      <c r="AF485" s="8">
        <f t="shared" si="95"/>
        <v>5.7600000000000051</v>
      </c>
      <c r="AG485" s="9">
        <f t="shared" si="96"/>
        <v>0.13333333333333344</v>
      </c>
      <c r="AH485" s="10">
        <f t="shared" si="97"/>
        <v>2025</v>
      </c>
      <c r="AI485" s="10">
        <f t="shared" si="98"/>
        <v>3</v>
      </c>
      <c r="AJ485" s="10" t="str">
        <f t="shared" si="99"/>
        <v>2025-03</v>
      </c>
      <c r="AK485" s="10" t="str">
        <f t="shared" si="100"/>
        <v>T1</v>
      </c>
      <c r="AL485" s="10" t="str">
        <f t="shared" si="101"/>
        <v>30-39</v>
      </c>
      <c r="AM485" s="10" t="str">
        <f t="shared" si="102"/>
        <v>bon</v>
      </c>
      <c r="AN485" s="10" t="s">
        <v>2838</v>
      </c>
      <c r="AO485" s="10" t="str">
        <f t="shared" si="103"/>
        <v>Faible</v>
      </c>
    </row>
    <row r="486" spans="1:41">
      <c r="A486" t="s">
        <v>1594</v>
      </c>
      <c r="B486" s="2">
        <v>45994</v>
      </c>
      <c r="C486" t="s">
        <v>1595</v>
      </c>
      <c r="D486" t="s">
        <v>128</v>
      </c>
      <c r="E486" t="s">
        <v>315</v>
      </c>
      <c r="F486" t="s">
        <v>369</v>
      </c>
      <c r="G486">
        <v>2</v>
      </c>
      <c r="H486" s="4">
        <v>190</v>
      </c>
      <c r="I486" s="3">
        <v>0</v>
      </c>
      <c r="J486" t="s">
        <v>63</v>
      </c>
      <c r="K486" t="s">
        <v>46</v>
      </c>
      <c r="L486" t="s">
        <v>1596</v>
      </c>
      <c r="M486" t="s">
        <v>54</v>
      </c>
      <c r="N486" t="s">
        <v>49</v>
      </c>
      <c r="O486" t="s">
        <v>132</v>
      </c>
      <c r="P486" t="s">
        <v>133</v>
      </c>
      <c r="Q486" t="s">
        <v>52</v>
      </c>
      <c r="R486" t="s">
        <v>317</v>
      </c>
      <c r="S486" t="s">
        <v>69</v>
      </c>
      <c r="T486" t="s">
        <v>371</v>
      </c>
      <c r="U486" s="5">
        <v>23</v>
      </c>
      <c r="V486" s="5" t="s">
        <v>85</v>
      </c>
      <c r="W486" s="5">
        <v>31</v>
      </c>
      <c r="X486" s="5">
        <v>5</v>
      </c>
      <c r="Y486" s="5">
        <v>7</v>
      </c>
      <c r="Z486" s="5" t="s">
        <v>71</v>
      </c>
      <c r="AA486" s="6">
        <v>148.19999999999999</v>
      </c>
      <c r="AB486" s="8">
        <f t="shared" si="91"/>
        <v>380</v>
      </c>
      <c r="AC486" s="8">
        <f t="shared" si="92"/>
        <v>0</v>
      </c>
      <c r="AD486" s="8">
        <f t="shared" si="93"/>
        <v>380</v>
      </c>
      <c r="AE486" s="8">
        <f t="shared" si="94"/>
        <v>296.39999999999998</v>
      </c>
      <c r="AF486" s="8">
        <f t="shared" si="95"/>
        <v>83.600000000000023</v>
      </c>
      <c r="AG486" s="9">
        <f t="shared" si="96"/>
        <v>0.22000000000000006</v>
      </c>
      <c r="AH486" s="10">
        <f t="shared" si="97"/>
        <v>2025</v>
      </c>
      <c r="AI486" s="10">
        <f t="shared" si="98"/>
        <v>12</v>
      </c>
      <c r="AJ486" s="10" t="str">
        <f t="shared" si="99"/>
        <v>2025-12</v>
      </c>
      <c r="AK486" s="10" t="str">
        <f t="shared" si="100"/>
        <v>T4</v>
      </c>
      <c r="AL486" s="10" t="str">
        <f t="shared" si="101"/>
        <v>22-29</v>
      </c>
      <c r="AM486" s="10" t="str">
        <f t="shared" si="102"/>
        <v>moyen</v>
      </c>
      <c r="AN486" s="10" t="s">
        <v>2837</v>
      </c>
      <c r="AO486" s="10" t="str">
        <f t="shared" si="103"/>
        <v>Faible</v>
      </c>
    </row>
    <row r="487" spans="1:41">
      <c r="A487" t="s">
        <v>1597</v>
      </c>
      <c r="B487" s="2">
        <v>46021</v>
      </c>
      <c r="C487" t="s">
        <v>1598</v>
      </c>
      <c r="D487" t="s">
        <v>108</v>
      </c>
      <c r="E487" t="s">
        <v>214</v>
      </c>
      <c r="F487" t="s">
        <v>233</v>
      </c>
      <c r="G487">
        <v>2</v>
      </c>
      <c r="H487" s="4">
        <v>240</v>
      </c>
      <c r="I487" s="3">
        <v>0</v>
      </c>
      <c r="J487" t="s">
        <v>77</v>
      </c>
      <c r="K487" t="s">
        <v>46</v>
      </c>
      <c r="L487" t="s">
        <v>1599</v>
      </c>
      <c r="M487" t="s">
        <v>65</v>
      </c>
      <c r="N487" t="s">
        <v>49</v>
      </c>
      <c r="O487" t="s">
        <v>113</v>
      </c>
      <c r="P487" t="s">
        <v>82</v>
      </c>
      <c r="Q487" t="s">
        <v>114</v>
      </c>
      <c r="R487" t="s">
        <v>216</v>
      </c>
      <c r="S487" t="s">
        <v>65</v>
      </c>
      <c r="T487" t="s">
        <v>235</v>
      </c>
      <c r="U487" s="5">
        <v>42</v>
      </c>
      <c r="V487" s="5" t="s">
        <v>56</v>
      </c>
      <c r="W487" s="5">
        <v>11</v>
      </c>
      <c r="X487" s="5">
        <v>8.1</v>
      </c>
      <c r="Y487" s="5">
        <v>3</v>
      </c>
      <c r="Z487" s="5" t="s">
        <v>57</v>
      </c>
      <c r="AA487" s="6">
        <v>177.6</v>
      </c>
      <c r="AB487" s="8">
        <f t="shared" si="91"/>
        <v>480</v>
      </c>
      <c r="AC487" s="8">
        <f t="shared" si="92"/>
        <v>0</v>
      </c>
      <c r="AD487" s="8">
        <f t="shared" si="93"/>
        <v>480</v>
      </c>
      <c r="AE487" s="8">
        <f t="shared" si="94"/>
        <v>355.2</v>
      </c>
      <c r="AF487" s="8">
        <f t="shared" si="95"/>
        <v>124.80000000000001</v>
      </c>
      <c r="AG487" s="9">
        <f t="shared" si="96"/>
        <v>0.26</v>
      </c>
      <c r="AH487" s="10">
        <f t="shared" si="97"/>
        <v>2025</v>
      </c>
      <c r="AI487" s="10">
        <f t="shared" si="98"/>
        <v>12</v>
      </c>
      <c r="AJ487" s="10" t="str">
        <f t="shared" si="99"/>
        <v>2025-12</v>
      </c>
      <c r="AK487" s="10" t="str">
        <f t="shared" si="100"/>
        <v>T4</v>
      </c>
      <c r="AL487" s="10" t="str">
        <f t="shared" si="101"/>
        <v>40-49</v>
      </c>
      <c r="AM487" s="10" t="str">
        <f t="shared" si="102"/>
        <v>bon</v>
      </c>
      <c r="AN487" s="10" t="s">
        <v>2838</v>
      </c>
      <c r="AO487" s="10" t="str">
        <f t="shared" si="103"/>
        <v>Faible</v>
      </c>
    </row>
    <row r="488" spans="1:41">
      <c r="A488" t="s">
        <v>1600</v>
      </c>
      <c r="B488" s="2">
        <v>45790</v>
      </c>
      <c r="C488" t="s">
        <v>247</v>
      </c>
      <c r="D488" t="s">
        <v>108</v>
      </c>
      <c r="E488" t="s">
        <v>139</v>
      </c>
      <c r="F488" t="s">
        <v>182</v>
      </c>
      <c r="G488">
        <v>3</v>
      </c>
      <c r="H488" s="4">
        <v>240</v>
      </c>
      <c r="I488" s="3">
        <v>0.05</v>
      </c>
      <c r="J488" t="s">
        <v>90</v>
      </c>
      <c r="K488" t="s">
        <v>46</v>
      </c>
      <c r="L488" t="s">
        <v>249</v>
      </c>
      <c r="M488" t="s">
        <v>65</v>
      </c>
      <c r="N488" t="s">
        <v>112</v>
      </c>
      <c r="O488" t="s">
        <v>113</v>
      </c>
      <c r="P488" t="s">
        <v>82</v>
      </c>
      <c r="Q488" t="s">
        <v>114</v>
      </c>
      <c r="R488" t="s">
        <v>144</v>
      </c>
      <c r="S488" t="s">
        <v>65</v>
      </c>
      <c r="T488" t="s">
        <v>185</v>
      </c>
      <c r="U488" s="5">
        <v>31</v>
      </c>
      <c r="V488" s="5" t="s">
        <v>56</v>
      </c>
      <c r="W488" s="5">
        <v>50</v>
      </c>
      <c r="X488" s="5">
        <v>5.6</v>
      </c>
      <c r="Y488" s="5">
        <v>7</v>
      </c>
      <c r="Z488" s="5" t="s">
        <v>94</v>
      </c>
      <c r="AA488" s="6">
        <v>177.6</v>
      </c>
      <c r="AB488" s="8">
        <f t="shared" si="91"/>
        <v>720</v>
      </c>
      <c r="AC488" s="8">
        <f t="shared" si="92"/>
        <v>36</v>
      </c>
      <c r="AD488" s="8">
        <f t="shared" si="93"/>
        <v>684</v>
      </c>
      <c r="AE488" s="8">
        <f t="shared" si="94"/>
        <v>532.79999999999995</v>
      </c>
      <c r="AF488" s="8">
        <f t="shared" si="95"/>
        <v>151.20000000000005</v>
      </c>
      <c r="AG488" s="9">
        <f t="shared" si="96"/>
        <v>0.22105263157894744</v>
      </c>
      <c r="AH488" s="10">
        <f t="shared" si="97"/>
        <v>2025</v>
      </c>
      <c r="AI488" s="10">
        <f t="shared" si="98"/>
        <v>5</v>
      </c>
      <c r="AJ488" s="10" t="str">
        <f t="shared" si="99"/>
        <v>2025-05</v>
      </c>
      <c r="AK488" s="10" t="str">
        <f t="shared" si="100"/>
        <v>T2</v>
      </c>
      <c r="AL488" s="10" t="str">
        <f t="shared" si="101"/>
        <v>30-39</v>
      </c>
      <c r="AM488" s="10" t="str">
        <f t="shared" si="102"/>
        <v>moyen</v>
      </c>
      <c r="AN488" s="10" t="s">
        <v>2837</v>
      </c>
      <c r="AO488" s="10" t="str">
        <f t="shared" si="103"/>
        <v>Moyenne</v>
      </c>
    </row>
    <row r="489" spans="1:41">
      <c r="A489" t="s">
        <v>1601</v>
      </c>
      <c r="B489" s="2">
        <v>45847</v>
      </c>
      <c r="C489" t="s">
        <v>1024</v>
      </c>
      <c r="D489" t="s">
        <v>74</v>
      </c>
      <c r="E489" t="s">
        <v>120</v>
      </c>
      <c r="F489" t="s">
        <v>156</v>
      </c>
      <c r="G489">
        <v>3</v>
      </c>
      <c r="H489" s="4">
        <v>95</v>
      </c>
      <c r="I489" s="3">
        <v>0.08</v>
      </c>
      <c r="J489" t="s">
        <v>77</v>
      </c>
      <c r="K489" t="s">
        <v>46</v>
      </c>
      <c r="L489" t="s">
        <v>1025</v>
      </c>
      <c r="M489" t="s">
        <v>123</v>
      </c>
      <c r="N489" t="s">
        <v>101</v>
      </c>
      <c r="O489" t="s">
        <v>81</v>
      </c>
      <c r="P489" t="s">
        <v>82</v>
      </c>
      <c r="Q489" t="s">
        <v>52</v>
      </c>
      <c r="R489" t="s">
        <v>124</v>
      </c>
      <c r="S489" t="s">
        <v>48</v>
      </c>
      <c r="T489" t="s">
        <v>159</v>
      </c>
      <c r="U489" s="5">
        <v>29</v>
      </c>
      <c r="V489" s="5" t="s">
        <v>85</v>
      </c>
      <c r="W489" s="5">
        <v>43</v>
      </c>
      <c r="X489" s="5">
        <v>4.7</v>
      </c>
      <c r="Y489" s="5">
        <v>7</v>
      </c>
      <c r="Z489" s="5" t="s">
        <v>71</v>
      </c>
      <c r="AA489" s="6">
        <v>70.3</v>
      </c>
      <c r="AB489" s="8">
        <f t="shared" si="91"/>
        <v>285</v>
      </c>
      <c r="AC489" s="8">
        <f t="shared" si="92"/>
        <v>22.8</v>
      </c>
      <c r="AD489" s="8">
        <f t="shared" si="93"/>
        <v>262.2</v>
      </c>
      <c r="AE489" s="8">
        <f t="shared" si="94"/>
        <v>210.89999999999998</v>
      </c>
      <c r="AF489" s="8">
        <f t="shared" si="95"/>
        <v>51.300000000000011</v>
      </c>
      <c r="AG489" s="9">
        <f t="shared" si="96"/>
        <v>0.19565217391304354</v>
      </c>
      <c r="AH489" s="10">
        <f t="shared" si="97"/>
        <v>2025</v>
      </c>
      <c r="AI489" s="10">
        <f t="shared" si="98"/>
        <v>7</v>
      </c>
      <c r="AJ489" s="10" t="str">
        <f t="shared" si="99"/>
        <v>2025-07</v>
      </c>
      <c r="AK489" s="10" t="str">
        <f t="shared" si="100"/>
        <v>T3</v>
      </c>
      <c r="AL489" s="10" t="str">
        <f t="shared" si="101"/>
        <v>22-29</v>
      </c>
      <c r="AM489" s="10" t="str">
        <f t="shared" si="102"/>
        <v>faible</v>
      </c>
      <c r="AN489" s="10" t="s">
        <v>2837</v>
      </c>
      <c r="AO489" s="10" t="str">
        <f t="shared" si="103"/>
        <v>Faible</v>
      </c>
    </row>
    <row r="490" spans="1:41">
      <c r="A490" t="s">
        <v>1602</v>
      </c>
      <c r="B490" s="2">
        <v>45883</v>
      </c>
      <c r="C490" t="s">
        <v>890</v>
      </c>
      <c r="D490" t="s">
        <v>74</v>
      </c>
      <c r="E490" t="s">
        <v>277</v>
      </c>
      <c r="F490" t="s">
        <v>502</v>
      </c>
      <c r="G490">
        <v>3</v>
      </c>
      <c r="H490" s="4">
        <v>95</v>
      </c>
      <c r="I490" s="3">
        <v>0</v>
      </c>
      <c r="J490" t="s">
        <v>45</v>
      </c>
      <c r="K490" t="s">
        <v>46</v>
      </c>
      <c r="L490" t="s">
        <v>891</v>
      </c>
      <c r="M490" t="s">
        <v>123</v>
      </c>
      <c r="N490" t="s">
        <v>49</v>
      </c>
      <c r="O490" t="s">
        <v>81</v>
      </c>
      <c r="P490" t="s">
        <v>82</v>
      </c>
      <c r="Q490" t="s">
        <v>52</v>
      </c>
      <c r="R490" t="s">
        <v>279</v>
      </c>
      <c r="S490" t="s">
        <v>54</v>
      </c>
      <c r="T490" t="s">
        <v>504</v>
      </c>
      <c r="U490" s="5">
        <v>57</v>
      </c>
      <c r="V490" s="5" t="s">
        <v>85</v>
      </c>
      <c r="W490" s="5">
        <v>10</v>
      </c>
      <c r="X490" s="5">
        <v>8.3000000000000007</v>
      </c>
      <c r="Y490" s="5">
        <v>2</v>
      </c>
      <c r="Z490" s="5" t="s">
        <v>57</v>
      </c>
      <c r="AA490" s="6">
        <v>70.3</v>
      </c>
      <c r="AB490" s="8">
        <f t="shared" si="91"/>
        <v>285</v>
      </c>
      <c r="AC490" s="8">
        <f t="shared" si="92"/>
        <v>0</v>
      </c>
      <c r="AD490" s="8">
        <f t="shared" si="93"/>
        <v>285</v>
      </c>
      <c r="AE490" s="8">
        <f t="shared" si="94"/>
        <v>210.89999999999998</v>
      </c>
      <c r="AF490" s="8">
        <f t="shared" si="95"/>
        <v>74.100000000000023</v>
      </c>
      <c r="AG490" s="9">
        <f t="shared" si="96"/>
        <v>0.26000000000000006</v>
      </c>
      <c r="AH490" s="10">
        <f t="shared" si="97"/>
        <v>2025</v>
      </c>
      <c r="AI490" s="10">
        <f t="shared" si="98"/>
        <v>8</v>
      </c>
      <c r="AJ490" s="10" t="str">
        <f t="shared" si="99"/>
        <v>2025-08</v>
      </c>
      <c r="AK490" s="10" t="str">
        <f t="shared" si="100"/>
        <v>T3</v>
      </c>
      <c r="AL490" s="10" t="str">
        <f t="shared" si="101"/>
        <v>50+</v>
      </c>
      <c r="AM490" s="10" t="str">
        <f t="shared" si="102"/>
        <v>bon</v>
      </c>
      <c r="AN490" s="10" t="s">
        <v>2838</v>
      </c>
      <c r="AO490" s="10" t="str">
        <f t="shared" si="103"/>
        <v>Faible</v>
      </c>
    </row>
    <row r="491" spans="1:41">
      <c r="A491" t="s">
        <v>1603</v>
      </c>
      <c r="B491" s="2">
        <v>45774</v>
      </c>
      <c r="C491" t="s">
        <v>1604</v>
      </c>
      <c r="D491" t="s">
        <v>148</v>
      </c>
      <c r="E491" t="s">
        <v>109</v>
      </c>
      <c r="F491" t="s">
        <v>243</v>
      </c>
      <c r="G491">
        <v>1</v>
      </c>
      <c r="H491" s="4">
        <v>110</v>
      </c>
      <c r="I491" s="3">
        <v>0</v>
      </c>
      <c r="J491" t="s">
        <v>77</v>
      </c>
      <c r="K491" t="s">
        <v>46</v>
      </c>
      <c r="L491" t="s">
        <v>1605</v>
      </c>
      <c r="M491" t="s">
        <v>79</v>
      </c>
      <c r="N491" t="s">
        <v>49</v>
      </c>
      <c r="O491" t="s">
        <v>151</v>
      </c>
      <c r="P491" t="s">
        <v>103</v>
      </c>
      <c r="Q491" t="s">
        <v>114</v>
      </c>
      <c r="R491" t="s">
        <v>115</v>
      </c>
      <c r="S491" t="s">
        <v>65</v>
      </c>
      <c r="T491" t="s">
        <v>245</v>
      </c>
      <c r="U491" s="5">
        <v>46</v>
      </c>
      <c r="V491" s="5" t="s">
        <v>56</v>
      </c>
      <c r="W491" s="5">
        <v>65</v>
      </c>
      <c r="X491" s="5">
        <v>8.1999999999999993</v>
      </c>
      <c r="Y491" s="5">
        <v>1</v>
      </c>
      <c r="Z491" s="5" t="s">
        <v>94</v>
      </c>
      <c r="AA491" s="6">
        <v>72.599999999999994</v>
      </c>
      <c r="AB491" s="8">
        <f t="shared" si="91"/>
        <v>110</v>
      </c>
      <c r="AC491" s="8">
        <f t="shared" si="92"/>
        <v>0</v>
      </c>
      <c r="AD491" s="8">
        <f t="shared" si="93"/>
        <v>110</v>
      </c>
      <c r="AE491" s="8">
        <f t="shared" si="94"/>
        <v>72.599999999999994</v>
      </c>
      <c r="AF491" s="8">
        <f t="shared" si="95"/>
        <v>37.400000000000006</v>
      </c>
      <c r="AG491" s="9">
        <f t="shared" si="96"/>
        <v>0.34</v>
      </c>
      <c r="AH491" s="10">
        <f t="shared" si="97"/>
        <v>2025</v>
      </c>
      <c r="AI491" s="10">
        <f t="shared" si="98"/>
        <v>4</v>
      </c>
      <c r="AJ491" s="10" t="str">
        <f t="shared" si="99"/>
        <v>2025-04</v>
      </c>
      <c r="AK491" s="10" t="str">
        <f t="shared" si="100"/>
        <v>T2</v>
      </c>
      <c r="AL491" s="10" t="str">
        <f t="shared" si="101"/>
        <v>40-49</v>
      </c>
      <c r="AM491" s="10" t="str">
        <f t="shared" si="102"/>
        <v>bon</v>
      </c>
      <c r="AN491" s="10" t="s">
        <v>2838</v>
      </c>
      <c r="AO491" s="10" t="str">
        <f t="shared" si="103"/>
        <v>Faible</v>
      </c>
    </row>
    <row r="492" spans="1:41">
      <c r="A492" t="s">
        <v>1606</v>
      </c>
      <c r="B492" s="2">
        <v>45918</v>
      </c>
      <c r="C492" t="s">
        <v>448</v>
      </c>
      <c r="D492" t="s">
        <v>340</v>
      </c>
      <c r="E492" t="s">
        <v>315</v>
      </c>
      <c r="F492" t="s">
        <v>99</v>
      </c>
      <c r="G492">
        <v>4</v>
      </c>
      <c r="H492" s="4">
        <v>22</v>
      </c>
      <c r="I492" s="3">
        <v>0.05</v>
      </c>
      <c r="J492" t="s">
        <v>63</v>
      </c>
      <c r="K492" t="s">
        <v>46</v>
      </c>
      <c r="L492" t="s">
        <v>449</v>
      </c>
      <c r="M492" t="s">
        <v>65</v>
      </c>
      <c r="N492" t="s">
        <v>80</v>
      </c>
      <c r="O492" t="s">
        <v>342</v>
      </c>
      <c r="P492" t="s">
        <v>103</v>
      </c>
      <c r="Q492" t="s">
        <v>143</v>
      </c>
      <c r="R492" t="s">
        <v>317</v>
      </c>
      <c r="S492" t="s">
        <v>69</v>
      </c>
      <c r="T492" t="s">
        <v>105</v>
      </c>
      <c r="U492" s="5">
        <v>27</v>
      </c>
      <c r="V492" s="5" t="s">
        <v>85</v>
      </c>
      <c r="W492" s="5">
        <v>12</v>
      </c>
      <c r="X492" s="5">
        <v>6</v>
      </c>
      <c r="Y492" s="5">
        <v>4</v>
      </c>
      <c r="Z492" s="5" t="s">
        <v>71</v>
      </c>
      <c r="AA492" s="6">
        <v>14.96</v>
      </c>
      <c r="AB492" s="8">
        <f t="shared" si="91"/>
        <v>88</v>
      </c>
      <c r="AC492" s="8">
        <f t="shared" si="92"/>
        <v>4.4000000000000004</v>
      </c>
      <c r="AD492" s="8">
        <f t="shared" si="93"/>
        <v>83.6</v>
      </c>
      <c r="AE492" s="8">
        <f t="shared" si="94"/>
        <v>59.84</v>
      </c>
      <c r="AF492" s="8">
        <f t="shared" si="95"/>
        <v>23.759999999999991</v>
      </c>
      <c r="AG492" s="9">
        <f t="shared" si="96"/>
        <v>0.28421052631578936</v>
      </c>
      <c r="AH492" s="10">
        <f t="shared" si="97"/>
        <v>2025</v>
      </c>
      <c r="AI492" s="10">
        <f t="shared" si="98"/>
        <v>9</v>
      </c>
      <c r="AJ492" s="10" t="str">
        <f t="shared" si="99"/>
        <v>2025-09</v>
      </c>
      <c r="AK492" s="10" t="str">
        <f t="shared" si="100"/>
        <v>T3</v>
      </c>
      <c r="AL492" s="10" t="str">
        <f t="shared" si="101"/>
        <v>22-29</v>
      </c>
      <c r="AM492" s="10" t="str">
        <f t="shared" si="102"/>
        <v>moyen</v>
      </c>
      <c r="AN492" s="10" t="s">
        <v>2839</v>
      </c>
      <c r="AO492" s="10" t="str">
        <f t="shared" si="103"/>
        <v>Faible</v>
      </c>
    </row>
    <row r="493" spans="1:41">
      <c r="A493" t="s">
        <v>1607</v>
      </c>
      <c r="B493" s="2">
        <v>45914</v>
      </c>
      <c r="C493" t="s">
        <v>1608</v>
      </c>
      <c r="D493" t="s">
        <v>60</v>
      </c>
      <c r="E493" t="s">
        <v>98</v>
      </c>
      <c r="F493" t="s">
        <v>89</v>
      </c>
      <c r="G493">
        <v>2</v>
      </c>
      <c r="H493" s="4">
        <v>180</v>
      </c>
      <c r="I493" s="3">
        <v>0</v>
      </c>
      <c r="J493" t="s">
        <v>63</v>
      </c>
      <c r="K493" t="s">
        <v>46</v>
      </c>
      <c r="L493" t="s">
        <v>1609</v>
      </c>
      <c r="M493" t="s">
        <v>65</v>
      </c>
      <c r="N493" t="s">
        <v>112</v>
      </c>
      <c r="O493" t="s">
        <v>66</v>
      </c>
      <c r="P493" t="s">
        <v>67</v>
      </c>
      <c r="Q493" t="s">
        <v>52</v>
      </c>
      <c r="R493" t="s">
        <v>104</v>
      </c>
      <c r="S493" t="s">
        <v>79</v>
      </c>
      <c r="T493" t="s">
        <v>93</v>
      </c>
      <c r="U493" s="5">
        <v>60</v>
      </c>
      <c r="V493" s="5" t="s">
        <v>56</v>
      </c>
      <c r="W493" s="5">
        <v>54</v>
      </c>
      <c r="X493" s="5">
        <v>8</v>
      </c>
      <c r="Y493" s="5">
        <v>1</v>
      </c>
      <c r="Z493" s="5" t="s">
        <v>57</v>
      </c>
      <c r="AA493" s="6">
        <v>129.6</v>
      </c>
      <c r="AB493" s="8">
        <f t="shared" si="91"/>
        <v>360</v>
      </c>
      <c r="AC493" s="8">
        <f t="shared" si="92"/>
        <v>0</v>
      </c>
      <c r="AD493" s="8">
        <f t="shared" si="93"/>
        <v>360</v>
      </c>
      <c r="AE493" s="8">
        <f t="shared" si="94"/>
        <v>259.2</v>
      </c>
      <c r="AF493" s="8">
        <f t="shared" si="95"/>
        <v>100.80000000000001</v>
      </c>
      <c r="AG493" s="9">
        <f t="shared" si="96"/>
        <v>0.28000000000000003</v>
      </c>
      <c r="AH493" s="10">
        <f t="shared" si="97"/>
        <v>2025</v>
      </c>
      <c r="AI493" s="10">
        <f t="shared" si="98"/>
        <v>9</v>
      </c>
      <c r="AJ493" s="10" t="str">
        <f t="shared" si="99"/>
        <v>2025-09</v>
      </c>
      <c r="AK493" s="10" t="str">
        <f t="shared" si="100"/>
        <v>T3</v>
      </c>
      <c r="AL493" s="10" t="str">
        <f t="shared" si="101"/>
        <v>50+</v>
      </c>
      <c r="AM493" s="10" t="str">
        <f t="shared" si="102"/>
        <v>bon</v>
      </c>
      <c r="AN493" s="10" t="s">
        <v>2838</v>
      </c>
      <c r="AO493" s="10" t="str">
        <f t="shared" si="103"/>
        <v>Faible</v>
      </c>
    </row>
    <row r="494" spans="1:41">
      <c r="A494" t="s">
        <v>1610</v>
      </c>
      <c r="B494" s="2">
        <v>45747</v>
      </c>
      <c r="C494" t="s">
        <v>1611</v>
      </c>
      <c r="D494" t="s">
        <v>128</v>
      </c>
      <c r="E494" t="s">
        <v>207</v>
      </c>
      <c r="F494" t="s">
        <v>676</v>
      </c>
      <c r="G494">
        <v>2</v>
      </c>
      <c r="H494" s="4">
        <v>190</v>
      </c>
      <c r="I494" s="3">
        <v>0.02</v>
      </c>
      <c r="J494" t="s">
        <v>90</v>
      </c>
      <c r="K494" t="s">
        <v>46</v>
      </c>
      <c r="L494" t="s">
        <v>1612</v>
      </c>
      <c r="M494" t="s">
        <v>65</v>
      </c>
      <c r="N494" t="s">
        <v>101</v>
      </c>
      <c r="O494" t="s">
        <v>132</v>
      </c>
      <c r="P494" t="s">
        <v>133</v>
      </c>
      <c r="Q494" t="s">
        <v>52</v>
      </c>
      <c r="R494" t="s">
        <v>210</v>
      </c>
      <c r="S494" t="s">
        <v>79</v>
      </c>
      <c r="T494" t="s">
        <v>678</v>
      </c>
      <c r="U494" s="5">
        <v>54</v>
      </c>
      <c r="V494" s="5" t="s">
        <v>56</v>
      </c>
      <c r="W494" s="5">
        <v>43</v>
      </c>
      <c r="X494" s="5">
        <v>6.6</v>
      </c>
      <c r="Y494" s="5">
        <v>3</v>
      </c>
      <c r="Z494" s="5" t="s">
        <v>71</v>
      </c>
      <c r="AA494" s="6">
        <v>148.19999999999999</v>
      </c>
      <c r="AB494" s="8">
        <f t="shared" si="91"/>
        <v>380</v>
      </c>
      <c r="AC494" s="8">
        <f t="shared" si="92"/>
        <v>7.6000000000000005</v>
      </c>
      <c r="AD494" s="8">
        <f t="shared" si="93"/>
        <v>372.4</v>
      </c>
      <c r="AE494" s="8">
        <f t="shared" si="94"/>
        <v>296.39999999999998</v>
      </c>
      <c r="AF494" s="8">
        <f t="shared" si="95"/>
        <v>76</v>
      </c>
      <c r="AG494" s="9">
        <f t="shared" si="96"/>
        <v>0.20408163265306123</v>
      </c>
      <c r="AH494" s="10">
        <f t="shared" si="97"/>
        <v>2025</v>
      </c>
      <c r="AI494" s="10">
        <f t="shared" si="98"/>
        <v>3</v>
      </c>
      <c r="AJ494" s="10" t="str">
        <f t="shared" si="99"/>
        <v>2025-03</v>
      </c>
      <c r="AK494" s="10" t="str">
        <f t="shared" si="100"/>
        <v>T1</v>
      </c>
      <c r="AL494" s="10" t="str">
        <f t="shared" si="101"/>
        <v>50+</v>
      </c>
      <c r="AM494" s="10" t="str">
        <f t="shared" si="102"/>
        <v>moyen</v>
      </c>
      <c r="AN494" s="10" t="s">
        <v>2838</v>
      </c>
      <c r="AO494" s="10" t="str">
        <f t="shared" si="103"/>
        <v>Faible</v>
      </c>
    </row>
    <row r="495" spans="1:41">
      <c r="A495" t="s">
        <v>1613</v>
      </c>
      <c r="B495" s="2">
        <v>45763</v>
      </c>
      <c r="C495" t="s">
        <v>309</v>
      </c>
      <c r="D495" t="s">
        <v>108</v>
      </c>
      <c r="E495" t="s">
        <v>163</v>
      </c>
      <c r="F495" t="s">
        <v>220</v>
      </c>
      <c r="G495">
        <v>1</v>
      </c>
      <c r="H495" s="4">
        <v>240</v>
      </c>
      <c r="I495" s="3">
        <v>0</v>
      </c>
      <c r="J495" t="s">
        <v>90</v>
      </c>
      <c r="K495" t="s">
        <v>46</v>
      </c>
      <c r="L495" t="s">
        <v>311</v>
      </c>
      <c r="M495" t="s">
        <v>123</v>
      </c>
      <c r="N495" t="s">
        <v>49</v>
      </c>
      <c r="O495" t="s">
        <v>113</v>
      </c>
      <c r="P495" t="s">
        <v>82</v>
      </c>
      <c r="Q495" t="s">
        <v>114</v>
      </c>
      <c r="R495" t="s">
        <v>167</v>
      </c>
      <c r="S495" t="s">
        <v>123</v>
      </c>
      <c r="T495" t="s">
        <v>223</v>
      </c>
      <c r="U495" s="5">
        <v>45</v>
      </c>
      <c r="V495" s="5" t="s">
        <v>56</v>
      </c>
      <c r="W495" s="5">
        <v>58</v>
      </c>
      <c r="X495" s="5">
        <v>7.2</v>
      </c>
      <c r="Y495" s="5">
        <v>2</v>
      </c>
      <c r="Z495" s="5" t="s">
        <v>57</v>
      </c>
      <c r="AA495" s="6">
        <v>177.6</v>
      </c>
      <c r="AB495" s="8">
        <f t="shared" si="91"/>
        <v>240</v>
      </c>
      <c r="AC495" s="8">
        <f t="shared" si="92"/>
        <v>0</v>
      </c>
      <c r="AD495" s="8">
        <f t="shared" si="93"/>
        <v>240</v>
      </c>
      <c r="AE495" s="8">
        <f t="shared" si="94"/>
        <v>177.6</v>
      </c>
      <c r="AF495" s="8">
        <f t="shared" si="95"/>
        <v>62.400000000000006</v>
      </c>
      <c r="AG495" s="9">
        <f t="shared" si="96"/>
        <v>0.26</v>
      </c>
      <c r="AH495" s="10">
        <f t="shared" si="97"/>
        <v>2025</v>
      </c>
      <c r="AI495" s="10">
        <f t="shared" si="98"/>
        <v>4</v>
      </c>
      <c r="AJ495" s="10" t="str">
        <f t="shared" si="99"/>
        <v>2025-04</v>
      </c>
      <c r="AK495" s="10" t="str">
        <f t="shared" si="100"/>
        <v>T2</v>
      </c>
      <c r="AL495" s="10" t="str">
        <f t="shared" si="101"/>
        <v>40-49</v>
      </c>
      <c r="AM495" s="10" t="str">
        <f t="shared" si="102"/>
        <v>bon</v>
      </c>
      <c r="AN495" s="10" t="s">
        <v>2838</v>
      </c>
      <c r="AO495" s="10" t="str">
        <f t="shared" si="103"/>
        <v>Faible</v>
      </c>
    </row>
    <row r="496" spans="1:41">
      <c r="A496" t="s">
        <v>1614</v>
      </c>
      <c r="B496" s="2">
        <v>45984</v>
      </c>
      <c r="C496" t="s">
        <v>1615</v>
      </c>
      <c r="D496" t="s">
        <v>272</v>
      </c>
      <c r="E496" t="s">
        <v>139</v>
      </c>
      <c r="F496" t="s">
        <v>44</v>
      </c>
      <c r="G496">
        <v>6</v>
      </c>
      <c r="H496" s="4">
        <v>420</v>
      </c>
      <c r="I496" s="3">
        <v>0.1</v>
      </c>
      <c r="J496" t="s">
        <v>45</v>
      </c>
      <c r="K496" t="s">
        <v>46</v>
      </c>
      <c r="L496" t="s">
        <v>1616</v>
      </c>
      <c r="M496" t="s">
        <v>48</v>
      </c>
      <c r="N496" t="s">
        <v>112</v>
      </c>
      <c r="O496" t="s">
        <v>274</v>
      </c>
      <c r="P496" t="s">
        <v>133</v>
      </c>
      <c r="Q496" t="s">
        <v>114</v>
      </c>
      <c r="R496" t="s">
        <v>144</v>
      </c>
      <c r="S496" t="s">
        <v>65</v>
      </c>
      <c r="T496" t="s">
        <v>55</v>
      </c>
      <c r="U496" s="5">
        <v>50</v>
      </c>
      <c r="V496" s="5" t="s">
        <v>56</v>
      </c>
      <c r="W496" s="5">
        <v>53</v>
      </c>
      <c r="X496" s="5">
        <v>6.8</v>
      </c>
      <c r="Y496" s="5">
        <v>5</v>
      </c>
      <c r="Z496" s="5" t="s">
        <v>71</v>
      </c>
      <c r="AA496" s="6">
        <v>273</v>
      </c>
      <c r="AB496" s="8">
        <f t="shared" si="91"/>
        <v>2520</v>
      </c>
      <c r="AC496" s="8">
        <f t="shared" si="92"/>
        <v>252</v>
      </c>
      <c r="AD496" s="8">
        <f t="shared" si="93"/>
        <v>2268</v>
      </c>
      <c r="AE496" s="8">
        <f t="shared" si="94"/>
        <v>1638</v>
      </c>
      <c r="AF496" s="8">
        <f t="shared" si="95"/>
        <v>630</v>
      </c>
      <c r="AG496" s="9">
        <f t="shared" si="96"/>
        <v>0.27777777777777779</v>
      </c>
      <c r="AH496" s="10">
        <f t="shared" si="97"/>
        <v>2025</v>
      </c>
      <c r="AI496" s="10">
        <f t="shared" si="98"/>
        <v>11</v>
      </c>
      <c r="AJ496" s="10" t="str">
        <f t="shared" si="99"/>
        <v>2025-11</v>
      </c>
      <c r="AK496" s="10" t="str">
        <f t="shared" si="100"/>
        <v>T4</v>
      </c>
      <c r="AL496" s="10" t="str">
        <f t="shared" si="101"/>
        <v>50+</v>
      </c>
      <c r="AM496" s="10" t="str">
        <f t="shared" si="102"/>
        <v>moyen</v>
      </c>
      <c r="AN496" s="10" t="s">
        <v>2839</v>
      </c>
      <c r="AO496" s="10" t="str">
        <f t="shared" si="103"/>
        <v>Elevée</v>
      </c>
    </row>
    <row r="497" spans="1:41">
      <c r="A497" t="s">
        <v>1617</v>
      </c>
      <c r="B497" s="2">
        <v>45708</v>
      </c>
      <c r="C497" t="s">
        <v>1618</v>
      </c>
      <c r="D497" t="s">
        <v>188</v>
      </c>
      <c r="E497" t="s">
        <v>226</v>
      </c>
      <c r="F497" t="s">
        <v>243</v>
      </c>
      <c r="G497">
        <v>10</v>
      </c>
      <c r="H497" s="4">
        <v>350</v>
      </c>
      <c r="I497" s="3">
        <v>0.05</v>
      </c>
      <c r="J497" t="s">
        <v>90</v>
      </c>
      <c r="K497" t="s">
        <v>46</v>
      </c>
      <c r="L497" t="s">
        <v>1619</v>
      </c>
      <c r="M497" t="s">
        <v>79</v>
      </c>
      <c r="N497" t="s">
        <v>255</v>
      </c>
      <c r="O497" t="s">
        <v>192</v>
      </c>
      <c r="P497" t="s">
        <v>51</v>
      </c>
      <c r="Q497" t="s">
        <v>114</v>
      </c>
      <c r="R497" t="s">
        <v>229</v>
      </c>
      <c r="S497" t="s">
        <v>48</v>
      </c>
      <c r="T497" t="s">
        <v>245</v>
      </c>
      <c r="U497" s="5">
        <v>36</v>
      </c>
      <c r="V497" s="5" t="s">
        <v>56</v>
      </c>
      <c r="W497" s="5">
        <v>17</v>
      </c>
      <c r="X497" s="5">
        <v>6.8</v>
      </c>
      <c r="Y497" s="5">
        <v>3</v>
      </c>
      <c r="Z497" s="5" t="s">
        <v>71</v>
      </c>
      <c r="AA497" s="6">
        <v>213.5</v>
      </c>
      <c r="AB497" s="8">
        <f t="shared" si="91"/>
        <v>3500</v>
      </c>
      <c r="AC497" s="8">
        <f t="shared" si="92"/>
        <v>175</v>
      </c>
      <c r="AD497" s="8">
        <f t="shared" si="93"/>
        <v>3325</v>
      </c>
      <c r="AE497" s="8">
        <f t="shared" si="94"/>
        <v>2135</v>
      </c>
      <c r="AF497" s="8">
        <f t="shared" si="95"/>
        <v>1190</v>
      </c>
      <c r="AG497" s="9">
        <f t="shared" si="96"/>
        <v>0.35789473684210527</v>
      </c>
      <c r="AH497" s="10">
        <f t="shared" si="97"/>
        <v>2025</v>
      </c>
      <c r="AI497" s="10">
        <f t="shared" si="98"/>
        <v>2</v>
      </c>
      <c r="AJ497" s="10" t="str">
        <f t="shared" si="99"/>
        <v>2025-02</v>
      </c>
      <c r="AK497" s="10" t="str">
        <f t="shared" si="100"/>
        <v>T1</v>
      </c>
      <c r="AL497" s="10" t="str">
        <f t="shared" si="101"/>
        <v>30-39</v>
      </c>
      <c r="AM497" s="10" t="str">
        <f t="shared" si="102"/>
        <v>moyen</v>
      </c>
      <c r="AN497" s="10" t="s">
        <v>2838</v>
      </c>
      <c r="AO497" s="10" t="str">
        <f t="shared" si="103"/>
        <v>Elevée</v>
      </c>
    </row>
    <row r="498" spans="1:41">
      <c r="A498" t="s">
        <v>1620</v>
      </c>
      <c r="B498" s="2">
        <v>45948</v>
      </c>
      <c r="C498" t="s">
        <v>1621</v>
      </c>
      <c r="D498" t="s">
        <v>174</v>
      </c>
      <c r="E498" t="s">
        <v>219</v>
      </c>
      <c r="F498" t="s">
        <v>1303</v>
      </c>
      <c r="G498">
        <v>3</v>
      </c>
      <c r="H498" s="4">
        <v>780</v>
      </c>
      <c r="I498" s="3">
        <v>0</v>
      </c>
      <c r="J498" t="s">
        <v>77</v>
      </c>
      <c r="K498" t="s">
        <v>46</v>
      </c>
      <c r="L498" t="s">
        <v>1622</v>
      </c>
      <c r="M498" t="s">
        <v>69</v>
      </c>
      <c r="N498" t="s">
        <v>101</v>
      </c>
      <c r="O498" t="s">
        <v>177</v>
      </c>
      <c r="P498" t="s">
        <v>103</v>
      </c>
      <c r="Q498" t="s">
        <v>114</v>
      </c>
      <c r="R498" t="s">
        <v>222</v>
      </c>
      <c r="S498" t="s">
        <v>123</v>
      </c>
      <c r="T498" t="s">
        <v>1305</v>
      </c>
      <c r="U498" s="5">
        <v>50</v>
      </c>
      <c r="V498" s="5" t="s">
        <v>56</v>
      </c>
      <c r="W498" s="5">
        <v>18</v>
      </c>
      <c r="X498" s="5">
        <v>7.2</v>
      </c>
      <c r="Y498" s="5">
        <v>3</v>
      </c>
      <c r="Z498" s="5" t="s">
        <v>117</v>
      </c>
      <c r="AA498" s="6">
        <v>468</v>
      </c>
      <c r="AB498" s="8">
        <f t="shared" si="91"/>
        <v>2340</v>
      </c>
      <c r="AC498" s="8">
        <f t="shared" si="92"/>
        <v>0</v>
      </c>
      <c r="AD498" s="8">
        <f t="shared" si="93"/>
        <v>2340</v>
      </c>
      <c r="AE498" s="8">
        <f t="shared" si="94"/>
        <v>1404</v>
      </c>
      <c r="AF498" s="8">
        <f t="shared" si="95"/>
        <v>936</v>
      </c>
      <c r="AG498" s="9">
        <f t="shared" si="96"/>
        <v>0.4</v>
      </c>
      <c r="AH498" s="10">
        <f t="shared" si="97"/>
        <v>2025</v>
      </c>
      <c r="AI498" s="10">
        <f t="shared" si="98"/>
        <v>10</v>
      </c>
      <c r="AJ498" s="10" t="str">
        <f t="shared" si="99"/>
        <v>2025-10</v>
      </c>
      <c r="AK498" s="10" t="str">
        <f t="shared" si="100"/>
        <v>T4</v>
      </c>
      <c r="AL498" s="10" t="str">
        <f t="shared" si="101"/>
        <v>50+</v>
      </c>
      <c r="AM498" s="10" t="str">
        <f t="shared" si="102"/>
        <v>bon</v>
      </c>
      <c r="AN498" s="10" t="s">
        <v>2838</v>
      </c>
      <c r="AO498" s="10" t="str">
        <f t="shared" si="103"/>
        <v>Elevée</v>
      </c>
    </row>
    <row r="499" spans="1:41">
      <c r="A499" t="s">
        <v>1623</v>
      </c>
      <c r="B499" s="2">
        <v>45891</v>
      </c>
      <c r="C499" t="s">
        <v>1624</v>
      </c>
      <c r="D499" t="s">
        <v>162</v>
      </c>
      <c r="E499" t="s">
        <v>163</v>
      </c>
      <c r="F499" t="s">
        <v>182</v>
      </c>
      <c r="G499">
        <v>1</v>
      </c>
      <c r="H499" s="4">
        <v>35</v>
      </c>
      <c r="I499" s="3">
        <v>0.05</v>
      </c>
      <c r="J499" t="s">
        <v>77</v>
      </c>
      <c r="K499" t="s">
        <v>46</v>
      </c>
      <c r="L499" t="s">
        <v>1625</v>
      </c>
      <c r="M499" t="s">
        <v>65</v>
      </c>
      <c r="N499" t="s">
        <v>101</v>
      </c>
      <c r="O499" t="s">
        <v>166</v>
      </c>
      <c r="P499" t="s">
        <v>103</v>
      </c>
      <c r="Q499" t="s">
        <v>143</v>
      </c>
      <c r="R499" t="s">
        <v>167</v>
      </c>
      <c r="S499" t="s">
        <v>123</v>
      </c>
      <c r="T499" t="s">
        <v>185</v>
      </c>
      <c r="U499" s="5">
        <v>41</v>
      </c>
      <c r="V499" s="5" t="s">
        <v>56</v>
      </c>
      <c r="W499" s="5">
        <v>4</v>
      </c>
      <c r="X499" s="5">
        <v>3.4</v>
      </c>
      <c r="Y499" s="5">
        <v>9</v>
      </c>
      <c r="Z499" s="5" t="s">
        <v>117</v>
      </c>
      <c r="AA499" s="6">
        <v>24.15</v>
      </c>
      <c r="AB499" s="8">
        <f t="shared" si="91"/>
        <v>35</v>
      </c>
      <c r="AC499" s="8">
        <f t="shared" si="92"/>
        <v>1.75</v>
      </c>
      <c r="AD499" s="8">
        <f t="shared" si="93"/>
        <v>33.25</v>
      </c>
      <c r="AE499" s="8">
        <f t="shared" si="94"/>
        <v>24.15</v>
      </c>
      <c r="AF499" s="8">
        <f t="shared" si="95"/>
        <v>9.1000000000000014</v>
      </c>
      <c r="AG499" s="9">
        <f t="shared" si="96"/>
        <v>0.27368421052631581</v>
      </c>
      <c r="AH499" s="10">
        <f t="shared" si="97"/>
        <v>2025</v>
      </c>
      <c r="AI499" s="10">
        <f t="shared" si="98"/>
        <v>8</v>
      </c>
      <c r="AJ499" s="10" t="str">
        <f t="shared" si="99"/>
        <v>2025-08</v>
      </c>
      <c r="AK499" s="10" t="str">
        <f t="shared" si="100"/>
        <v>T3</v>
      </c>
      <c r="AL499" s="10" t="str">
        <f t="shared" si="101"/>
        <v>40-49</v>
      </c>
      <c r="AM499" s="10" t="str">
        <f t="shared" si="102"/>
        <v>faible</v>
      </c>
      <c r="AN499" s="10" t="s">
        <v>2837</v>
      </c>
      <c r="AO499" s="10" t="str">
        <f t="shared" si="103"/>
        <v>Faible</v>
      </c>
    </row>
    <row r="500" spans="1:41">
      <c r="A500" t="s">
        <v>1626</v>
      </c>
      <c r="B500" s="2">
        <v>45725</v>
      </c>
      <c r="C500" t="s">
        <v>1627</v>
      </c>
      <c r="D500" t="s">
        <v>181</v>
      </c>
      <c r="E500" t="s">
        <v>214</v>
      </c>
      <c r="F500" t="s">
        <v>553</v>
      </c>
      <c r="G500">
        <v>3</v>
      </c>
      <c r="H500" s="4">
        <v>145</v>
      </c>
      <c r="I500" s="3">
        <v>0</v>
      </c>
      <c r="J500" t="s">
        <v>45</v>
      </c>
      <c r="K500" t="s">
        <v>46</v>
      </c>
      <c r="L500" t="s">
        <v>1628</v>
      </c>
      <c r="M500" t="s">
        <v>123</v>
      </c>
      <c r="N500" t="s">
        <v>255</v>
      </c>
      <c r="O500" t="s">
        <v>184</v>
      </c>
      <c r="P500" t="s">
        <v>103</v>
      </c>
      <c r="Q500" t="s">
        <v>52</v>
      </c>
      <c r="R500" t="s">
        <v>216</v>
      </c>
      <c r="S500" t="s">
        <v>65</v>
      </c>
      <c r="T500" t="s">
        <v>555</v>
      </c>
      <c r="U500" s="5">
        <v>49</v>
      </c>
      <c r="V500" s="5" t="s">
        <v>56</v>
      </c>
      <c r="W500" s="5">
        <v>55</v>
      </c>
      <c r="X500" s="5">
        <v>4.7</v>
      </c>
      <c r="Y500" s="5">
        <v>7</v>
      </c>
      <c r="Z500" s="5" t="s">
        <v>71</v>
      </c>
      <c r="AA500" s="6">
        <v>97.15</v>
      </c>
      <c r="AB500" s="8">
        <f t="shared" si="91"/>
        <v>435</v>
      </c>
      <c r="AC500" s="8">
        <f t="shared" si="92"/>
        <v>0</v>
      </c>
      <c r="AD500" s="8">
        <f t="shared" si="93"/>
        <v>435</v>
      </c>
      <c r="AE500" s="8">
        <f t="shared" si="94"/>
        <v>291.45000000000005</v>
      </c>
      <c r="AF500" s="8">
        <f t="shared" si="95"/>
        <v>143.54999999999995</v>
      </c>
      <c r="AG500" s="9">
        <f t="shared" si="96"/>
        <v>0.3299999999999999</v>
      </c>
      <c r="AH500" s="10">
        <f t="shared" si="97"/>
        <v>2025</v>
      </c>
      <c r="AI500" s="10">
        <f t="shared" si="98"/>
        <v>3</v>
      </c>
      <c r="AJ500" s="10" t="str">
        <f t="shared" si="99"/>
        <v>2025-03</v>
      </c>
      <c r="AK500" s="10" t="str">
        <f t="shared" si="100"/>
        <v>T1</v>
      </c>
      <c r="AL500" s="10" t="str">
        <f t="shared" si="101"/>
        <v>40-49</v>
      </c>
      <c r="AM500" s="10" t="str">
        <f t="shared" si="102"/>
        <v>faible</v>
      </c>
      <c r="AN500" s="10" t="s">
        <v>2837</v>
      </c>
      <c r="AO500" s="10" t="str">
        <f t="shared" si="103"/>
        <v>Faible</v>
      </c>
    </row>
    <row r="501" spans="1:41">
      <c r="A501" t="s">
        <v>1629</v>
      </c>
      <c r="B501" s="2">
        <v>45684</v>
      </c>
      <c r="C501" t="s">
        <v>1307</v>
      </c>
      <c r="D501" t="s">
        <v>155</v>
      </c>
      <c r="E501" t="s">
        <v>345</v>
      </c>
      <c r="F501" t="s">
        <v>374</v>
      </c>
      <c r="G501">
        <v>2</v>
      </c>
      <c r="H501" s="4">
        <v>48</v>
      </c>
      <c r="I501" s="3">
        <v>0.08</v>
      </c>
      <c r="J501" t="s">
        <v>90</v>
      </c>
      <c r="K501" t="s">
        <v>46</v>
      </c>
      <c r="L501" t="s">
        <v>1308</v>
      </c>
      <c r="M501" t="s">
        <v>54</v>
      </c>
      <c r="N501" t="s">
        <v>112</v>
      </c>
      <c r="O501" t="s">
        <v>158</v>
      </c>
      <c r="P501" t="s">
        <v>51</v>
      </c>
      <c r="Q501" t="s">
        <v>143</v>
      </c>
      <c r="R501" t="s">
        <v>347</v>
      </c>
      <c r="S501" t="s">
        <v>54</v>
      </c>
      <c r="T501" t="s">
        <v>376</v>
      </c>
      <c r="U501" s="5">
        <v>48</v>
      </c>
      <c r="V501" s="5" t="s">
        <v>85</v>
      </c>
      <c r="W501" s="5">
        <v>50</v>
      </c>
      <c r="X501" s="5">
        <v>8.1999999999999993</v>
      </c>
      <c r="Y501" s="5">
        <v>1</v>
      </c>
      <c r="Z501" s="5" t="s">
        <v>71</v>
      </c>
      <c r="AA501" s="6">
        <v>37.44</v>
      </c>
      <c r="AB501" s="8">
        <f t="shared" si="91"/>
        <v>96</v>
      </c>
      <c r="AC501" s="8">
        <f t="shared" si="92"/>
        <v>7.68</v>
      </c>
      <c r="AD501" s="8">
        <f t="shared" si="93"/>
        <v>88.32</v>
      </c>
      <c r="AE501" s="8">
        <f t="shared" si="94"/>
        <v>74.88</v>
      </c>
      <c r="AF501" s="8">
        <f t="shared" si="95"/>
        <v>13.439999999999998</v>
      </c>
      <c r="AG501" s="9">
        <f t="shared" si="96"/>
        <v>0.15217391304347824</v>
      </c>
      <c r="AH501" s="10">
        <f t="shared" si="97"/>
        <v>2025</v>
      </c>
      <c r="AI501" s="10">
        <f t="shared" si="98"/>
        <v>1</v>
      </c>
      <c r="AJ501" s="10" t="str">
        <f t="shared" si="99"/>
        <v>2025-01</v>
      </c>
      <c r="AK501" s="10" t="str">
        <f t="shared" si="100"/>
        <v>T1</v>
      </c>
      <c r="AL501" s="10" t="str">
        <f t="shared" si="101"/>
        <v>40-49</v>
      </c>
      <c r="AM501" s="10" t="str">
        <f t="shared" si="102"/>
        <v>bon</v>
      </c>
      <c r="AN501" s="10" t="s">
        <v>2838</v>
      </c>
      <c r="AO501" s="10" t="str">
        <f t="shared" si="103"/>
        <v>Faible</v>
      </c>
    </row>
    <row r="502" spans="1:41">
      <c r="A502" t="s">
        <v>1630</v>
      </c>
      <c r="B502" s="2">
        <v>45759</v>
      </c>
      <c r="C502" t="s">
        <v>1631</v>
      </c>
      <c r="D502" t="s">
        <v>155</v>
      </c>
      <c r="E502" t="s">
        <v>214</v>
      </c>
      <c r="F502" t="s">
        <v>676</v>
      </c>
      <c r="G502">
        <v>1</v>
      </c>
      <c r="H502" s="4">
        <v>48</v>
      </c>
      <c r="I502" s="3">
        <v>0.05</v>
      </c>
      <c r="J502" t="s">
        <v>45</v>
      </c>
      <c r="K502" t="s">
        <v>46</v>
      </c>
      <c r="L502" t="s">
        <v>1632</v>
      </c>
      <c r="M502" t="s">
        <v>123</v>
      </c>
      <c r="N502" t="s">
        <v>101</v>
      </c>
      <c r="O502" t="s">
        <v>158</v>
      </c>
      <c r="P502" t="s">
        <v>51</v>
      </c>
      <c r="Q502" t="s">
        <v>143</v>
      </c>
      <c r="R502" t="s">
        <v>216</v>
      </c>
      <c r="S502" t="s">
        <v>65</v>
      </c>
      <c r="T502" t="s">
        <v>678</v>
      </c>
      <c r="U502" s="5">
        <v>51</v>
      </c>
      <c r="V502" s="5" t="s">
        <v>56</v>
      </c>
      <c r="W502" s="5">
        <v>50</v>
      </c>
      <c r="X502" s="5">
        <v>6.2</v>
      </c>
      <c r="Y502" s="5">
        <v>6</v>
      </c>
      <c r="Z502" s="5" t="s">
        <v>71</v>
      </c>
      <c r="AA502" s="6">
        <v>37.44</v>
      </c>
      <c r="AB502" s="8">
        <f t="shared" si="91"/>
        <v>48</v>
      </c>
      <c r="AC502" s="8">
        <f t="shared" si="92"/>
        <v>2.4000000000000004</v>
      </c>
      <c r="AD502" s="8">
        <f t="shared" si="93"/>
        <v>45.6</v>
      </c>
      <c r="AE502" s="8">
        <f t="shared" si="94"/>
        <v>37.44</v>
      </c>
      <c r="AF502" s="8">
        <f t="shared" si="95"/>
        <v>8.1600000000000037</v>
      </c>
      <c r="AG502" s="9">
        <f t="shared" si="96"/>
        <v>0.17894736842105272</v>
      </c>
      <c r="AH502" s="10">
        <f t="shared" si="97"/>
        <v>2025</v>
      </c>
      <c r="AI502" s="10">
        <f t="shared" si="98"/>
        <v>4</v>
      </c>
      <c r="AJ502" s="10" t="str">
        <f t="shared" si="99"/>
        <v>2025-04</v>
      </c>
      <c r="AK502" s="10" t="str">
        <f t="shared" si="100"/>
        <v>T2</v>
      </c>
      <c r="AL502" s="10" t="str">
        <f t="shared" si="101"/>
        <v>50+</v>
      </c>
      <c r="AM502" s="10" t="str">
        <f t="shared" si="102"/>
        <v>moyen</v>
      </c>
      <c r="AN502" s="10" t="s">
        <v>2839</v>
      </c>
      <c r="AO502" s="10" t="str">
        <f t="shared" si="103"/>
        <v>Faible</v>
      </c>
    </row>
    <row r="503" spans="1:41">
      <c r="A503" t="s">
        <v>1633</v>
      </c>
      <c r="B503" s="2">
        <v>45715</v>
      </c>
      <c r="C503" t="s">
        <v>1634</v>
      </c>
      <c r="D503" t="s">
        <v>138</v>
      </c>
      <c r="E503" t="s">
        <v>129</v>
      </c>
      <c r="F503" t="s">
        <v>548</v>
      </c>
      <c r="G503">
        <v>4</v>
      </c>
      <c r="H503" s="4">
        <v>120</v>
      </c>
      <c r="I503" s="3">
        <v>0.02</v>
      </c>
      <c r="J503" t="s">
        <v>45</v>
      </c>
      <c r="K503" t="s">
        <v>46</v>
      </c>
      <c r="L503" t="s">
        <v>1635</v>
      </c>
      <c r="M503" t="s">
        <v>48</v>
      </c>
      <c r="N503" t="s">
        <v>255</v>
      </c>
      <c r="O503" t="s">
        <v>142</v>
      </c>
      <c r="P503" t="s">
        <v>51</v>
      </c>
      <c r="Q503" t="s">
        <v>143</v>
      </c>
      <c r="R503" t="s">
        <v>134</v>
      </c>
      <c r="S503" t="s">
        <v>123</v>
      </c>
      <c r="T503" t="s">
        <v>550</v>
      </c>
      <c r="U503" s="5">
        <v>54</v>
      </c>
      <c r="V503" s="5" t="s">
        <v>85</v>
      </c>
      <c r="W503" s="5">
        <v>67</v>
      </c>
      <c r="X503" s="5">
        <v>6</v>
      </c>
      <c r="Y503" s="5">
        <v>6</v>
      </c>
      <c r="Z503" s="5" t="s">
        <v>117</v>
      </c>
      <c r="AA503" s="6">
        <v>73.2</v>
      </c>
      <c r="AB503" s="8">
        <f t="shared" si="91"/>
        <v>480</v>
      </c>
      <c r="AC503" s="8">
        <f t="shared" si="92"/>
        <v>9.6</v>
      </c>
      <c r="AD503" s="8">
        <f t="shared" si="93"/>
        <v>470.4</v>
      </c>
      <c r="AE503" s="8">
        <f t="shared" si="94"/>
        <v>292.8</v>
      </c>
      <c r="AF503" s="8">
        <f t="shared" si="95"/>
        <v>177.59999999999997</v>
      </c>
      <c r="AG503" s="9">
        <f t="shared" si="96"/>
        <v>0.37755102040816318</v>
      </c>
      <c r="AH503" s="10">
        <f t="shared" si="97"/>
        <v>2025</v>
      </c>
      <c r="AI503" s="10">
        <f t="shared" si="98"/>
        <v>2</v>
      </c>
      <c r="AJ503" s="10" t="str">
        <f t="shared" si="99"/>
        <v>2025-02</v>
      </c>
      <c r="AK503" s="10" t="str">
        <f t="shared" si="100"/>
        <v>T1</v>
      </c>
      <c r="AL503" s="10" t="str">
        <f t="shared" si="101"/>
        <v>50+</v>
      </c>
      <c r="AM503" s="10" t="str">
        <f t="shared" si="102"/>
        <v>moyen</v>
      </c>
      <c r="AN503" s="10" t="s">
        <v>2839</v>
      </c>
      <c r="AO503" s="10" t="str">
        <f t="shared" si="103"/>
        <v>Faible</v>
      </c>
    </row>
    <row r="504" spans="1:41">
      <c r="A504" t="s">
        <v>1636</v>
      </c>
      <c r="B504" s="2">
        <v>45866</v>
      </c>
      <c r="C504" t="s">
        <v>1637</v>
      </c>
      <c r="D504" t="s">
        <v>138</v>
      </c>
      <c r="E504" t="s">
        <v>109</v>
      </c>
      <c r="F504" t="s">
        <v>110</v>
      </c>
      <c r="G504">
        <v>3</v>
      </c>
      <c r="H504" s="4">
        <v>120</v>
      </c>
      <c r="I504" s="3">
        <v>0.02</v>
      </c>
      <c r="J504" t="s">
        <v>45</v>
      </c>
      <c r="K504" t="s">
        <v>46</v>
      </c>
      <c r="L504" t="s">
        <v>1638</v>
      </c>
      <c r="M504" t="s">
        <v>48</v>
      </c>
      <c r="N504" t="s">
        <v>80</v>
      </c>
      <c r="O504" t="s">
        <v>142</v>
      </c>
      <c r="P504" t="s">
        <v>51</v>
      </c>
      <c r="Q504" t="s">
        <v>143</v>
      </c>
      <c r="R504" t="s">
        <v>115</v>
      </c>
      <c r="S504" t="s">
        <v>65</v>
      </c>
      <c r="T504" t="s">
        <v>116</v>
      </c>
      <c r="U504" s="5">
        <v>42</v>
      </c>
      <c r="V504" s="5" t="s">
        <v>56</v>
      </c>
      <c r="W504" s="5">
        <v>19</v>
      </c>
      <c r="X504" s="5">
        <v>4.5999999999999996</v>
      </c>
      <c r="Y504" s="5">
        <v>8</v>
      </c>
      <c r="Z504" s="5" t="s">
        <v>57</v>
      </c>
      <c r="AA504" s="6">
        <v>73.2</v>
      </c>
      <c r="AB504" s="8">
        <f t="shared" si="91"/>
        <v>360</v>
      </c>
      <c r="AC504" s="8">
        <f t="shared" si="92"/>
        <v>7.2</v>
      </c>
      <c r="AD504" s="8">
        <f t="shared" si="93"/>
        <v>352.8</v>
      </c>
      <c r="AE504" s="8">
        <f t="shared" si="94"/>
        <v>219.60000000000002</v>
      </c>
      <c r="AF504" s="8">
        <f t="shared" si="95"/>
        <v>133.19999999999999</v>
      </c>
      <c r="AG504" s="9">
        <f t="shared" si="96"/>
        <v>0.37755102040816324</v>
      </c>
      <c r="AH504" s="10">
        <f t="shared" si="97"/>
        <v>2025</v>
      </c>
      <c r="AI504" s="10">
        <f t="shared" si="98"/>
        <v>7</v>
      </c>
      <c r="AJ504" s="10" t="str">
        <f t="shared" si="99"/>
        <v>2025-07</v>
      </c>
      <c r="AK504" s="10" t="str">
        <f t="shared" si="100"/>
        <v>T3</v>
      </c>
      <c r="AL504" s="10" t="str">
        <f t="shared" si="101"/>
        <v>40-49</v>
      </c>
      <c r="AM504" s="10" t="str">
        <f t="shared" si="102"/>
        <v>faible</v>
      </c>
      <c r="AN504" s="10" t="s">
        <v>2837</v>
      </c>
      <c r="AO504" s="10" t="str">
        <f t="shared" si="103"/>
        <v>Faible</v>
      </c>
    </row>
    <row r="505" spans="1:41">
      <c r="A505" t="s">
        <v>1639</v>
      </c>
      <c r="B505" s="2">
        <v>45930</v>
      </c>
      <c r="C505" t="s">
        <v>1640</v>
      </c>
      <c r="D505" t="s">
        <v>74</v>
      </c>
      <c r="E505" t="s">
        <v>43</v>
      </c>
      <c r="F505" t="s">
        <v>522</v>
      </c>
      <c r="G505">
        <v>1</v>
      </c>
      <c r="H505" s="4">
        <v>95</v>
      </c>
      <c r="I505" s="3">
        <v>0</v>
      </c>
      <c r="J505" t="s">
        <v>77</v>
      </c>
      <c r="K505" t="s">
        <v>46</v>
      </c>
      <c r="L505" t="s">
        <v>1641</v>
      </c>
      <c r="M505" t="s">
        <v>54</v>
      </c>
      <c r="N505" t="s">
        <v>49</v>
      </c>
      <c r="O505" t="s">
        <v>81</v>
      </c>
      <c r="P505" t="s">
        <v>82</v>
      </c>
      <c r="Q505" t="s">
        <v>52</v>
      </c>
      <c r="R505" t="s">
        <v>53</v>
      </c>
      <c r="S505" t="s">
        <v>54</v>
      </c>
      <c r="T505" t="s">
        <v>524</v>
      </c>
      <c r="U505" s="5">
        <v>45</v>
      </c>
      <c r="V505" s="5" t="s">
        <v>85</v>
      </c>
      <c r="W505" s="5">
        <v>5</v>
      </c>
      <c r="X505" s="5">
        <v>7.1</v>
      </c>
      <c r="Y505" s="5">
        <v>4</v>
      </c>
      <c r="Z505" s="5" t="s">
        <v>57</v>
      </c>
      <c r="AA505" s="6">
        <v>70.3</v>
      </c>
      <c r="AB505" s="8">
        <f t="shared" si="91"/>
        <v>95</v>
      </c>
      <c r="AC505" s="8">
        <f t="shared" si="92"/>
        <v>0</v>
      </c>
      <c r="AD505" s="8">
        <f t="shared" si="93"/>
        <v>95</v>
      </c>
      <c r="AE505" s="8">
        <f t="shared" si="94"/>
        <v>70.3</v>
      </c>
      <c r="AF505" s="8">
        <f t="shared" si="95"/>
        <v>24.700000000000003</v>
      </c>
      <c r="AG505" s="9">
        <f t="shared" si="96"/>
        <v>0.26</v>
      </c>
      <c r="AH505" s="10">
        <f t="shared" si="97"/>
        <v>2025</v>
      </c>
      <c r="AI505" s="10">
        <f t="shared" si="98"/>
        <v>9</v>
      </c>
      <c r="AJ505" s="10" t="str">
        <f t="shared" si="99"/>
        <v>2025-09</v>
      </c>
      <c r="AK505" s="10" t="str">
        <f t="shared" si="100"/>
        <v>T3</v>
      </c>
      <c r="AL505" s="10" t="str">
        <f t="shared" si="101"/>
        <v>40-49</v>
      </c>
      <c r="AM505" s="10" t="str">
        <f t="shared" si="102"/>
        <v>bon</v>
      </c>
      <c r="AN505" s="10" t="s">
        <v>2839</v>
      </c>
      <c r="AO505" s="10" t="str">
        <f t="shared" si="103"/>
        <v>Faible</v>
      </c>
    </row>
    <row r="506" spans="1:41">
      <c r="A506" t="s">
        <v>1642</v>
      </c>
      <c r="B506" s="2">
        <v>45821</v>
      </c>
      <c r="C506" t="s">
        <v>1643</v>
      </c>
      <c r="D506" t="s">
        <v>128</v>
      </c>
      <c r="E506" t="s">
        <v>277</v>
      </c>
      <c r="F506" t="s">
        <v>76</v>
      </c>
      <c r="G506">
        <v>5</v>
      </c>
      <c r="H506" s="4">
        <v>190</v>
      </c>
      <c r="I506" s="3">
        <v>0.05</v>
      </c>
      <c r="J506" t="s">
        <v>63</v>
      </c>
      <c r="K506" t="s">
        <v>46</v>
      </c>
      <c r="L506" t="s">
        <v>1644</v>
      </c>
      <c r="M506" t="s">
        <v>48</v>
      </c>
      <c r="N506" t="s">
        <v>112</v>
      </c>
      <c r="O506" t="s">
        <v>132</v>
      </c>
      <c r="P506" t="s">
        <v>133</v>
      </c>
      <c r="Q506" t="s">
        <v>52</v>
      </c>
      <c r="R506" t="s">
        <v>279</v>
      </c>
      <c r="S506" t="s">
        <v>54</v>
      </c>
      <c r="T506" t="s">
        <v>84</v>
      </c>
      <c r="U506" s="5">
        <v>28</v>
      </c>
      <c r="V506" s="5" t="s">
        <v>56</v>
      </c>
      <c r="W506" s="5">
        <v>29</v>
      </c>
      <c r="X506" s="5">
        <v>6.7</v>
      </c>
      <c r="Y506" s="5">
        <v>4</v>
      </c>
      <c r="Z506" s="5" t="s">
        <v>94</v>
      </c>
      <c r="AA506" s="6">
        <v>148.19999999999999</v>
      </c>
      <c r="AB506" s="8">
        <f t="shared" si="91"/>
        <v>950</v>
      </c>
      <c r="AC506" s="8">
        <f t="shared" si="92"/>
        <v>47.5</v>
      </c>
      <c r="AD506" s="8">
        <f t="shared" si="93"/>
        <v>902.5</v>
      </c>
      <c r="AE506" s="8">
        <f t="shared" si="94"/>
        <v>741</v>
      </c>
      <c r="AF506" s="8">
        <f t="shared" si="95"/>
        <v>161.5</v>
      </c>
      <c r="AG506" s="9">
        <f t="shared" si="96"/>
        <v>0.17894736842105263</v>
      </c>
      <c r="AH506" s="10">
        <f t="shared" si="97"/>
        <v>2025</v>
      </c>
      <c r="AI506" s="10">
        <f t="shared" si="98"/>
        <v>6</v>
      </c>
      <c r="AJ506" s="10" t="str">
        <f t="shared" si="99"/>
        <v>2025-06</v>
      </c>
      <c r="AK506" s="10" t="str">
        <f t="shared" si="100"/>
        <v>T2</v>
      </c>
      <c r="AL506" s="10" t="str">
        <f t="shared" si="101"/>
        <v>22-29</v>
      </c>
      <c r="AM506" s="10" t="str">
        <f t="shared" si="102"/>
        <v>moyen</v>
      </c>
      <c r="AN506" s="10" t="s">
        <v>2839</v>
      </c>
      <c r="AO506" s="10" t="str">
        <f t="shared" si="103"/>
        <v>Moyenne</v>
      </c>
    </row>
    <row r="507" spans="1:41">
      <c r="A507" t="s">
        <v>1645</v>
      </c>
      <c r="B507" s="2">
        <v>45813</v>
      </c>
      <c r="C507" t="s">
        <v>1527</v>
      </c>
      <c r="D507" t="s">
        <v>174</v>
      </c>
      <c r="E507" t="s">
        <v>129</v>
      </c>
      <c r="F507" t="s">
        <v>140</v>
      </c>
      <c r="G507">
        <v>1</v>
      </c>
      <c r="H507" s="4">
        <v>780</v>
      </c>
      <c r="I507" s="3">
        <v>0.1</v>
      </c>
      <c r="J507" t="s">
        <v>63</v>
      </c>
      <c r="K507" t="s">
        <v>46</v>
      </c>
      <c r="L507" t="s">
        <v>1528</v>
      </c>
      <c r="M507" t="s">
        <v>123</v>
      </c>
      <c r="N507" t="s">
        <v>255</v>
      </c>
      <c r="O507" t="s">
        <v>177</v>
      </c>
      <c r="P507" t="s">
        <v>103</v>
      </c>
      <c r="Q507" t="s">
        <v>114</v>
      </c>
      <c r="R507" t="s">
        <v>134</v>
      </c>
      <c r="S507" t="s">
        <v>123</v>
      </c>
      <c r="T507" t="s">
        <v>145</v>
      </c>
      <c r="U507" s="5">
        <v>53</v>
      </c>
      <c r="V507" s="5" t="s">
        <v>85</v>
      </c>
      <c r="W507" s="5">
        <v>27</v>
      </c>
      <c r="X507" s="5">
        <v>6.3</v>
      </c>
      <c r="Y507" s="5">
        <v>5</v>
      </c>
      <c r="Z507" s="5" t="s">
        <v>94</v>
      </c>
      <c r="AA507" s="6">
        <v>468</v>
      </c>
      <c r="AB507" s="8">
        <f t="shared" si="91"/>
        <v>780</v>
      </c>
      <c r="AC507" s="8">
        <f t="shared" si="92"/>
        <v>78</v>
      </c>
      <c r="AD507" s="8">
        <f t="shared" si="93"/>
        <v>702</v>
      </c>
      <c r="AE507" s="8">
        <f t="shared" si="94"/>
        <v>468</v>
      </c>
      <c r="AF507" s="8">
        <f t="shared" si="95"/>
        <v>234</v>
      </c>
      <c r="AG507" s="9">
        <f t="shared" si="96"/>
        <v>0.33333333333333331</v>
      </c>
      <c r="AH507" s="10">
        <f t="shared" si="97"/>
        <v>2025</v>
      </c>
      <c r="AI507" s="10">
        <f t="shared" si="98"/>
        <v>6</v>
      </c>
      <c r="AJ507" s="10" t="str">
        <f t="shared" si="99"/>
        <v>2025-06</v>
      </c>
      <c r="AK507" s="10" t="str">
        <f t="shared" si="100"/>
        <v>T2</v>
      </c>
      <c r="AL507" s="10" t="str">
        <f t="shared" si="101"/>
        <v>50+</v>
      </c>
      <c r="AM507" s="10" t="str">
        <f t="shared" si="102"/>
        <v>moyen</v>
      </c>
      <c r="AN507" s="10" t="s">
        <v>2839</v>
      </c>
      <c r="AO507" s="10" t="str">
        <f t="shared" si="103"/>
        <v>Moyenne</v>
      </c>
    </row>
    <row r="508" spans="1:41">
      <c r="A508" t="s">
        <v>1646</v>
      </c>
      <c r="B508" s="2">
        <v>45776</v>
      </c>
      <c r="C508" t="s">
        <v>1624</v>
      </c>
      <c r="D508" t="s">
        <v>181</v>
      </c>
      <c r="E508" t="s">
        <v>345</v>
      </c>
      <c r="F508" t="s">
        <v>110</v>
      </c>
      <c r="G508">
        <v>1</v>
      </c>
      <c r="H508" s="4">
        <v>145</v>
      </c>
      <c r="I508" s="3">
        <v>0.05</v>
      </c>
      <c r="J508" t="s">
        <v>77</v>
      </c>
      <c r="K508" t="s">
        <v>46</v>
      </c>
      <c r="L508" t="s">
        <v>1625</v>
      </c>
      <c r="M508" t="s">
        <v>65</v>
      </c>
      <c r="N508" t="s">
        <v>101</v>
      </c>
      <c r="O508" t="s">
        <v>184</v>
      </c>
      <c r="P508" t="s">
        <v>103</v>
      </c>
      <c r="Q508" t="s">
        <v>52</v>
      </c>
      <c r="R508" t="s">
        <v>347</v>
      </c>
      <c r="S508" t="s">
        <v>54</v>
      </c>
      <c r="T508" t="s">
        <v>116</v>
      </c>
      <c r="U508" s="5">
        <v>41</v>
      </c>
      <c r="V508" s="5" t="s">
        <v>56</v>
      </c>
      <c r="W508" s="5">
        <v>4</v>
      </c>
      <c r="X508" s="5">
        <v>5.4</v>
      </c>
      <c r="Y508" s="5">
        <v>7</v>
      </c>
      <c r="Z508" s="5" t="s">
        <v>57</v>
      </c>
      <c r="AA508" s="6">
        <v>97.15</v>
      </c>
      <c r="AB508" s="8">
        <f t="shared" si="91"/>
        <v>145</v>
      </c>
      <c r="AC508" s="8">
        <f t="shared" si="92"/>
        <v>7.25</v>
      </c>
      <c r="AD508" s="8">
        <f t="shared" si="93"/>
        <v>137.75</v>
      </c>
      <c r="AE508" s="8">
        <f t="shared" si="94"/>
        <v>97.15</v>
      </c>
      <c r="AF508" s="8">
        <f t="shared" si="95"/>
        <v>40.599999999999994</v>
      </c>
      <c r="AG508" s="9">
        <f t="shared" si="96"/>
        <v>0.29473684210526313</v>
      </c>
      <c r="AH508" s="10">
        <f t="shared" si="97"/>
        <v>2025</v>
      </c>
      <c r="AI508" s="10">
        <f t="shared" si="98"/>
        <v>4</v>
      </c>
      <c r="AJ508" s="10" t="str">
        <f t="shared" si="99"/>
        <v>2025-04</v>
      </c>
      <c r="AK508" s="10" t="str">
        <f t="shared" si="100"/>
        <v>T2</v>
      </c>
      <c r="AL508" s="10" t="str">
        <f t="shared" si="101"/>
        <v>40-49</v>
      </c>
      <c r="AM508" s="10" t="str">
        <f t="shared" si="102"/>
        <v>moyen</v>
      </c>
      <c r="AN508" s="10" t="s">
        <v>2837</v>
      </c>
      <c r="AO508" s="10" t="str">
        <f t="shared" si="103"/>
        <v>Faible</v>
      </c>
    </row>
    <row r="509" spans="1:41">
      <c r="A509" t="s">
        <v>1647</v>
      </c>
      <c r="B509" s="2">
        <v>45811</v>
      </c>
      <c r="C509" t="s">
        <v>806</v>
      </c>
      <c r="D509" t="s">
        <v>272</v>
      </c>
      <c r="E509" t="s">
        <v>345</v>
      </c>
      <c r="F509" t="s">
        <v>140</v>
      </c>
      <c r="G509">
        <v>6</v>
      </c>
      <c r="H509" s="4">
        <v>420</v>
      </c>
      <c r="I509" s="3">
        <v>0</v>
      </c>
      <c r="J509" t="s">
        <v>45</v>
      </c>
      <c r="K509" t="s">
        <v>46</v>
      </c>
      <c r="L509" t="s">
        <v>807</v>
      </c>
      <c r="M509" t="s">
        <v>54</v>
      </c>
      <c r="N509" t="s">
        <v>255</v>
      </c>
      <c r="O509" t="s">
        <v>274</v>
      </c>
      <c r="P509" t="s">
        <v>133</v>
      </c>
      <c r="Q509" t="s">
        <v>114</v>
      </c>
      <c r="R509" t="s">
        <v>347</v>
      </c>
      <c r="S509" t="s">
        <v>54</v>
      </c>
      <c r="T509" t="s">
        <v>145</v>
      </c>
      <c r="U509" s="5">
        <v>53</v>
      </c>
      <c r="V509" s="5" t="s">
        <v>85</v>
      </c>
      <c r="W509" s="5">
        <v>56</v>
      </c>
      <c r="X509" s="5">
        <v>3.9</v>
      </c>
      <c r="Y509" s="5">
        <v>8</v>
      </c>
      <c r="Z509" s="5" t="s">
        <v>57</v>
      </c>
      <c r="AA509" s="6">
        <v>273</v>
      </c>
      <c r="AB509" s="8">
        <f t="shared" si="91"/>
        <v>2520</v>
      </c>
      <c r="AC509" s="8">
        <f t="shared" si="92"/>
        <v>0</v>
      </c>
      <c r="AD509" s="8">
        <f t="shared" si="93"/>
        <v>2520</v>
      </c>
      <c r="AE509" s="8">
        <f t="shared" si="94"/>
        <v>1638</v>
      </c>
      <c r="AF509" s="8">
        <f t="shared" si="95"/>
        <v>882</v>
      </c>
      <c r="AG509" s="9">
        <f t="shared" si="96"/>
        <v>0.35</v>
      </c>
      <c r="AH509" s="10">
        <f t="shared" si="97"/>
        <v>2025</v>
      </c>
      <c r="AI509" s="10">
        <f t="shared" si="98"/>
        <v>6</v>
      </c>
      <c r="AJ509" s="10" t="str">
        <f t="shared" si="99"/>
        <v>2025-06</v>
      </c>
      <c r="AK509" s="10" t="str">
        <f t="shared" si="100"/>
        <v>T2</v>
      </c>
      <c r="AL509" s="10" t="str">
        <f t="shared" si="101"/>
        <v>50+</v>
      </c>
      <c r="AM509" s="10" t="str">
        <f t="shared" si="102"/>
        <v>faible</v>
      </c>
      <c r="AN509" s="10" t="s">
        <v>2837</v>
      </c>
      <c r="AO509" s="10" t="str">
        <f t="shared" si="103"/>
        <v>Elevée</v>
      </c>
    </row>
    <row r="510" spans="1:41">
      <c r="A510" t="s">
        <v>1648</v>
      </c>
      <c r="B510" s="2">
        <v>45792</v>
      </c>
      <c r="C510" t="s">
        <v>1649</v>
      </c>
      <c r="D510" t="s">
        <v>333</v>
      </c>
      <c r="E510" t="s">
        <v>109</v>
      </c>
      <c r="F510" t="s">
        <v>156</v>
      </c>
      <c r="G510">
        <v>2</v>
      </c>
      <c r="H510" s="4">
        <v>65</v>
      </c>
      <c r="I510" s="3">
        <v>0.1</v>
      </c>
      <c r="J510" t="s">
        <v>77</v>
      </c>
      <c r="K510" t="s">
        <v>46</v>
      </c>
      <c r="L510" t="s">
        <v>1650</v>
      </c>
      <c r="M510" t="s">
        <v>65</v>
      </c>
      <c r="N510" t="s">
        <v>49</v>
      </c>
      <c r="O510" t="s">
        <v>336</v>
      </c>
      <c r="P510" t="s">
        <v>51</v>
      </c>
      <c r="Q510" t="s">
        <v>52</v>
      </c>
      <c r="R510" t="s">
        <v>115</v>
      </c>
      <c r="S510" t="s">
        <v>65</v>
      </c>
      <c r="T510" t="s">
        <v>159</v>
      </c>
      <c r="U510" s="5">
        <v>59</v>
      </c>
      <c r="V510" s="5" t="s">
        <v>85</v>
      </c>
      <c r="W510" s="5">
        <v>67</v>
      </c>
      <c r="X510" s="5">
        <v>9.1</v>
      </c>
      <c r="Y510" s="5">
        <v>1</v>
      </c>
      <c r="Z510" s="5" t="s">
        <v>57</v>
      </c>
      <c r="AA510" s="6">
        <v>47.45</v>
      </c>
      <c r="AB510" s="8">
        <f t="shared" si="91"/>
        <v>130</v>
      </c>
      <c r="AC510" s="8">
        <f t="shared" si="92"/>
        <v>13</v>
      </c>
      <c r="AD510" s="8">
        <f t="shared" si="93"/>
        <v>117</v>
      </c>
      <c r="AE510" s="8">
        <f t="shared" si="94"/>
        <v>94.9</v>
      </c>
      <c r="AF510" s="8">
        <f t="shared" si="95"/>
        <v>22.099999999999994</v>
      </c>
      <c r="AG510" s="9">
        <f t="shared" si="96"/>
        <v>0.18888888888888883</v>
      </c>
      <c r="AH510" s="10">
        <f t="shared" si="97"/>
        <v>2025</v>
      </c>
      <c r="AI510" s="10">
        <f t="shared" si="98"/>
        <v>5</v>
      </c>
      <c r="AJ510" s="10" t="str">
        <f t="shared" si="99"/>
        <v>2025-05</v>
      </c>
      <c r="AK510" s="10" t="str">
        <f t="shared" si="100"/>
        <v>T2</v>
      </c>
      <c r="AL510" s="10" t="str">
        <f t="shared" si="101"/>
        <v>50+</v>
      </c>
      <c r="AM510" s="10" t="str">
        <f t="shared" si="102"/>
        <v>excellent</v>
      </c>
      <c r="AN510" s="10" t="s">
        <v>2838</v>
      </c>
      <c r="AO510" s="10" t="str">
        <f t="shared" si="103"/>
        <v>Faible</v>
      </c>
    </row>
    <row r="511" spans="1:41">
      <c r="A511" t="s">
        <v>1651</v>
      </c>
      <c r="B511" s="2">
        <v>45819</v>
      </c>
      <c r="C511" t="s">
        <v>1652</v>
      </c>
      <c r="D511" t="s">
        <v>108</v>
      </c>
      <c r="E511" t="s">
        <v>315</v>
      </c>
      <c r="F511" t="s">
        <v>149</v>
      </c>
      <c r="G511">
        <v>2</v>
      </c>
      <c r="H511" s="4">
        <v>240</v>
      </c>
      <c r="I511" s="3">
        <v>0.02</v>
      </c>
      <c r="J511" t="s">
        <v>63</v>
      </c>
      <c r="K511" t="s">
        <v>46</v>
      </c>
      <c r="L511" t="s">
        <v>1653</v>
      </c>
      <c r="M511" t="s">
        <v>123</v>
      </c>
      <c r="N511" t="s">
        <v>80</v>
      </c>
      <c r="O511" t="s">
        <v>113</v>
      </c>
      <c r="P511" t="s">
        <v>82</v>
      </c>
      <c r="Q511" t="s">
        <v>114</v>
      </c>
      <c r="R511" t="s">
        <v>317</v>
      </c>
      <c r="S511" t="s">
        <v>69</v>
      </c>
      <c r="T511" t="s">
        <v>152</v>
      </c>
      <c r="U511" s="5">
        <v>26</v>
      </c>
      <c r="V511" s="5" t="s">
        <v>85</v>
      </c>
      <c r="W511" s="5">
        <v>71</v>
      </c>
      <c r="X511" s="5">
        <v>4.5999999999999996</v>
      </c>
      <c r="Y511" s="5">
        <v>8</v>
      </c>
      <c r="Z511" s="5" t="s">
        <v>94</v>
      </c>
      <c r="AA511" s="6">
        <v>177.6</v>
      </c>
      <c r="AB511" s="8">
        <f t="shared" si="91"/>
        <v>480</v>
      </c>
      <c r="AC511" s="8">
        <f t="shared" si="92"/>
        <v>9.6</v>
      </c>
      <c r="AD511" s="8">
        <f t="shared" si="93"/>
        <v>470.4</v>
      </c>
      <c r="AE511" s="8">
        <f t="shared" si="94"/>
        <v>355.2</v>
      </c>
      <c r="AF511" s="8">
        <f t="shared" si="95"/>
        <v>115.19999999999999</v>
      </c>
      <c r="AG511" s="9">
        <f t="shared" si="96"/>
        <v>0.24489795918367346</v>
      </c>
      <c r="AH511" s="10">
        <f t="shared" si="97"/>
        <v>2025</v>
      </c>
      <c r="AI511" s="10">
        <f t="shared" si="98"/>
        <v>6</v>
      </c>
      <c r="AJ511" s="10" t="str">
        <f t="shared" si="99"/>
        <v>2025-06</v>
      </c>
      <c r="AK511" s="10" t="str">
        <f t="shared" si="100"/>
        <v>T2</v>
      </c>
      <c r="AL511" s="10" t="str">
        <f t="shared" si="101"/>
        <v>22-29</v>
      </c>
      <c r="AM511" s="10" t="str">
        <f t="shared" si="102"/>
        <v>faible</v>
      </c>
      <c r="AN511" s="10" t="s">
        <v>2837</v>
      </c>
      <c r="AO511" s="10" t="str">
        <f t="shared" si="103"/>
        <v>Faible</v>
      </c>
    </row>
    <row r="512" spans="1:41">
      <c r="A512" t="s">
        <v>1654</v>
      </c>
      <c r="B512" s="2">
        <v>45839</v>
      </c>
      <c r="C512" t="s">
        <v>1655</v>
      </c>
      <c r="D512" t="s">
        <v>148</v>
      </c>
      <c r="E512" t="s">
        <v>219</v>
      </c>
      <c r="F512" t="s">
        <v>369</v>
      </c>
      <c r="G512">
        <v>3</v>
      </c>
      <c r="H512" s="4">
        <v>110</v>
      </c>
      <c r="I512" s="3">
        <v>0</v>
      </c>
      <c r="J512" t="s">
        <v>63</v>
      </c>
      <c r="K512" t="s">
        <v>46</v>
      </c>
      <c r="L512" t="s">
        <v>1656</v>
      </c>
      <c r="M512" t="s">
        <v>69</v>
      </c>
      <c r="N512" t="s">
        <v>112</v>
      </c>
      <c r="O512" t="s">
        <v>151</v>
      </c>
      <c r="P512" t="s">
        <v>103</v>
      </c>
      <c r="Q512" t="s">
        <v>114</v>
      </c>
      <c r="R512" t="s">
        <v>222</v>
      </c>
      <c r="S512" t="s">
        <v>123</v>
      </c>
      <c r="T512" t="s">
        <v>371</v>
      </c>
      <c r="U512" s="5">
        <v>28</v>
      </c>
      <c r="V512" s="5" t="s">
        <v>56</v>
      </c>
      <c r="W512" s="5">
        <v>57</v>
      </c>
      <c r="X512" s="5">
        <v>5</v>
      </c>
      <c r="Y512" s="5">
        <v>8</v>
      </c>
      <c r="Z512" s="5" t="s">
        <v>57</v>
      </c>
      <c r="AA512" s="6">
        <v>72.599999999999994</v>
      </c>
      <c r="AB512" s="8">
        <f t="shared" si="91"/>
        <v>330</v>
      </c>
      <c r="AC512" s="8">
        <f t="shared" si="92"/>
        <v>0</v>
      </c>
      <c r="AD512" s="8">
        <f t="shared" si="93"/>
        <v>330</v>
      </c>
      <c r="AE512" s="8">
        <f t="shared" si="94"/>
        <v>217.79999999999998</v>
      </c>
      <c r="AF512" s="8">
        <f t="shared" si="95"/>
        <v>112.20000000000002</v>
      </c>
      <c r="AG512" s="9">
        <f t="shared" si="96"/>
        <v>0.34</v>
      </c>
      <c r="AH512" s="10">
        <f t="shared" si="97"/>
        <v>2025</v>
      </c>
      <c r="AI512" s="10">
        <f t="shared" si="98"/>
        <v>7</v>
      </c>
      <c r="AJ512" s="10" t="str">
        <f t="shared" si="99"/>
        <v>2025-07</v>
      </c>
      <c r="AK512" s="10" t="str">
        <f t="shared" si="100"/>
        <v>T3</v>
      </c>
      <c r="AL512" s="10" t="str">
        <f t="shared" si="101"/>
        <v>22-29</v>
      </c>
      <c r="AM512" s="10" t="str">
        <f t="shared" si="102"/>
        <v>moyen</v>
      </c>
      <c r="AN512" s="10" t="s">
        <v>2837</v>
      </c>
      <c r="AO512" s="10" t="str">
        <f t="shared" si="103"/>
        <v>Faible</v>
      </c>
    </row>
    <row r="513" spans="1:41">
      <c r="A513" t="s">
        <v>1657</v>
      </c>
      <c r="B513" s="2">
        <v>45789</v>
      </c>
      <c r="C513" t="s">
        <v>1658</v>
      </c>
      <c r="D513" t="s">
        <v>181</v>
      </c>
      <c r="E513" t="s">
        <v>88</v>
      </c>
      <c r="F513" t="s">
        <v>424</v>
      </c>
      <c r="G513">
        <v>2</v>
      </c>
      <c r="H513" s="4">
        <v>145</v>
      </c>
      <c r="I513" s="3">
        <v>0</v>
      </c>
      <c r="J513" t="s">
        <v>90</v>
      </c>
      <c r="K513" t="s">
        <v>46</v>
      </c>
      <c r="L513" t="s">
        <v>1659</v>
      </c>
      <c r="M513" t="s">
        <v>65</v>
      </c>
      <c r="N513" t="s">
        <v>101</v>
      </c>
      <c r="O513" t="s">
        <v>184</v>
      </c>
      <c r="P513" t="s">
        <v>103</v>
      </c>
      <c r="Q513" t="s">
        <v>52</v>
      </c>
      <c r="R513" t="s">
        <v>92</v>
      </c>
      <c r="S513" t="s">
        <v>48</v>
      </c>
      <c r="T513" t="s">
        <v>426</v>
      </c>
      <c r="U513" s="5">
        <v>26</v>
      </c>
      <c r="V513" s="5" t="s">
        <v>56</v>
      </c>
      <c r="W513" s="5">
        <v>54</v>
      </c>
      <c r="X513" s="5">
        <v>6.5</v>
      </c>
      <c r="Y513" s="5">
        <v>4</v>
      </c>
      <c r="Z513" s="5" t="s">
        <v>117</v>
      </c>
      <c r="AA513" s="6">
        <v>97.15</v>
      </c>
      <c r="AB513" s="8">
        <f t="shared" si="91"/>
        <v>290</v>
      </c>
      <c r="AC513" s="8">
        <f t="shared" si="92"/>
        <v>0</v>
      </c>
      <c r="AD513" s="8">
        <f t="shared" si="93"/>
        <v>290</v>
      </c>
      <c r="AE513" s="8">
        <f t="shared" si="94"/>
        <v>194.3</v>
      </c>
      <c r="AF513" s="8">
        <f t="shared" si="95"/>
        <v>95.699999999999989</v>
      </c>
      <c r="AG513" s="9">
        <f t="shared" si="96"/>
        <v>0.32999999999999996</v>
      </c>
      <c r="AH513" s="10">
        <f t="shared" si="97"/>
        <v>2025</v>
      </c>
      <c r="AI513" s="10">
        <f t="shared" si="98"/>
        <v>5</v>
      </c>
      <c r="AJ513" s="10" t="str">
        <f t="shared" si="99"/>
        <v>2025-05</v>
      </c>
      <c r="AK513" s="10" t="str">
        <f t="shared" si="100"/>
        <v>T2</v>
      </c>
      <c r="AL513" s="10" t="str">
        <f t="shared" si="101"/>
        <v>22-29</v>
      </c>
      <c r="AM513" s="10" t="str">
        <f t="shared" si="102"/>
        <v>moyen</v>
      </c>
      <c r="AN513" s="10" t="s">
        <v>2839</v>
      </c>
      <c r="AO513" s="10" t="str">
        <f t="shared" si="103"/>
        <v>Faible</v>
      </c>
    </row>
    <row r="514" spans="1:41">
      <c r="A514" t="s">
        <v>1660</v>
      </c>
      <c r="B514" s="2">
        <v>45760</v>
      </c>
      <c r="C514" t="s">
        <v>1661</v>
      </c>
      <c r="D514" t="s">
        <v>108</v>
      </c>
      <c r="E514" t="s">
        <v>61</v>
      </c>
      <c r="F514" t="s">
        <v>130</v>
      </c>
      <c r="G514">
        <v>4</v>
      </c>
      <c r="H514" s="4">
        <v>240</v>
      </c>
      <c r="I514" s="3">
        <v>0.05</v>
      </c>
      <c r="J514" t="s">
        <v>63</v>
      </c>
      <c r="K514" t="s">
        <v>46</v>
      </c>
      <c r="L514" t="s">
        <v>1662</v>
      </c>
      <c r="M514" t="s">
        <v>54</v>
      </c>
      <c r="N514" t="s">
        <v>255</v>
      </c>
      <c r="O514" t="s">
        <v>113</v>
      </c>
      <c r="P514" t="s">
        <v>82</v>
      </c>
      <c r="Q514" t="s">
        <v>114</v>
      </c>
      <c r="R514" t="s">
        <v>68</v>
      </c>
      <c r="S514" t="s">
        <v>69</v>
      </c>
      <c r="T514" t="s">
        <v>135</v>
      </c>
      <c r="U514" s="5">
        <v>51</v>
      </c>
      <c r="V514" s="5" t="s">
        <v>85</v>
      </c>
      <c r="W514" s="5">
        <v>7</v>
      </c>
      <c r="X514" s="5">
        <v>6.5</v>
      </c>
      <c r="Y514" s="5">
        <v>4</v>
      </c>
      <c r="Z514" s="5" t="s">
        <v>71</v>
      </c>
      <c r="AA514" s="6">
        <v>177.6</v>
      </c>
      <c r="AB514" s="8">
        <f t="shared" si="91"/>
        <v>960</v>
      </c>
      <c r="AC514" s="8">
        <f t="shared" si="92"/>
        <v>48</v>
      </c>
      <c r="AD514" s="8">
        <f t="shared" si="93"/>
        <v>912</v>
      </c>
      <c r="AE514" s="8">
        <f t="shared" si="94"/>
        <v>710.4</v>
      </c>
      <c r="AF514" s="8">
        <f t="shared" si="95"/>
        <v>201.60000000000002</v>
      </c>
      <c r="AG514" s="9">
        <f t="shared" si="96"/>
        <v>0.22105263157894739</v>
      </c>
      <c r="AH514" s="10">
        <f t="shared" si="97"/>
        <v>2025</v>
      </c>
      <c r="AI514" s="10">
        <f t="shared" si="98"/>
        <v>4</v>
      </c>
      <c r="AJ514" s="10" t="str">
        <f t="shared" si="99"/>
        <v>2025-04</v>
      </c>
      <c r="AK514" s="10" t="str">
        <f t="shared" si="100"/>
        <v>T2</v>
      </c>
      <c r="AL514" s="10" t="str">
        <f t="shared" si="101"/>
        <v>50+</v>
      </c>
      <c r="AM514" s="10" t="str">
        <f t="shared" si="102"/>
        <v>moyen</v>
      </c>
      <c r="AN514" s="10" t="s">
        <v>2839</v>
      </c>
      <c r="AO514" s="10" t="str">
        <f t="shared" si="103"/>
        <v>Moyenne</v>
      </c>
    </row>
    <row r="515" spans="1:41">
      <c r="A515" t="s">
        <v>1663</v>
      </c>
      <c r="B515" s="2">
        <v>45801</v>
      </c>
      <c r="C515" t="s">
        <v>1664</v>
      </c>
      <c r="D515" t="s">
        <v>148</v>
      </c>
      <c r="E515" t="s">
        <v>277</v>
      </c>
      <c r="F515" t="s">
        <v>259</v>
      </c>
      <c r="G515">
        <v>20</v>
      </c>
      <c r="H515" s="4">
        <v>110</v>
      </c>
      <c r="I515" s="3">
        <v>0.05</v>
      </c>
      <c r="J515" t="s">
        <v>63</v>
      </c>
      <c r="K515" t="s">
        <v>46</v>
      </c>
      <c r="L515" t="s">
        <v>1665</v>
      </c>
      <c r="M515" t="s">
        <v>69</v>
      </c>
      <c r="N515" t="s">
        <v>101</v>
      </c>
      <c r="O515" t="s">
        <v>151</v>
      </c>
      <c r="P515" t="s">
        <v>103</v>
      </c>
      <c r="Q515" t="s">
        <v>114</v>
      </c>
      <c r="R515" t="s">
        <v>279</v>
      </c>
      <c r="S515" t="s">
        <v>54</v>
      </c>
      <c r="T515" t="s">
        <v>261</v>
      </c>
      <c r="U515" s="5">
        <v>46</v>
      </c>
      <c r="V515" s="5" t="s">
        <v>85</v>
      </c>
      <c r="W515" s="5">
        <v>12</v>
      </c>
      <c r="X515" s="5">
        <v>5.8</v>
      </c>
      <c r="Y515" s="5">
        <v>6</v>
      </c>
      <c r="Z515" s="5" t="s">
        <v>94</v>
      </c>
      <c r="AA515" s="6">
        <v>72.599999999999994</v>
      </c>
      <c r="AB515" s="8">
        <f t="shared" ref="AB515:AB578" si="104">G515*H515</f>
        <v>2200</v>
      </c>
      <c r="AC515" s="8">
        <f t="shared" ref="AC515:AC578" si="105">I515*AB515</f>
        <v>110</v>
      </c>
      <c r="AD515" s="8">
        <f t="shared" ref="AD515:AD578" si="106">AB515-AC515</f>
        <v>2090</v>
      </c>
      <c r="AE515" s="8">
        <f t="shared" ref="AE515:AE578" si="107">G515*AA515</f>
        <v>1452</v>
      </c>
      <c r="AF515" s="8">
        <f t="shared" ref="AF515:AF578" si="108">AD515-AE515</f>
        <v>638</v>
      </c>
      <c r="AG515" s="9">
        <f t="shared" ref="AG515:AG578" si="109">IFERROR(AF515/AD515,)</f>
        <v>0.30526315789473685</v>
      </c>
      <c r="AH515" s="10">
        <f t="shared" ref="AH515:AH578" si="110">YEAR(B515)</f>
        <v>2025</v>
      </c>
      <c r="AI515" s="10">
        <f t="shared" ref="AI515:AI578" si="111">MONTH(B515)</f>
        <v>5</v>
      </c>
      <c r="AJ515" s="10" t="str">
        <f t="shared" ref="AJ515:AJ578" si="112">TEXT(B515,"yyyy-mm")</f>
        <v>2025-05</v>
      </c>
      <c r="AK515" s="10" t="str">
        <f t="shared" ref="AK515:AK578" si="113">"T"&amp;ROUNDUP(MONTH(B515)/3,0)</f>
        <v>T2</v>
      </c>
      <c r="AL515" s="10" t="str">
        <f t="shared" ref="AL515:AL578" si="114">IF(U515&lt;30,"22-29",IF(U515&lt;40,"30-39",IF(U515&lt;50,"40-49","50+")))</f>
        <v>40-49</v>
      </c>
      <c r="AM515" s="10" t="str">
        <f t="shared" ref="AM515:AM578" si="115">IF(X515&lt;5,"faible",IF(X515&lt;7,"moyen",IF(X515&lt;9,"bon","excellent")))</f>
        <v>moyen</v>
      </c>
      <c r="AN515" s="10" t="s">
        <v>2839</v>
      </c>
      <c r="AO515" s="10" t="str">
        <f t="shared" ref="AO515:AO578" si="116">IF(AD515&gt;=1000,"Elevée",IF(AD515&gt;=500,"Moyenne","Faible"))</f>
        <v>Elevée</v>
      </c>
    </row>
    <row r="516" spans="1:41">
      <c r="A516" t="s">
        <v>1666</v>
      </c>
      <c r="B516" s="2">
        <v>45847</v>
      </c>
      <c r="C516" t="s">
        <v>1667</v>
      </c>
      <c r="D516" t="s">
        <v>108</v>
      </c>
      <c r="E516" t="s">
        <v>109</v>
      </c>
      <c r="F516" t="s">
        <v>374</v>
      </c>
      <c r="G516">
        <v>2</v>
      </c>
      <c r="H516" s="4">
        <v>240</v>
      </c>
      <c r="I516" s="3">
        <v>0</v>
      </c>
      <c r="J516" t="s">
        <v>90</v>
      </c>
      <c r="K516" t="s">
        <v>46</v>
      </c>
      <c r="L516" t="s">
        <v>1668</v>
      </c>
      <c r="M516" t="s">
        <v>65</v>
      </c>
      <c r="N516" t="s">
        <v>112</v>
      </c>
      <c r="O516" t="s">
        <v>113</v>
      </c>
      <c r="P516" t="s">
        <v>82</v>
      </c>
      <c r="Q516" t="s">
        <v>114</v>
      </c>
      <c r="R516" t="s">
        <v>115</v>
      </c>
      <c r="S516" t="s">
        <v>65</v>
      </c>
      <c r="T516" t="s">
        <v>376</v>
      </c>
      <c r="U516" s="5">
        <v>45</v>
      </c>
      <c r="V516" s="5" t="s">
        <v>56</v>
      </c>
      <c r="W516" s="5">
        <v>11</v>
      </c>
      <c r="X516" s="5">
        <v>4.8</v>
      </c>
      <c r="Y516" s="5">
        <v>8</v>
      </c>
      <c r="Z516" s="5" t="s">
        <v>57</v>
      </c>
      <c r="AA516" s="6">
        <v>177.6</v>
      </c>
      <c r="AB516" s="8">
        <f t="shared" si="104"/>
        <v>480</v>
      </c>
      <c r="AC516" s="8">
        <f t="shared" si="105"/>
        <v>0</v>
      </c>
      <c r="AD516" s="8">
        <f t="shared" si="106"/>
        <v>480</v>
      </c>
      <c r="AE516" s="8">
        <f t="shared" si="107"/>
        <v>355.2</v>
      </c>
      <c r="AF516" s="8">
        <f t="shared" si="108"/>
        <v>124.80000000000001</v>
      </c>
      <c r="AG516" s="9">
        <f t="shared" si="109"/>
        <v>0.26</v>
      </c>
      <c r="AH516" s="10">
        <f t="shared" si="110"/>
        <v>2025</v>
      </c>
      <c r="AI516" s="10">
        <f t="shared" si="111"/>
        <v>7</v>
      </c>
      <c r="AJ516" s="10" t="str">
        <f t="shared" si="112"/>
        <v>2025-07</v>
      </c>
      <c r="AK516" s="10" t="str">
        <f t="shared" si="113"/>
        <v>T3</v>
      </c>
      <c r="AL516" s="10" t="str">
        <f t="shared" si="114"/>
        <v>40-49</v>
      </c>
      <c r="AM516" s="10" t="str">
        <f t="shared" si="115"/>
        <v>faible</v>
      </c>
      <c r="AN516" s="10" t="s">
        <v>2837</v>
      </c>
      <c r="AO516" s="10" t="str">
        <f t="shared" si="116"/>
        <v>Faible</v>
      </c>
    </row>
    <row r="517" spans="1:41">
      <c r="A517" t="s">
        <v>1669</v>
      </c>
      <c r="B517" s="2">
        <v>45735</v>
      </c>
      <c r="C517" t="s">
        <v>1670</v>
      </c>
      <c r="D517" t="s">
        <v>108</v>
      </c>
      <c r="E517" t="s">
        <v>129</v>
      </c>
      <c r="F517" t="s">
        <v>487</v>
      </c>
      <c r="G517">
        <v>5</v>
      </c>
      <c r="H517" s="4">
        <v>240</v>
      </c>
      <c r="I517" s="3">
        <v>0.05</v>
      </c>
      <c r="J517" t="s">
        <v>77</v>
      </c>
      <c r="K517" t="s">
        <v>46</v>
      </c>
      <c r="L517" t="s">
        <v>1671</v>
      </c>
      <c r="M517" t="s">
        <v>65</v>
      </c>
      <c r="N517" t="s">
        <v>80</v>
      </c>
      <c r="O517" t="s">
        <v>113</v>
      </c>
      <c r="P517" t="s">
        <v>82</v>
      </c>
      <c r="Q517" t="s">
        <v>114</v>
      </c>
      <c r="R517" t="s">
        <v>134</v>
      </c>
      <c r="S517" t="s">
        <v>123</v>
      </c>
      <c r="T517" t="s">
        <v>489</v>
      </c>
      <c r="U517" s="5">
        <v>44</v>
      </c>
      <c r="V517" s="5" t="s">
        <v>56</v>
      </c>
      <c r="W517" s="5">
        <v>53</v>
      </c>
      <c r="X517" s="5">
        <v>5</v>
      </c>
      <c r="Y517" s="5">
        <v>7</v>
      </c>
      <c r="Z517" s="5" t="s">
        <v>94</v>
      </c>
      <c r="AA517" s="6">
        <v>177.6</v>
      </c>
      <c r="AB517" s="8">
        <f t="shared" si="104"/>
        <v>1200</v>
      </c>
      <c r="AC517" s="8">
        <f t="shared" si="105"/>
        <v>60</v>
      </c>
      <c r="AD517" s="8">
        <f t="shared" si="106"/>
        <v>1140</v>
      </c>
      <c r="AE517" s="8">
        <f t="shared" si="107"/>
        <v>888</v>
      </c>
      <c r="AF517" s="8">
        <f t="shared" si="108"/>
        <v>252</v>
      </c>
      <c r="AG517" s="9">
        <f t="shared" si="109"/>
        <v>0.22105263157894736</v>
      </c>
      <c r="AH517" s="10">
        <f t="shared" si="110"/>
        <v>2025</v>
      </c>
      <c r="AI517" s="10">
        <f t="shared" si="111"/>
        <v>3</v>
      </c>
      <c r="AJ517" s="10" t="str">
        <f t="shared" si="112"/>
        <v>2025-03</v>
      </c>
      <c r="AK517" s="10" t="str">
        <f t="shared" si="113"/>
        <v>T1</v>
      </c>
      <c r="AL517" s="10" t="str">
        <f t="shared" si="114"/>
        <v>40-49</v>
      </c>
      <c r="AM517" s="10" t="str">
        <f t="shared" si="115"/>
        <v>moyen</v>
      </c>
      <c r="AN517" s="10" t="s">
        <v>2837</v>
      </c>
      <c r="AO517" s="10" t="str">
        <f t="shared" si="116"/>
        <v>Elevée</v>
      </c>
    </row>
    <row r="518" spans="1:41">
      <c r="A518" t="s">
        <v>1672</v>
      </c>
      <c r="B518" s="2">
        <v>45951</v>
      </c>
      <c r="C518" t="s">
        <v>1673</v>
      </c>
      <c r="D518" t="s">
        <v>155</v>
      </c>
      <c r="E518" t="s">
        <v>163</v>
      </c>
      <c r="F518" t="s">
        <v>361</v>
      </c>
      <c r="G518">
        <v>3</v>
      </c>
      <c r="H518" s="4">
        <v>48</v>
      </c>
      <c r="I518" s="3">
        <v>0.08</v>
      </c>
      <c r="J518" t="s">
        <v>77</v>
      </c>
      <c r="K518" t="s">
        <v>46</v>
      </c>
      <c r="L518" t="s">
        <v>1674</v>
      </c>
      <c r="M518" t="s">
        <v>79</v>
      </c>
      <c r="N518" t="s">
        <v>49</v>
      </c>
      <c r="O518" t="s">
        <v>158</v>
      </c>
      <c r="P518" t="s">
        <v>51</v>
      </c>
      <c r="Q518" t="s">
        <v>143</v>
      </c>
      <c r="R518" t="s">
        <v>167</v>
      </c>
      <c r="S518" t="s">
        <v>123</v>
      </c>
      <c r="T518" t="s">
        <v>363</v>
      </c>
      <c r="U518" s="5">
        <v>34</v>
      </c>
      <c r="V518" s="5" t="s">
        <v>85</v>
      </c>
      <c r="W518" s="5">
        <v>29</v>
      </c>
      <c r="X518" s="5">
        <v>7.8</v>
      </c>
      <c r="Y518" s="5">
        <v>2</v>
      </c>
      <c r="Z518" s="5" t="s">
        <v>71</v>
      </c>
      <c r="AA518" s="6">
        <v>37.44</v>
      </c>
      <c r="AB518" s="8">
        <f t="shared" si="104"/>
        <v>144</v>
      </c>
      <c r="AC518" s="8">
        <f t="shared" si="105"/>
        <v>11.52</v>
      </c>
      <c r="AD518" s="8">
        <f t="shared" si="106"/>
        <v>132.47999999999999</v>
      </c>
      <c r="AE518" s="8">
        <f t="shared" si="107"/>
        <v>112.32</v>
      </c>
      <c r="AF518" s="8">
        <f t="shared" si="108"/>
        <v>20.159999999999997</v>
      </c>
      <c r="AG518" s="9">
        <f t="shared" si="109"/>
        <v>0.15217391304347824</v>
      </c>
      <c r="AH518" s="10">
        <f t="shared" si="110"/>
        <v>2025</v>
      </c>
      <c r="AI518" s="10">
        <f t="shared" si="111"/>
        <v>10</v>
      </c>
      <c r="AJ518" s="10" t="str">
        <f t="shared" si="112"/>
        <v>2025-10</v>
      </c>
      <c r="AK518" s="10" t="str">
        <f t="shared" si="113"/>
        <v>T4</v>
      </c>
      <c r="AL518" s="10" t="str">
        <f t="shared" si="114"/>
        <v>30-39</v>
      </c>
      <c r="AM518" s="10" t="str">
        <f t="shared" si="115"/>
        <v>bon</v>
      </c>
      <c r="AN518" s="10" t="s">
        <v>2838</v>
      </c>
      <c r="AO518" s="10" t="str">
        <f t="shared" si="116"/>
        <v>Faible</v>
      </c>
    </row>
    <row r="519" spans="1:41">
      <c r="A519" t="s">
        <v>1675</v>
      </c>
      <c r="B519" s="2">
        <v>45822</v>
      </c>
      <c r="C519" t="s">
        <v>535</v>
      </c>
      <c r="D519" t="s">
        <v>155</v>
      </c>
      <c r="E519" t="s">
        <v>88</v>
      </c>
      <c r="F519" t="s">
        <v>968</v>
      </c>
      <c r="G519">
        <v>2</v>
      </c>
      <c r="H519" s="4">
        <v>48</v>
      </c>
      <c r="I519" s="3">
        <v>0.02</v>
      </c>
      <c r="J519" t="s">
        <v>77</v>
      </c>
      <c r="K519" t="s">
        <v>46</v>
      </c>
      <c r="L519" t="s">
        <v>536</v>
      </c>
      <c r="M519" t="s">
        <v>79</v>
      </c>
      <c r="N519" t="s">
        <v>49</v>
      </c>
      <c r="O519" t="s">
        <v>158</v>
      </c>
      <c r="P519" t="s">
        <v>51</v>
      </c>
      <c r="Q519" t="s">
        <v>143</v>
      </c>
      <c r="R519" t="s">
        <v>92</v>
      </c>
      <c r="S519" t="s">
        <v>48</v>
      </c>
      <c r="T519" t="s">
        <v>970</v>
      </c>
      <c r="U519" s="5">
        <v>34</v>
      </c>
      <c r="V519" s="5" t="s">
        <v>85</v>
      </c>
      <c r="W519" s="5">
        <v>48</v>
      </c>
      <c r="X519" s="5">
        <v>6.2</v>
      </c>
      <c r="Y519" s="5">
        <v>4</v>
      </c>
      <c r="Z519" s="5" t="s">
        <v>94</v>
      </c>
      <c r="AA519" s="6">
        <v>37.44</v>
      </c>
      <c r="AB519" s="8">
        <f t="shared" si="104"/>
        <v>96</v>
      </c>
      <c r="AC519" s="8">
        <f t="shared" si="105"/>
        <v>1.92</v>
      </c>
      <c r="AD519" s="8">
        <f t="shared" si="106"/>
        <v>94.08</v>
      </c>
      <c r="AE519" s="8">
        <f t="shared" si="107"/>
        <v>74.88</v>
      </c>
      <c r="AF519" s="8">
        <f t="shared" si="108"/>
        <v>19.200000000000003</v>
      </c>
      <c r="AG519" s="9">
        <f t="shared" si="109"/>
        <v>0.20408163265306126</v>
      </c>
      <c r="AH519" s="10">
        <f t="shared" si="110"/>
        <v>2025</v>
      </c>
      <c r="AI519" s="10">
        <f t="shared" si="111"/>
        <v>6</v>
      </c>
      <c r="AJ519" s="10" t="str">
        <f t="shared" si="112"/>
        <v>2025-06</v>
      </c>
      <c r="AK519" s="10" t="str">
        <f t="shared" si="113"/>
        <v>T2</v>
      </c>
      <c r="AL519" s="10" t="str">
        <f t="shared" si="114"/>
        <v>30-39</v>
      </c>
      <c r="AM519" s="10" t="str">
        <f t="shared" si="115"/>
        <v>moyen</v>
      </c>
      <c r="AN519" s="10" t="s">
        <v>2839</v>
      </c>
      <c r="AO519" s="10" t="str">
        <f t="shared" si="116"/>
        <v>Faible</v>
      </c>
    </row>
    <row r="520" spans="1:41">
      <c r="A520" t="s">
        <v>1676</v>
      </c>
      <c r="B520" s="2">
        <v>45719</v>
      </c>
      <c r="C520" t="s">
        <v>1677</v>
      </c>
      <c r="D520" t="s">
        <v>340</v>
      </c>
      <c r="E520" t="s">
        <v>120</v>
      </c>
      <c r="F520" t="s">
        <v>248</v>
      </c>
      <c r="G520">
        <v>3</v>
      </c>
      <c r="H520" s="4">
        <v>22</v>
      </c>
      <c r="I520" s="3">
        <v>0.02</v>
      </c>
      <c r="J520" t="s">
        <v>63</v>
      </c>
      <c r="K520" t="s">
        <v>46</v>
      </c>
      <c r="L520" t="s">
        <v>1678</v>
      </c>
      <c r="M520" t="s">
        <v>48</v>
      </c>
      <c r="N520" t="s">
        <v>101</v>
      </c>
      <c r="O520" t="s">
        <v>342</v>
      </c>
      <c r="P520" t="s">
        <v>103</v>
      </c>
      <c r="Q520" t="s">
        <v>143</v>
      </c>
      <c r="R520" t="s">
        <v>124</v>
      </c>
      <c r="S520" t="s">
        <v>48</v>
      </c>
      <c r="T520" t="s">
        <v>250</v>
      </c>
      <c r="U520" s="5">
        <v>42</v>
      </c>
      <c r="V520" s="5" t="s">
        <v>85</v>
      </c>
      <c r="W520" s="5">
        <v>57</v>
      </c>
      <c r="X520" s="5">
        <v>5.7</v>
      </c>
      <c r="Y520" s="5">
        <v>6</v>
      </c>
      <c r="Z520" s="5" t="s">
        <v>71</v>
      </c>
      <c r="AA520" s="6">
        <v>14.96</v>
      </c>
      <c r="AB520" s="8">
        <f t="shared" si="104"/>
        <v>66</v>
      </c>
      <c r="AC520" s="8">
        <f t="shared" si="105"/>
        <v>1.32</v>
      </c>
      <c r="AD520" s="8">
        <f t="shared" si="106"/>
        <v>64.680000000000007</v>
      </c>
      <c r="AE520" s="8">
        <f t="shared" si="107"/>
        <v>44.88</v>
      </c>
      <c r="AF520" s="8">
        <f t="shared" si="108"/>
        <v>19.800000000000004</v>
      </c>
      <c r="AG520" s="9">
        <f t="shared" si="109"/>
        <v>0.30612244897959184</v>
      </c>
      <c r="AH520" s="10">
        <f t="shared" si="110"/>
        <v>2025</v>
      </c>
      <c r="AI520" s="10">
        <f t="shared" si="111"/>
        <v>3</v>
      </c>
      <c r="AJ520" s="10" t="str">
        <f t="shared" si="112"/>
        <v>2025-03</v>
      </c>
      <c r="AK520" s="10" t="str">
        <f t="shared" si="113"/>
        <v>T1</v>
      </c>
      <c r="AL520" s="10" t="str">
        <f t="shared" si="114"/>
        <v>40-49</v>
      </c>
      <c r="AM520" s="10" t="str">
        <f t="shared" si="115"/>
        <v>moyen</v>
      </c>
      <c r="AN520" s="10" t="s">
        <v>2839</v>
      </c>
      <c r="AO520" s="10" t="str">
        <f t="shared" si="116"/>
        <v>Faible</v>
      </c>
    </row>
    <row r="521" spans="1:41">
      <c r="A521" t="s">
        <v>1679</v>
      </c>
      <c r="B521" s="2">
        <v>45666</v>
      </c>
      <c r="C521" t="s">
        <v>1680</v>
      </c>
      <c r="D521" t="s">
        <v>188</v>
      </c>
      <c r="E521" t="s">
        <v>207</v>
      </c>
      <c r="F521" t="s">
        <v>334</v>
      </c>
      <c r="G521">
        <v>3</v>
      </c>
      <c r="H521" s="4">
        <v>350</v>
      </c>
      <c r="I521" s="3">
        <v>0</v>
      </c>
      <c r="J521" t="s">
        <v>77</v>
      </c>
      <c r="K521" t="s">
        <v>46</v>
      </c>
      <c r="L521" t="s">
        <v>1681</v>
      </c>
      <c r="M521" t="s">
        <v>79</v>
      </c>
      <c r="N521" t="s">
        <v>112</v>
      </c>
      <c r="O521" t="s">
        <v>192</v>
      </c>
      <c r="P521" t="s">
        <v>51</v>
      </c>
      <c r="Q521" t="s">
        <v>114</v>
      </c>
      <c r="R521" t="s">
        <v>210</v>
      </c>
      <c r="S521" t="s">
        <v>79</v>
      </c>
      <c r="T521" t="s">
        <v>337</v>
      </c>
      <c r="U521" s="5">
        <v>57</v>
      </c>
      <c r="V521" s="5" t="s">
        <v>85</v>
      </c>
      <c r="W521" s="5">
        <v>53</v>
      </c>
      <c r="X521" s="5">
        <v>5.4</v>
      </c>
      <c r="Y521" s="5">
        <v>7</v>
      </c>
      <c r="Z521" s="5" t="s">
        <v>117</v>
      </c>
      <c r="AA521" s="6">
        <v>213.5</v>
      </c>
      <c r="AB521" s="8">
        <f t="shared" si="104"/>
        <v>1050</v>
      </c>
      <c r="AC521" s="8">
        <f t="shared" si="105"/>
        <v>0</v>
      </c>
      <c r="AD521" s="8">
        <f t="shared" si="106"/>
        <v>1050</v>
      </c>
      <c r="AE521" s="8">
        <f t="shared" si="107"/>
        <v>640.5</v>
      </c>
      <c r="AF521" s="8">
        <f t="shared" si="108"/>
        <v>409.5</v>
      </c>
      <c r="AG521" s="9">
        <f t="shared" si="109"/>
        <v>0.39</v>
      </c>
      <c r="AH521" s="10">
        <f t="shared" si="110"/>
        <v>2025</v>
      </c>
      <c r="AI521" s="10">
        <f t="shared" si="111"/>
        <v>1</v>
      </c>
      <c r="AJ521" s="10" t="str">
        <f t="shared" si="112"/>
        <v>2025-01</v>
      </c>
      <c r="AK521" s="10" t="str">
        <f t="shared" si="113"/>
        <v>T1</v>
      </c>
      <c r="AL521" s="10" t="str">
        <f t="shared" si="114"/>
        <v>50+</v>
      </c>
      <c r="AM521" s="10" t="str">
        <f t="shared" si="115"/>
        <v>moyen</v>
      </c>
      <c r="AN521" s="10" t="s">
        <v>2837</v>
      </c>
      <c r="AO521" s="10" t="str">
        <f t="shared" si="116"/>
        <v>Elevée</v>
      </c>
    </row>
    <row r="522" spans="1:41">
      <c r="A522" t="s">
        <v>1682</v>
      </c>
      <c r="B522" s="2">
        <v>45702</v>
      </c>
      <c r="C522" t="s">
        <v>1683</v>
      </c>
      <c r="D522" t="s">
        <v>128</v>
      </c>
      <c r="E522" t="s">
        <v>207</v>
      </c>
      <c r="F522" t="s">
        <v>302</v>
      </c>
      <c r="G522">
        <v>3</v>
      </c>
      <c r="H522" s="4">
        <v>190</v>
      </c>
      <c r="I522" s="3">
        <v>0.02</v>
      </c>
      <c r="J522" t="s">
        <v>45</v>
      </c>
      <c r="K522" t="s">
        <v>46</v>
      </c>
      <c r="L522" t="s">
        <v>1684</v>
      </c>
      <c r="M522" t="s">
        <v>65</v>
      </c>
      <c r="N522" t="s">
        <v>80</v>
      </c>
      <c r="O522" t="s">
        <v>132</v>
      </c>
      <c r="P522" t="s">
        <v>133</v>
      </c>
      <c r="Q522" t="s">
        <v>52</v>
      </c>
      <c r="R522" t="s">
        <v>210</v>
      </c>
      <c r="S522" t="s">
        <v>79</v>
      </c>
      <c r="T522" t="s">
        <v>304</v>
      </c>
      <c r="U522" s="5">
        <v>43</v>
      </c>
      <c r="V522" s="5" t="s">
        <v>56</v>
      </c>
      <c r="W522" s="5">
        <v>20</v>
      </c>
      <c r="X522" s="5">
        <v>6.5</v>
      </c>
      <c r="Y522" s="5">
        <v>4</v>
      </c>
      <c r="Z522" s="5" t="s">
        <v>71</v>
      </c>
      <c r="AA522" s="6">
        <v>148.19999999999999</v>
      </c>
      <c r="AB522" s="8">
        <f t="shared" si="104"/>
        <v>570</v>
      </c>
      <c r="AC522" s="8">
        <f t="shared" si="105"/>
        <v>11.4</v>
      </c>
      <c r="AD522" s="8">
        <f t="shared" si="106"/>
        <v>558.6</v>
      </c>
      <c r="AE522" s="8">
        <f t="shared" si="107"/>
        <v>444.59999999999997</v>
      </c>
      <c r="AF522" s="8">
        <f t="shared" si="108"/>
        <v>114.00000000000006</v>
      </c>
      <c r="AG522" s="9">
        <f t="shared" si="109"/>
        <v>0.20408163265306131</v>
      </c>
      <c r="AH522" s="10">
        <f t="shared" si="110"/>
        <v>2025</v>
      </c>
      <c r="AI522" s="10">
        <f t="shared" si="111"/>
        <v>2</v>
      </c>
      <c r="AJ522" s="10" t="str">
        <f t="shared" si="112"/>
        <v>2025-02</v>
      </c>
      <c r="AK522" s="10" t="str">
        <f t="shared" si="113"/>
        <v>T1</v>
      </c>
      <c r="AL522" s="10" t="str">
        <f t="shared" si="114"/>
        <v>40-49</v>
      </c>
      <c r="AM522" s="10" t="str">
        <f t="shared" si="115"/>
        <v>moyen</v>
      </c>
      <c r="AN522" s="10" t="s">
        <v>2839</v>
      </c>
      <c r="AO522" s="10" t="str">
        <f t="shared" si="116"/>
        <v>Moyenne</v>
      </c>
    </row>
    <row r="523" spans="1:41">
      <c r="A523" t="s">
        <v>1685</v>
      </c>
      <c r="B523" s="2">
        <v>45735</v>
      </c>
      <c r="C523" t="s">
        <v>1686</v>
      </c>
      <c r="D523" t="s">
        <v>340</v>
      </c>
      <c r="E523" t="s">
        <v>139</v>
      </c>
      <c r="F523" t="s">
        <v>1303</v>
      </c>
      <c r="G523">
        <v>3</v>
      </c>
      <c r="H523" s="4">
        <v>22</v>
      </c>
      <c r="I523" s="3">
        <v>0</v>
      </c>
      <c r="J523" t="s">
        <v>45</v>
      </c>
      <c r="K523" t="s">
        <v>46</v>
      </c>
      <c r="L523" t="s">
        <v>1687</v>
      </c>
      <c r="M523" t="s">
        <v>69</v>
      </c>
      <c r="N523" t="s">
        <v>255</v>
      </c>
      <c r="O523" t="s">
        <v>342</v>
      </c>
      <c r="P523" t="s">
        <v>103</v>
      </c>
      <c r="Q523" t="s">
        <v>143</v>
      </c>
      <c r="R523" t="s">
        <v>144</v>
      </c>
      <c r="S523" t="s">
        <v>65</v>
      </c>
      <c r="T523" t="s">
        <v>1305</v>
      </c>
      <c r="U523" s="5">
        <v>57</v>
      </c>
      <c r="V523" s="5" t="s">
        <v>85</v>
      </c>
      <c r="W523" s="5">
        <v>6</v>
      </c>
      <c r="X523" s="5">
        <v>8.3000000000000007</v>
      </c>
      <c r="Y523" s="5">
        <v>2</v>
      </c>
      <c r="Z523" s="5" t="s">
        <v>94</v>
      </c>
      <c r="AA523" s="6">
        <v>14.96</v>
      </c>
      <c r="AB523" s="8">
        <f t="shared" si="104"/>
        <v>66</v>
      </c>
      <c r="AC523" s="8">
        <f t="shared" si="105"/>
        <v>0</v>
      </c>
      <c r="AD523" s="8">
        <f t="shared" si="106"/>
        <v>66</v>
      </c>
      <c r="AE523" s="8">
        <f t="shared" si="107"/>
        <v>44.88</v>
      </c>
      <c r="AF523" s="8">
        <f t="shared" si="108"/>
        <v>21.119999999999997</v>
      </c>
      <c r="AG523" s="9">
        <f t="shared" si="109"/>
        <v>0.31999999999999995</v>
      </c>
      <c r="AH523" s="10">
        <f t="shared" si="110"/>
        <v>2025</v>
      </c>
      <c r="AI523" s="10">
        <f t="shared" si="111"/>
        <v>3</v>
      </c>
      <c r="AJ523" s="10" t="str">
        <f t="shared" si="112"/>
        <v>2025-03</v>
      </c>
      <c r="AK523" s="10" t="str">
        <f t="shared" si="113"/>
        <v>T1</v>
      </c>
      <c r="AL523" s="10" t="str">
        <f t="shared" si="114"/>
        <v>50+</v>
      </c>
      <c r="AM523" s="10" t="str">
        <f t="shared" si="115"/>
        <v>bon</v>
      </c>
      <c r="AN523" s="10" t="s">
        <v>2838</v>
      </c>
      <c r="AO523" s="10" t="str">
        <f t="shared" si="116"/>
        <v>Faible</v>
      </c>
    </row>
    <row r="524" spans="1:41">
      <c r="A524" t="s">
        <v>1688</v>
      </c>
      <c r="B524" s="2">
        <v>46012</v>
      </c>
      <c r="C524" t="s">
        <v>1689</v>
      </c>
      <c r="D524" t="s">
        <v>155</v>
      </c>
      <c r="E524" t="s">
        <v>207</v>
      </c>
      <c r="F524" t="s">
        <v>253</v>
      </c>
      <c r="G524">
        <v>4</v>
      </c>
      <c r="H524" s="4">
        <v>48</v>
      </c>
      <c r="I524" s="3">
        <v>0.02</v>
      </c>
      <c r="J524" t="s">
        <v>90</v>
      </c>
      <c r="K524" t="s">
        <v>46</v>
      </c>
      <c r="L524" t="s">
        <v>1690</v>
      </c>
      <c r="M524" t="s">
        <v>54</v>
      </c>
      <c r="N524" t="s">
        <v>80</v>
      </c>
      <c r="O524" t="s">
        <v>158</v>
      </c>
      <c r="P524" t="s">
        <v>51</v>
      </c>
      <c r="Q524" t="s">
        <v>143</v>
      </c>
      <c r="R524" t="s">
        <v>210</v>
      </c>
      <c r="S524" t="s">
        <v>79</v>
      </c>
      <c r="T524" t="s">
        <v>256</v>
      </c>
      <c r="U524" s="5">
        <v>56</v>
      </c>
      <c r="V524" s="5" t="s">
        <v>85</v>
      </c>
      <c r="W524" s="5">
        <v>65</v>
      </c>
      <c r="X524" s="5">
        <v>7.7</v>
      </c>
      <c r="Y524" s="5">
        <v>3</v>
      </c>
      <c r="Z524" s="5" t="s">
        <v>71</v>
      </c>
      <c r="AA524" s="6">
        <v>37.44</v>
      </c>
      <c r="AB524" s="8">
        <f t="shared" si="104"/>
        <v>192</v>
      </c>
      <c r="AC524" s="8">
        <f t="shared" si="105"/>
        <v>3.84</v>
      </c>
      <c r="AD524" s="8">
        <f t="shared" si="106"/>
        <v>188.16</v>
      </c>
      <c r="AE524" s="8">
        <f t="shared" si="107"/>
        <v>149.76</v>
      </c>
      <c r="AF524" s="8">
        <f t="shared" si="108"/>
        <v>38.400000000000006</v>
      </c>
      <c r="AG524" s="9">
        <f t="shared" si="109"/>
        <v>0.20408163265306126</v>
      </c>
      <c r="AH524" s="10">
        <f t="shared" si="110"/>
        <v>2025</v>
      </c>
      <c r="AI524" s="10">
        <f t="shared" si="111"/>
        <v>12</v>
      </c>
      <c r="AJ524" s="10" t="str">
        <f t="shared" si="112"/>
        <v>2025-12</v>
      </c>
      <c r="AK524" s="10" t="str">
        <f t="shared" si="113"/>
        <v>T4</v>
      </c>
      <c r="AL524" s="10" t="str">
        <f t="shared" si="114"/>
        <v>50+</v>
      </c>
      <c r="AM524" s="10" t="str">
        <f t="shared" si="115"/>
        <v>bon</v>
      </c>
      <c r="AN524" s="10" t="s">
        <v>2838</v>
      </c>
      <c r="AO524" s="10" t="str">
        <f t="shared" si="116"/>
        <v>Faible</v>
      </c>
    </row>
    <row r="525" spans="1:41">
      <c r="A525" t="s">
        <v>1691</v>
      </c>
      <c r="B525" s="2">
        <v>45662</v>
      </c>
      <c r="C525" t="s">
        <v>1692</v>
      </c>
      <c r="D525" t="s">
        <v>138</v>
      </c>
      <c r="E525" t="s">
        <v>226</v>
      </c>
      <c r="F525" t="s">
        <v>287</v>
      </c>
      <c r="G525">
        <v>1</v>
      </c>
      <c r="H525" s="4">
        <v>120</v>
      </c>
      <c r="I525" s="3">
        <v>0.02</v>
      </c>
      <c r="J525" t="s">
        <v>45</v>
      </c>
      <c r="K525" t="s">
        <v>46</v>
      </c>
      <c r="L525" t="s">
        <v>1693</v>
      </c>
      <c r="M525" t="s">
        <v>48</v>
      </c>
      <c r="N525" t="s">
        <v>49</v>
      </c>
      <c r="O525" t="s">
        <v>142</v>
      </c>
      <c r="P525" t="s">
        <v>51</v>
      </c>
      <c r="Q525" t="s">
        <v>143</v>
      </c>
      <c r="R525" t="s">
        <v>229</v>
      </c>
      <c r="S525" t="s">
        <v>48</v>
      </c>
      <c r="T525" t="s">
        <v>289</v>
      </c>
      <c r="U525" s="5">
        <v>23</v>
      </c>
      <c r="V525" s="5" t="s">
        <v>85</v>
      </c>
      <c r="W525" s="5">
        <v>55</v>
      </c>
      <c r="X525" s="5">
        <v>5.5</v>
      </c>
      <c r="Y525" s="5">
        <v>6</v>
      </c>
      <c r="Z525" s="5" t="s">
        <v>71</v>
      </c>
      <c r="AA525" s="6">
        <v>73.2</v>
      </c>
      <c r="AB525" s="8">
        <f t="shared" si="104"/>
        <v>120</v>
      </c>
      <c r="AC525" s="8">
        <f t="shared" si="105"/>
        <v>2.4</v>
      </c>
      <c r="AD525" s="8">
        <f t="shared" si="106"/>
        <v>117.6</v>
      </c>
      <c r="AE525" s="8">
        <f t="shared" si="107"/>
        <v>73.2</v>
      </c>
      <c r="AF525" s="8">
        <f t="shared" si="108"/>
        <v>44.399999999999991</v>
      </c>
      <c r="AG525" s="9">
        <f t="shared" si="109"/>
        <v>0.37755102040816318</v>
      </c>
      <c r="AH525" s="10">
        <f t="shared" si="110"/>
        <v>2025</v>
      </c>
      <c r="AI525" s="10">
        <f t="shared" si="111"/>
        <v>1</v>
      </c>
      <c r="AJ525" s="10" t="str">
        <f t="shared" si="112"/>
        <v>2025-01</v>
      </c>
      <c r="AK525" s="10" t="str">
        <f t="shared" si="113"/>
        <v>T1</v>
      </c>
      <c r="AL525" s="10" t="str">
        <f t="shared" si="114"/>
        <v>22-29</v>
      </c>
      <c r="AM525" s="10" t="str">
        <f t="shared" si="115"/>
        <v>moyen</v>
      </c>
      <c r="AN525" s="10" t="s">
        <v>2839</v>
      </c>
      <c r="AO525" s="10" t="str">
        <f t="shared" si="116"/>
        <v>Faible</v>
      </c>
    </row>
    <row r="526" spans="1:41">
      <c r="A526" t="s">
        <v>1694</v>
      </c>
      <c r="B526" s="2">
        <v>45992</v>
      </c>
      <c r="C526" t="s">
        <v>1695</v>
      </c>
      <c r="D526" t="s">
        <v>108</v>
      </c>
      <c r="E526" t="s">
        <v>61</v>
      </c>
      <c r="F526" t="s">
        <v>233</v>
      </c>
      <c r="G526">
        <v>3</v>
      </c>
      <c r="H526" s="4">
        <v>240</v>
      </c>
      <c r="I526" s="3">
        <v>0.1</v>
      </c>
      <c r="J526" t="s">
        <v>77</v>
      </c>
      <c r="K526" t="s">
        <v>46</v>
      </c>
      <c r="L526" t="s">
        <v>1696</v>
      </c>
      <c r="M526" t="s">
        <v>69</v>
      </c>
      <c r="N526" t="s">
        <v>49</v>
      </c>
      <c r="O526" t="s">
        <v>113</v>
      </c>
      <c r="P526" t="s">
        <v>82</v>
      </c>
      <c r="Q526" t="s">
        <v>114</v>
      </c>
      <c r="R526" t="s">
        <v>68</v>
      </c>
      <c r="S526" t="s">
        <v>69</v>
      </c>
      <c r="T526" t="s">
        <v>235</v>
      </c>
      <c r="U526" s="5">
        <v>35</v>
      </c>
      <c r="V526" s="5" t="s">
        <v>85</v>
      </c>
      <c r="W526" s="5">
        <v>20</v>
      </c>
      <c r="X526" s="5">
        <v>7.3</v>
      </c>
      <c r="Y526" s="5">
        <v>3</v>
      </c>
      <c r="Z526" s="5" t="s">
        <v>57</v>
      </c>
      <c r="AA526" s="6">
        <v>177.6</v>
      </c>
      <c r="AB526" s="8">
        <f t="shared" si="104"/>
        <v>720</v>
      </c>
      <c r="AC526" s="8">
        <f t="shared" si="105"/>
        <v>72</v>
      </c>
      <c r="AD526" s="8">
        <f t="shared" si="106"/>
        <v>648</v>
      </c>
      <c r="AE526" s="8">
        <f t="shared" si="107"/>
        <v>532.79999999999995</v>
      </c>
      <c r="AF526" s="8">
        <f t="shared" si="108"/>
        <v>115.20000000000005</v>
      </c>
      <c r="AG526" s="9">
        <f t="shared" si="109"/>
        <v>0.17777777777777784</v>
      </c>
      <c r="AH526" s="10">
        <f t="shared" si="110"/>
        <v>2025</v>
      </c>
      <c r="AI526" s="10">
        <f t="shared" si="111"/>
        <v>12</v>
      </c>
      <c r="AJ526" s="10" t="str">
        <f t="shared" si="112"/>
        <v>2025-12</v>
      </c>
      <c r="AK526" s="10" t="str">
        <f t="shared" si="113"/>
        <v>T4</v>
      </c>
      <c r="AL526" s="10" t="str">
        <f t="shared" si="114"/>
        <v>30-39</v>
      </c>
      <c r="AM526" s="10" t="str">
        <f t="shared" si="115"/>
        <v>bon</v>
      </c>
      <c r="AN526" s="10" t="s">
        <v>2838</v>
      </c>
      <c r="AO526" s="10" t="str">
        <f t="shared" si="116"/>
        <v>Moyenne</v>
      </c>
    </row>
    <row r="527" spans="1:41">
      <c r="A527" t="s">
        <v>1697</v>
      </c>
      <c r="B527" s="2">
        <v>45815</v>
      </c>
      <c r="C527" t="s">
        <v>1698</v>
      </c>
      <c r="D527" t="s">
        <v>181</v>
      </c>
      <c r="E527" t="s">
        <v>98</v>
      </c>
      <c r="F527" t="s">
        <v>429</v>
      </c>
      <c r="G527">
        <v>1</v>
      </c>
      <c r="H527" s="4">
        <v>145</v>
      </c>
      <c r="I527" s="3">
        <v>0</v>
      </c>
      <c r="J527" t="s">
        <v>90</v>
      </c>
      <c r="K527" t="s">
        <v>46</v>
      </c>
      <c r="L527" t="s">
        <v>1699</v>
      </c>
      <c r="M527" t="s">
        <v>79</v>
      </c>
      <c r="N527" t="s">
        <v>49</v>
      </c>
      <c r="O527" t="s">
        <v>184</v>
      </c>
      <c r="P527" t="s">
        <v>103</v>
      </c>
      <c r="Q527" t="s">
        <v>52</v>
      </c>
      <c r="R527" t="s">
        <v>104</v>
      </c>
      <c r="S527" t="s">
        <v>79</v>
      </c>
      <c r="T527" t="s">
        <v>431</v>
      </c>
      <c r="U527" s="5">
        <v>43</v>
      </c>
      <c r="V527" s="5" t="s">
        <v>85</v>
      </c>
      <c r="W527" s="5">
        <v>40</v>
      </c>
      <c r="X527" s="5">
        <v>5.5</v>
      </c>
      <c r="Y527" s="5">
        <v>6</v>
      </c>
      <c r="Z527" s="5" t="s">
        <v>94</v>
      </c>
      <c r="AA527" s="6">
        <v>97.15</v>
      </c>
      <c r="AB527" s="8">
        <f t="shared" si="104"/>
        <v>145</v>
      </c>
      <c r="AC527" s="8">
        <f t="shared" si="105"/>
        <v>0</v>
      </c>
      <c r="AD527" s="8">
        <f t="shared" si="106"/>
        <v>145</v>
      </c>
      <c r="AE527" s="8">
        <f t="shared" si="107"/>
        <v>97.15</v>
      </c>
      <c r="AF527" s="8">
        <f t="shared" si="108"/>
        <v>47.849999999999994</v>
      </c>
      <c r="AG527" s="9">
        <f t="shared" si="109"/>
        <v>0.32999999999999996</v>
      </c>
      <c r="AH527" s="10">
        <f t="shared" si="110"/>
        <v>2025</v>
      </c>
      <c r="AI527" s="10">
        <f t="shared" si="111"/>
        <v>6</v>
      </c>
      <c r="AJ527" s="10" t="str">
        <f t="shared" si="112"/>
        <v>2025-06</v>
      </c>
      <c r="AK527" s="10" t="str">
        <f t="shared" si="113"/>
        <v>T2</v>
      </c>
      <c r="AL527" s="10" t="str">
        <f t="shared" si="114"/>
        <v>40-49</v>
      </c>
      <c r="AM527" s="10" t="str">
        <f t="shared" si="115"/>
        <v>moyen</v>
      </c>
      <c r="AN527" s="10" t="s">
        <v>2839</v>
      </c>
      <c r="AO527" s="10" t="str">
        <f t="shared" si="116"/>
        <v>Faible</v>
      </c>
    </row>
    <row r="528" spans="1:41">
      <c r="A528" t="s">
        <v>1700</v>
      </c>
      <c r="B528" s="2">
        <v>45819</v>
      </c>
      <c r="C528" t="s">
        <v>1701</v>
      </c>
      <c r="D528" t="s">
        <v>174</v>
      </c>
      <c r="E528" t="s">
        <v>189</v>
      </c>
      <c r="F528" t="s">
        <v>548</v>
      </c>
      <c r="G528">
        <v>6</v>
      </c>
      <c r="H528" s="4">
        <v>780</v>
      </c>
      <c r="I528" s="3">
        <v>0.08</v>
      </c>
      <c r="J528" t="s">
        <v>45</v>
      </c>
      <c r="K528" t="s">
        <v>46</v>
      </c>
      <c r="L528" t="s">
        <v>1702</v>
      </c>
      <c r="M528" t="s">
        <v>48</v>
      </c>
      <c r="N528" t="s">
        <v>255</v>
      </c>
      <c r="O528" t="s">
        <v>177</v>
      </c>
      <c r="P528" t="s">
        <v>103</v>
      </c>
      <c r="Q528" t="s">
        <v>114</v>
      </c>
      <c r="R528" t="s">
        <v>193</v>
      </c>
      <c r="S528" t="s">
        <v>79</v>
      </c>
      <c r="T528" t="s">
        <v>550</v>
      </c>
      <c r="U528" s="5">
        <v>28</v>
      </c>
      <c r="V528" s="5" t="s">
        <v>56</v>
      </c>
      <c r="W528" s="5">
        <v>17</v>
      </c>
      <c r="X528" s="5">
        <v>7.6</v>
      </c>
      <c r="Y528" s="5">
        <v>2</v>
      </c>
      <c r="Z528" s="5" t="s">
        <v>94</v>
      </c>
      <c r="AA528" s="6">
        <v>468</v>
      </c>
      <c r="AB528" s="8">
        <f t="shared" si="104"/>
        <v>4680</v>
      </c>
      <c r="AC528" s="8">
        <f t="shared" si="105"/>
        <v>374.40000000000003</v>
      </c>
      <c r="AD528" s="8">
        <f t="shared" si="106"/>
        <v>4305.6000000000004</v>
      </c>
      <c r="AE528" s="8">
        <f t="shared" si="107"/>
        <v>2808</v>
      </c>
      <c r="AF528" s="8">
        <f t="shared" si="108"/>
        <v>1497.6000000000004</v>
      </c>
      <c r="AG528" s="9">
        <f t="shared" si="109"/>
        <v>0.34782608695652178</v>
      </c>
      <c r="AH528" s="10">
        <f t="shared" si="110"/>
        <v>2025</v>
      </c>
      <c r="AI528" s="10">
        <f t="shared" si="111"/>
        <v>6</v>
      </c>
      <c r="AJ528" s="10" t="str">
        <f t="shared" si="112"/>
        <v>2025-06</v>
      </c>
      <c r="AK528" s="10" t="str">
        <f t="shared" si="113"/>
        <v>T2</v>
      </c>
      <c r="AL528" s="10" t="str">
        <f t="shared" si="114"/>
        <v>22-29</v>
      </c>
      <c r="AM528" s="10" t="str">
        <f t="shared" si="115"/>
        <v>bon</v>
      </c>
      <c r="AN528" s="10" t="s">
        <v>2838</v>
      </c>
      <c r="AO528" s="10" t="str">
        <f t="shared" si="116"/>
        <v>Elevée</v>
      </c>
    </row>
    <row r="529" spans="1:41">
      <c r="A529" t="s">
        <v>1703</v>
      </c>
      <c r="B529" s="2">
        <v>45769</v>
      </c>
      <c r="C529" t="s">
        <v>634</v>
      </c>
      <c r="D529" t="s">
        <v>333</v>
      </c>
      <c r="E529" t="s">
        <v>109</v>
      </c>
      <c r="F529" t="s">
        <v>156</v>
      </c>
      <c r="G529">
        <v>4</v>
      </c>
      <c r="H529" s="4">
        <v>65</v>
      </c>
      <c r="I529" s="3">
        <v>0</v>
      </c>
      <c r="J529" t="s">
        <v>45</v>
      </c>
      <c r="K529" t="s">
        <v>46</v>
      </c>
      <c r="L529" t="s">
        <v>635</v>
      </c>
      <c r="M529" t="s">
        <v>123</v>
      </c>
      <c r="N529" t="s">
        <v>101</v>
      </c>
      <c r="O529" t="s">
        <v>336</v>
      </c>
      <c r="P529" t="s">
        <v>51</v>
      </c>
      <c r="Q529" t="s">
        <v>52</v>
      </c>
      <c r="R529" t="s">
        <v>115</v>
      </c>
      <c r="S529" t="s">
        <v>65</v>
      </c>
      <c r="T529" t="s">
        <v>159</v>
      </c>
      <c r="U529" s="5">
        <v>55</v>
      </c>
      <c r="V529" s="5" t="s">
        <v>85</v>
      </c>
      <c r="W529" s="5">
        <v>7</v>
      </c>
      <c r="X529" s="5">
        <v>7.1</v>
      </c>
      <c r="Y529" s="5">
        <v>4</v>
      </c>
      <c r="Z529" s="5" t="s">
        <v>117</v>
      </c>
      <c r="AA529" s="6">
        <v>47.45</v>
      </c>
      <c r="AB529" s="8">
        <f t="shared" si="104"/>
        <v>260</v>
      </c>
      <c r="AC529" s="8">
        <f t="shared" si="105"/>
        <v>0</v>
      </c>
      <c r="AD529" s="8">
        <f t="shared" si="106"/>
        <v>260</v>
      </c>
      <c r="AE529" s="8">
        <f t="shared" si="107"/>
        <v>189.8</v>
      </c>
      <c r="AF529" s="8">
        <f t="shared" si="108"/>
        <v>70.199999999999989</v>
      </c>
      <c r="AG529" s="9">
        <f t="shared" si="109"/>
        <v>0.26999999999999996</v>
      </c>
      <c r="AH529" s="10">
        <f t="shared" si="110"/>
        <v>2025</v>
      </c>
      <c r="AI529" s="10">
        <f t="shared" si="111"/>
        <v>4</v>
      </c>
      <c r="AJ529" s="10" t="str">
        <f t="shared" si="112"/>
        <v>2025-04</v>
      </c>
      <c r="AK529" s="10" t="str">
        <f t="shared" si="113"/>
        <v>T2</v>
      </c>
      <c r="AL529" s="10" t="str">
        <f t="shared" si="114"/>
        <v>50+</v>
      </c>
      <c r="AM529" s="10" t="str">
        <f t="shared" si="115"/>
        <v>bon</v>
      </c>
      <c r="AN529" s="10" t="s">
        <v>2839</v>
      </c>
      <c r="AO529" s="10" t="str">
        <f t="shared" si="116"/>
        <v>Faible</v>
      </c>
    </row>
    <row r="530" spans="1:41">
      <c r="A530" t="s">
        <v>1704</v>
      </c>
      <c r="B530" s="2">
        <v>45885</v>
      </c>
      <c r="C530" t="s">
        <v>1423</v>
      </c>
      <c r="D530" t="s">
        <v>97</v>
      </c>
      <c r="E530" t="s">
        <v>226</v>
      </c>
      <c r="F530" t="s">
        <v>287</v>
      </c>
      <c r="G530">
        <v>5</v>
      </c>
      <c r="H530" s="4">
        <v>520</v>
      </c>
      <c r="I530" s="3">
        <v>0.1</v>
      </c>
      <c r="J530" t="s">
        <v>45</v>
      </c>
      <c r="K530" t="s">
        <v>46</v>
      </c>
      <c r="L530" t="s">
        <v>1424</v>
      </c>
      <c r="M530" t="s">
        <v>79</v>
      </c>
      <c r="N530" t="s">
        <v>101</v>
      </c>
      <c r="O530" t="s">
        <v>102</v>
      </c>
      <c r="P530" t="s">
        <v>103</v>
      </c>
      <c r="Q530" t="s">
        <v>52</v>
      </c>
      <c r="R530" t="s">
        <v>229</v>
      </c>
      <c r="S530" t="s">
        <v>48</v>
      </c>
      <c r="T530" t="s">
        <v>289</v>
      </c>
      <c r="U530" s="5">
        <v>40</v>
      </c>
      <c r="V530" s="5" t="s">
        <v>85</v>
      </c>
      <c r="W530" s="5">
        <v>17</v>
      </c>
      <c r="X530" s="5">
        <v>4.3</v>
      </c>
      <c r="Y530" s="5">
        <v>9</v>
      </c>
      <c r="Z530" s="5" t="s">
        <v>117</v>
      </c>
      <c r="AA530" s="6">
        <v>348.4</v>
      </c>
      <c r="AB530" s="8">
        <f t="shared" si="104"/>
        <v>2600</v>
      </c>
      <c r="AC530" s="8">
        <f t="shared" si="105"/>
        <v>260</v>
      </c>
      <c r="AD530" s="8">
        <f t="shared" si="106"/>
        <v>2340</v>
      </c>
      <c r="AE530" s="8">
        <f t="shared" si="107"/>
        <v>1742</v>
      </c>
      <c r="AF530" s="8">
        <f t="shared" si="108"/>
        <v>598</v>
      </c>
      <c r="AG530" s="9">
        <f t="shared" si="109"/>
        <v>0.25555555555555554</v>
      </c>
      <c r="AH530" s="10">
        <f t="shared" si="110"/>
        <v>2025</v>
      </c>
      <c r="AI530" s="10">
        <f t="shared" si="111"/>
        <v>8</v>
      </c>
      <c r="AJ530" s="10" t="str">
        <f t="shared" si="112"/>
        <v>2025-08</v>
      </c>
      <c r="AK530" s="10" t="str">
        <f t="shared" si="113"/>
        <v>T3</v>
      </c>
      <c r="AL530" s="10" t="str">
        <f t="shared" si="114"/>
        <v>40-49</v>
      </c>
      <c r="AM530" s="10" t="str">
        <f t="shared" si="115"/>
        <v>faible</v>
      </c>
      <c r="AN530" s="10" t="s">
        <v>2837</v>
      </c>
      <c r="AO530" s="10" t="str">
        <f t="shared" si="116"/>
        <v>Elevée</v>
      </c>
    </row>
    <row r="531" spans="1:41">
      <c r="A531" t="s">
        <v>1705</v>
      </c>
      <c r="B531" s="2">
        <v>45763</v>
      </c>
      <c r="C531" t="s">
        <v>1706</v>
      </c>
      <c r="D531" t="s">
        <v>155</v>
      </c>
      <c r="E531" t="s">
        <v>226</v>
      </c>
      <c r="F531" t="s">
        <v>202</v>
      </c>
      <c r="G531">
        <v>4</v>
      </c>
      <c r="H531" s="4">
        <v>48</v>
      </c>
      <c r="I531" s="3">
        <v>0.05</v>
      </c>
      <c r="J531" t="s">
        <v>90</v>
      </c>
      <c r="K531" t="s">
        <v>46</v>
      </c>
      <c r="L531" t="s">
        <v>1707</v>
      </c>
      <c r="M531" t="s">
        <v>123</v>
      </c>
      <c r="N531" t="s">
        <v>101</v>
      </c>
      <c r="O531" t="s">
        <v>158</v>
      </c>
      <c r="P531" t="s">
        <v>51</v>
      </c>
      <c r="Q531" t="s">
        <v>143</v>
      </c>
      <c r="R531" t="s">
        <v>229</v>
      </c>
      <c r="S531" t="s">
        <v>48</v>
      </c>
      <c r="T531" t="s">
        <v>204</v>
      </c>
      <c r="U531" s="5">
        <v>54</v>
      </c>
      <c r="V531" s="5" t="s">
        <v>85</v>
      </c>
      <c r="W531" s="5">
        <v>36</v>
      </c>
      <c r="X531" s="5">
        <v>7.7</v>
      </c>
      <c r="Y531" s="5">
        <v>3</v>
      </c>
      <c r="Z531" s="5" t="s">
        <v>94</v>
      </c>
      <c r="AA531" s="6">
        <v>37.44</v>
      </c>
      <c r="AB531" s="8">
        <f t="shared" si="104"/>
        <v>192</v>
      </c>
      <c r="AC531" s="8">
        <f t="shared" si="105"/>
        <v>9.6000000000000014</v>
      </c>
      <c r="AD531" s="8">
        <f t="shared" si="106"/>
        <v>182.4</v>
      </c>
      <c r="AE531" s="8">
        <f t="shared" si="107"/>
        <v>149.76</v>
      </c>
      <c r="AF531" s="8">
        <f t="shared" si="108"/>
        <v>32.640000000000015</v>
      </c>
      <c r="AG531" s="9">
        <f t="shared" si="109"/>
        <v>0.17894736842105272</v>
      </c>
      <c r="AH531" s="10">
        <f t="shared" si="110"/>
        <v>2025</v>
      </c>
      <c r="AI531" s="10">
        <f t="shared" si="111"/>
        <v>4</v>
      </c>
      <c r="AJ531" s="10" t="str">
        <f t="shared" si="112"/>
        <v>2025-04</v>
      </c>
      <c r="AK531" s="10" t="str">
        <f t="shared" si="113"/>
        <v>T2</v>
      </c>
      <c r="AL531" s="10" t="str">
        <f t="shared" si="114"/>
        <v>50+</v>
      </c>
      <c r="AM531" s="10" t="str">
        <f t="shared" si="115"/>
        <v>bon</v>
      </c>
      <c r="AN531" s="10" t="s">
        <v>2838</v>
      </c>
      <c r="AO531" s="10" t="str">
        <f t="shared" si="116"/>
        <v>Faible</v>
      </c>
    </row>
    <row r="532" spans="1:41">
      <c r="A532" t="s">
        <v>1708</v>
      </c>
      <c r="B532" s="2">
        <v>45765</v>
      </c>
      <c r="C532" t="s">
        <v>1709</v>
      </c>
      <c r="D532" t="s">
        <v>97</v>
      </c>
      <c r="E532" t="s">
        <v>75</v>
      </c>
      <c r="F532" t="s">
        <v>110</v>
      </c>
      <c r="G532">
        <v>1</v>
      </c>
      <c r="H532" s="4">
        <v>520</v>
      </c>
      <c r="I532" s="3">
        <v>0.02</v>
      </c>
      <c r="J532" t="s">
        <v>77</v>
      </c>
      <c r="K532" t="s">
        <v>46</v>
      </c>
      <c r="L532" t="s">
        <v>1710</v>
      </c>
      <c r="M532" t="s">
        <v>48</v>
      </c>
      <c r="N532" t="s">
        <v>101</v>
      </c>
      <c r="O532" t="s">
        <v>102</v>
      </c>
      <c r="P532" t="s">
        <v>103</v>
      </c>
      <c r="Q532" t="s">
        <v>52</v>
      </c>
      <c r="R532" t="s">
        <v>83</v>
      </c>
      <c r="S532" t="s">
        <v>69</v>
      </c>
      <c r="T532" t="s">
        <v>116</v>
      </c>
      <c r="U532" s="5">
        <v>39</v>
      </c>
      <c r="V532" s="5" t="s">
        <v>85</v>
      </c>
      <c r="W532" s="5">
        <v>46</v>
      </c>
      <c r="X532" s="5">
        <v>8.3000000000000007</v>
      </c>
      <c r="Y532" s="5">
        <v>2</v>
      </c>
      <c r="Z532" s="5" t="s">
        <v>57</v>
      </c>
      <c r="AA532" s="6">
        <v>348.4</v>
      </c>
      <c r="AB532" s="8">
        <f t="shared" si="104"/>
        <v>520</v>
      </c>
      <c r="AC532" s="8">
        <f t="shared" si="105"/>
        <v>10.4</v>
      </c>
      <c r="AD532" s="8">
        <f t="shared" si="106"/>
        <v>509.6</v>
      </c>
      <c r="AE532" s="8">
        <f t="shared" si="107"/>
        <v>348.4</v>
      </c>
      <c r="AF532" s="8">
        <f t="shared" si="108"/>
        <v>161.20000000000005</v>
      </c>
      <c r="AG532" s="9">
        <f t="shared" si="109"/>
        <v>0.31632653061224497</v>
      </c>
      <c r="AH532" s="10">
        <f t="shared" si="110"/>
        <v>2025</v>
      </c>
      <c r="AI532" s="10">
        <f t="shared" si="111"/>
        <v>4</v>
      </c>
      <c r="AJ532" s="10" t="str">
        <f t="shared" si="112"/>
        <v>2025-04</v>
      </c>
      <c r="AK532" s="10" t="str">
        <f t="shared" si="113"/>
        <v>T2</v>
      </c>
      <c r="AL532" s="10" t="str">
        <f t="shared" si="114"/>
        <v>30-39</v>
      </c>
      <c r="AM532" s="10" t="str">
        <f t="shared" si="115"/>
        <v>bon</v>
      </c>
      <c r="AN532" s="10" t="s">
        <v>2838</v>
      </c>
      <c r="AO532" s="10" t="str">
        <f t="shared" si="116"/>
        <v>Moyenne</v>
      </c>
    </row>
    <row r="533" spans="1:41">
      <c r="A533" t="s">
        <v>1711</v>
      </c>
      <c r="B533" s="2">
        <v>45704</v>
      </c>
      <c r="C533" t="s">
        <v>1712</v>
      </c>
      <c r="D533" t="s">
        <v>333</v>
      </c>
      <c r="E533" t="s">
        <v>88</v>
      </c>
      <c r="F533" t="s">
        <v>429</v>
      </c>
      <c r="G533">
        <v>4</v>
      </c>
      <c r="H533" s="4">
        <v>65</v>
      </c>
      <c r="I533" s="3">
        <v>0</v>
      </c>
      <c r="J533" t="s">
        <v>63</v>
      </c>
      <c r="K533" t="s">
        <v>46</v>
      </c>
      <c r="L533" t="s">
        <v>1713</v>
      </c>
      <c r="M533" t="s">
        <v>123</v>
      </c>
      <c r="N533" t="s">
        <v>49</v>
      </c>
      <c r="O533" t="s">
        <v>336</v>
      </c>
      <c r="P533" t="s">
        <v>51</v>
      </c>
      <c r="Q533" t="s">
        <v>52</v>
      </c>
      <c r="R533" t="s">
        <v>92</v>
      </c>
      <c r="S533" t="s">
        <v>48</v>
      </c>
      <c r="T533" t="s">
        <v>431</v>
      </c>
      <c r="U533" s="5">
        <v>60</v>
      </c>
      <c r="V533" s="5" t="s">
        <v>56</v>
      </c>
      <c r="W533" s="5">
        <v>38</v>
      </c>
      <c r="X533" s="5">
        <v>8.4</v>
      </c>
      <c r="Y533" s="5">
        <v>1</v>
      </c>
      <c r="Z533" s="5" t="s">
        <v>71</v>
      </c>
      <c r="AA533" s="6">
        <v>47.45</v>
      </c>
      <c r="AB533" s="8">
        <f t="shared" si="104"/>
        <v>260</v>
      </c>
      <c r="AC533" s="8">
        <f t="shared" si="105"/>
        <v>0</v>
      </c>
      <c r="AD533" s="8">
        <f t="shared" si="106"/>
        <v>260</v>
      </c>
      <c r="AE533" s="8">
        <f t="shared" si="107"/>
        <v>189.8</v>
      </c>
      <c r="AF533" s="8">
        <f t="shared" si="108"/>
        <v>70.199999999999989</v>
      </c>
      <c r="AG533" s="9">
        <f t="shared" si="109"/>
        <v>0.26999999999999996</v>
      </c>
      <c r="AH533" s="10">
        <f t="shared" si="110"/>
        <v>2025</v>
      </c>
      <c r="AI533" s="10">
        <f t="shared" si="111"/>
        <v>2</v>
      </c>
      <c r="AJ533" s="10" t="str">
        <f t="shared" si="112"/>
        <v>2025-02</v>
      </c>
      <c r="AK533" s="10" t="str">
        <f t="shared" si="113"/>
        <v>T1</v>
      </c>
      <c r="AL533" s="10" t="str">
        <f t="shared" si="114"/>
        <v>50+</v>
      </c>
      <c r="AM533" s="10" t="str">
        <f t="shared" si="115"/>
        <v>bon</v>
      </c>
      <c r="AN533" s="10" t="s">
        <v>2838</v>
      </c>
      <c r="AO533" s="10" t="str">
        <f t="shared" si="116"/>
        <v>Faible</v>
      </c>
    </row>
    <row r="534" spans="1:41">
      <c r="A534" t="s">
        <v>1714</v>
      </c>
      <c r="B534" s="2">
        <v>45852</v>
      </c>
      <c r="C534" t="s">
        <v>1715</v>
      </c>
      <c r="D534" t="s">
        <v>155</v>
      </c>
      <c r="E534" t="s">
        <v>120</v>
      </c>
      <c r="F534" t="s">
        <v>76</v>
      </c>
      <c r="G534">
        <v>4</v>
      </c>
      <c r="H534" s="4">
        <v>48</v>
      </c>
      <c r="I534" s="3">
        <v>0.02</v>
      </c>
      <c r="J534" t="s">
        <v>90</v>
      </c>
      <c r="K534" t="s">
        <v>46</v>
      </c>
      <c r="L534" t="s">
        <v>1716</v>
      </c>
      <c r="M534" t="s">
        <v>69</v>
      </c>
      <c r="N534" t="s">
        <v>255</v>
      </c>
      <c r="O534" t="s">
        <v>158</v>
      </c>
      <c r="P534" t="s">
        <v>51</v>
      </c>
      <c r="Q534" t="s">
        <v>143</v>
      </c>
      <c r="R534" t="s">
        <v>124</v>
      </c>
      <c r="S534" t="s">
        <v>48</v>
      </c>
      <c r="T534" t="s">
        <v>84</v>
      </c>
      <c r="U534" s="5">
        <v>29</v>
      </c>
      <c r="V534" s="5" t="s">
        <v>56</v>
      </c>
      <c r="W534" s="5">
        <v>50</v>
      </c>
      <c r="X534" s="5">
        <v>4.3</v>
      </c>
      <c r="Y534" s="5">
        <v>9</v>
      </c>
      <c r="Z534" s="5" t="s">
        <v>57</v>
      </c>
      <c r="AA534" s="6">
        <v>37.44</v>
      </c>
      <c r="AB534" s="8">
        <f t="shared" si="104"/>
        <v>192</v>
      </c>
      <c r="AC534" s="8">
        <f t="shared" si="105"/>
        <v>3.84</v>
      </c>
      <c r="AD534" s="8">
        <f t="shared" si="106"/>
        <v>188.16</v>
      </c>
      <c r="AE534" s="8">
        <f t="shared" si="107"/>
        <v>149.76</v>
      </c>
      <c r="AF534" s="8">
        <f t="shared" si="108"/>
        <v>38.400000000000006</v>
      </c>
      <c r="AG534" s="9">
        <f t="shared" si="109"/>
        <v>0.20408163265306126</v>
      </c>
      <c r="AH534" s="10">
        <f t="shared" si="110"/>
        <v>2025</v>
      </c>
      <c r="AI534" s="10">
        <f t="shared" si="111"/>
        <v>7</v>
      </c>
      <c r="AJ534" s="10" t="str">
        <f t="shared" si="112"/>
        <v>2025-07</v>
      </c>
      <c r="AK534" s="10" t="str">
        <f t="shared" si="113"/>
        <v>T3</v>
      </c>
      <c r="AL534" s="10" t="str">
        <f t="shared" si="114"/>
        <v>22-29</v>
      </c>
      <c r="AM534" s="10" t="str">
        <f t="shared" si="115"/>
        <v>faible</v>
      </c>
      <c r="AN534" s="10" t="s">
        <v>2837</v>
      </c>
      <c r="AO534" s="10" t="str">
        <f t="shared" si="116"/>
        <v>Faible</v>
      </c>
    </row>
    <row r="535" spans="1:41">
      <c r="A535" t="s">
        <v>1717</v>
      </c>
      <c r="B535" s="2">
        <v>45991</v>
      </c>
      <c r="C535" t="s">
        <v>1718</v>
      </c>
      <c r="D535" t="s">
        <v>174</v>
      </c>
      <c r="E535" t="s">
        <v>129</v>
      </c>
      <c r="F535" t="s">
        <v>302</v>
      </c>
      <c r="G535">
        <v>2</v>
      </c>
      <c r="H535" s="4">
        <v>780</v>
      </c>
      <c r="I535" s="3">
        <v>0.08</v>
      </c>
      <c r="J535" t="s">
        <v>90</v>
      </c>
      <c r="K535" t="s">
        <v>46</v>
      </c>
      <c r="L535" t="s">
        <v>1719</v>
      </c>
      <c r="M535" t="s">
        <v>65</v>
      </c>
      <c r="N535" t="s">
        <v>255</v>
      </c>
      <c r="O535" t="s">
        <v>177</v>
      </c>
      <c r="P535" t="s">
        <v>103</v>
      </c>
      <c r="Q535" t="s">
        <v>114</v>
      </c>
      <c r="R535" t="s">
        <v>134</v>
      </c>
      <c r="S535" t="s">
        <v>123</v>
      </c>
      <c r="T535" t="s">
        <v>304</v>
      </c>
      <c r="U535" s="5">
        <v>24</v>
      </c>
      <c r="V535" s="5" t="s">
        <v>56</v>
      </c>
      <c r="W535" s="5">
        <v>4</v>
      </c>
      <c r="X535" s="5">
        <v>7.9</v>
      </c>
      <c r="Y535" s="5">
        <v>3</v>
      </c>
      <c r="Z535" s="5" t="s">
        <v>71</v>
      </c>
      <c r="AA535" s="6">
        <v>468</v>
      </c>
      <c r="AB535" s="8">
        <f t="shared" si="104"/>
        <v>1560</v>
      </c>
      <c r="AC535" s="8">
        <f t="shared" si="105"/>
        <v>124.8</v>
      </c>
      <c r="AD535" s="8">
        <f t="shared" si="106"/>
        <v>1435.2</v>
      </c>
      <c r="AE535" s="8">
        <f t="shared" si="107"/>
        <v>936</v>
      </c>
      <c r="AF535" s="8">
        <f t="shared" si="108"/>
        <v>499.20000000000005</v>
      </c>
      <c r="AG535" s="9">
        <f t="shared" si="109"/>
        <v>0.34782608695652178</v>
      </c>
      <c r="AH535" s="10">
        <f t="shared" si="110"/>
        <v>2025</v>
      </c>
      <c r="AI535" s="10">
        <f t="shared" si="111"/>
        <v>11</v>
      </c>
      <c r="AJ535" s="10" t="str">
        <f t="shared" si="112"/>
        <v>2025-11</v>
      </c>
      <c r="AK535" s="10" t="str">
        <f t="shared" si="113"/>
        <v>T4</v>
      </c>
      <c r="AL535" s="10" t="str">
        <f t="shared" si="114"/>
        <v>22-29</v>
      </c>
      <c r="AM535" s="10" t="str">
        <f t="shared" si="115"/>
        <v>bon</v>
      </c>
      <c r="AN535" s="10" t="s">
        <v>2838</v>
      </c>
      <c r="AO535" s="10" t="str">
        <f t="shared" si="116"/>
        <v>Elevée</v>
      </c>
    </row>
    <row r="536" spans="1:41">
      <c r="A536" t="s">
        <v>1720</v>
      </c>
      <c r="B536" s="2">
        <v>45989</v>
      </c>
      <c r="C536" t="s">
        <v>1721</v>
      </c>
      <c r="D536" t="s">
        <v>272</v>
      </c>
      <c r="E536" t="s">
        <v>120</v>
      </c>
      <c r="F536" t="s">
        <v>467</v>
      </c>
      <c r="G536">
        <v>5</v>
      </c>
      <c r="H536" s="4">
        <v>420</v>
      </c>
      <c r="I536" s="3">
        <v>0</v>
      </c>
      <c r="J536" t="s">
        <v>45</v>
      </c>
      <c r="K536" t="s">
        <v>46</v>
      </c>
      <c r="L536" t="s">
        <v>1722</v>
      </c>
      <c r="M536" t="s">
        <v>123</v>
      </c>
      <c r="N536" t="s">
        <v>255</v>
      </c>
      <c r="O536" t="s">
        <v>274</v>
      </c>
      <c r="P536" t="s">
        <v>133</v>
      </c>
      <c r="Q536" t="s">
        <v>114</v>
      </c>
      <c r="R536" t="s">
        <v>124</v>
      </c>
      <c r="S536" t="s">
        <v>48</v>
      </c>
      <c r="T536" t="s">
        <v>469</v>
      </c>
      <c r="U536" s="5">
        <v>51</v>
      </c>
      <c r="V536" s="5" t="s">
        <v>85</v>
      </c>
      <c r="W536" s="5">
        <v>35</v>
      </c>
      <c r="X536" s="5">
        <v>4.3</v>
      </c>
      <c r="Y536" s="5">
        <v>7</v>
      </c>
      <c r="Z536" s="5" t="s">
        <v>117</v>
      </c>
      <c r="AA536" s="6">
        <v>273</v>
      </c>
      <c r="AB536" s="8">
        <f t="shared" si="104"/>
        <v>2100</v>
      </c>
      <c r="AC536" s="8">
        <f t="shared" si="105"/>
        <v>0</v>
      </c>
      <c r="AD536" s="8">
        <f t="shared" si="106"/>
        <v>2100</v>
      </c>
      <c r="AE536" s="8">
        <f t="shared" si="107"/>
        <v>1365</v>
      </c>
      <c r="AF536" s="8">
        <f t="shared" si="108"/>
        <v>735</v>
      </c>
      <c r="AG536" s="9">
        <f t="shared" si="109"/>
        <v>0.35</v>
      </c>
      <c r="AH536" s="10">
        <f t="shared" si="110"/>
        <v>2025</v>
      </c>
      <c r="AI536" s="10">
        <f t="shared" si="111"/>
        <v>11</v>
      </c>
      <c r="AJ536" s="10" t="str">
        <f t="shared" si="112"/>
        <v>2025-11</v>
      </c>
      <c r="AK536" s="10" t="str">
        <f t="shared" si="113"/>
        <v>T4</v>
      </c>
      <c r="AL536" s="10" t="str">
        <f t="shared" si="114"/>
        <v>50+</v>
      </c>
      <c r="AM536" s="10" t="str">
        <f t="shared" si="115"/>
        <v>faible</v>
      </c>
      <c r="AN536" s="10" t="s">
        <v>2837</v>
      </c>
      <c r="AO536" s="10" t="str">
        <f t="shared" si="116"/>
        <v>Elevée</v>
      </c>
    </row>
    <row r="537" spans="1:41">
      <c r="A537" t="s">
        <v>1723</v>
      </c>
      <c r="B537" s="2">
        <v>45737</v>
      </c>
      <c r="C537" t="s">
        <v>1724</v>
      </c>
      <c r="D537" t="s">
        <v>138</v>
      </c>
      <c r="E537" t="s">
        <v>98</v>
      </c>
      <c r="F537" t="s">
        <v>297</v>
      </c>
      <c r="G537">
        <v>1</v>
      </c>
      <c r="H537" s="4">
        <v>120</v>
      </c>
      <c r="I537" s="3">
        <v>0.02</v>
      </c>
      <c r="J537" t="s">
        <v>90</v>
      </c>
      <c r="K537" t="s">
        <v>46</v>
      </c>
      <c r="L537" t="s">
        <v>1725</v>
      </c>
      <c r="M537" t="s">
        <v>54</v>
      </c>
      <c r="N537" t="s">
        <v>101</v>
      </c>
      <c r="O537" t="s">
        <v>142</v>
      </c>
      <c r="P537" t="s">
        <v>51</v>
      </c>
      <c r="Q537" t="s">
        <v>143</v>
      </c>
      <c r="R537" t="s">
        <v>104</v>
      </c>
      <c r="S537" t="s">
        <v>79</v>
      </c>
      <c r="T537" t="s">
        <v>299</v>
      </c>
      <c r="U537" s="5">
        <v>52</v>
      </c>
      <c r="V537" s="5" t="s">
        <v>85</v>
      </c>
      <c r="W537" s="5">
        <v>18</v>
      </c>
      <c r="X537" s="5">
        <v>3.9</v>
      </c>
      <c r="Y537" s="5">
        <v>8</v>
      </c>
      <c r="Z537" s="5" t="s">
        <v>71</v>
      </c>
      <c r="AA537" s="6">
        <v>73.2</v>
      </c>
      <c r="AB537" s="8">
        <f t="shared" si="104"/>
        <v>120</v>
      </c>
      <c r="AC537" s="8">
        <f t="shared" si="105"/>
        <v>2.4</v>
      </c>
      <c r="AD537" s="8">
        <f t="shared" si="106"/>
        <v>117.6</v>
      </c>
      <c r="AE537" s="8">
        <f t="shared" si="107"/>
        <v>73.2</v>
      </c>
      <c r="AF537" s="8">
        <f t="shared" si="108"/>
        <v>44.399999999999991</v>
      </c>
      <c r="AG537" s="9">
        <f t="shared" si="109"/>
        <v>0.37755102040816318</v>
      </c>
      <c r="AH537" s="10">
        <f t="shared" si="110"/>
        <v>2025</v>
      </c>
      <c r="AI537" s="10">
        <f t="shared" si="111"/>
        <v>3</v>
      </c>
      <c r="AJ537" s="10" t="str">
        <f t="shared" si="112"/>
        <v>2025-03</v>
      </c>
      <c r="AK537" s="10" t="str">
        <f t="shared" si="113"/>
        <v>T1</v>
      </c>
      <c r="AL537" s="10" t="str">
        <f t="shared" si="114"/>
        <v>50+</v>
      </c>
      <c r="AM537" s="10" t="str">
        <f t="shared" si="115"/>
        <v>faible</v>
      </c>
      <c r="AN537" s="10" t="s">
        <v>2837</v>
      </c>
      <c r="AO537" s="10" t="str">
        <f t="shared" si="116"/>
        <v>Faible</v>
      </c>
    </row>
    <row r="538" spans="1:41">
      <c r="A538" t="s">
        <v>1726</v>
      </c>
      <c r="B538" s="2">
        <v>45870</v>
      </c>
      <c r="C538" t="s">
        <v>357</v>
      </c>
      <c r="D538" t="s">
        <v>74</v>
      </c>
      <c r="E538" t="s">
        <v>315</v>
      </c>
      <c r="F538" t="s">
        <v>267</v>
      </c>
      <c r="G538">
        <v>5</v>
      </c>
      <c r="H538" s="4">
        <v>95</v>
      </c>
      <c r="I538" s="3">
        <v>0.02</v>
      </c>
      <c r="J538" t="s">
        <v>45</v>
      </c>
      <c r="K538" t="s">
        <v>46</v>
      </c>
      <c r="L538" t="s">
        <v>358</v>
      </c>
      <c r="M538" t="s">
        <v>123</v>
      </c>
      <c r="N538" t="s">
        <v>80</v>
      </c>
      <c r="O538" t="s">
        <v>81</v>
      </c>
      <c r="P538" t="s">
        <v>82</v>
      </c>
      <c r="Q538" t="s">
        <v>52</v>
      </c>
      <c r="R538" t="s">
        <v>317</v>
      </c>
      <c r="S538" t="s">
        <v>69</v>
      </c>
      <c r="T538" t="s">
        <v>269</v>
      </c>
      <c r="U538" s="5">
        <v>48</v>
      </c>
      <c r="V538" s="5" t="s">
        <v>56</v>
      </c>
      <c r="W538" s="5">
        <v>63</v>
      </c>
      <c r="X538" s="5">
        <v>6.7</v>
      </c>
      <c r="Y538" s="5">
        <v>4</v>
      </c>
      <c r="Z538" s="5" t="s">
        <v>71</v>
      </c>
      <c r="AA538" s="6">
        <v>70.3</v>
      </c>
      <c r="AB538" s="8">
        <f t="shared" si="104"/>
        <v>475</v>
      </c>
      <c r="AC538" s="8">
        <f t="shared" si="105"/>
        <v>9.5</v>
      </c>
      <c r="AD538" s="8">
        <f t="shared" si="106"/>
        <v>465.5</v>
      </c>
      <c r="AE538" s="8">
        <f t="shared" si="107"/>
        <v>351.5</v>
      </c>
      <c r="AF538" s="8">
        <f t="shared" si="108"/>
        <v>114</v>
      </c>
      <c r="AG538" s="9">
        <f t="shared" si="109"/>
        <v>0.24489795918367346</v>
      </c>
      <c r="AH538" s="10">
        <f t="shared" si="110"/>
        <v>2025</v>
      </c>
      <c r="AI538" s="10">
        <f t="shared" si="111"/>
        <v>8</v>
      </c>
      <c r="AJ538" s="10" t="str">
        <f t="shared" si="112"/>
        <v>2025-08</v>
      </c>
      <c r="AK538" s="10" t="str">
        <f t="shared" si="113"/>
        <v>T3</v>
      </c>
      <c r="AL538" s="10" t="str">
        <f t="shared" si="114"/>
        <v>40-49</v>
      </c>
      <c r="AM538" s="10" t="str">
        <f t="shared" si="115"/>
        <v>moyen</v>
      </c>
      <c r="AN538" s="10" t="s">
        <v>2839</v>
      </c>
      <c r="AO538" s="10" t="str">
        <f t="shared" si="116"/>
        <v>Faible</v>
      </c>
    </row>
    <row r="539" spans="1:41">
      <c r="A539" t="s">
        <v>1727</v>
      </c>
      <c r="B539" s="2">
        <v>45714</v>
      </c>
      <c r="C539" t="s">
        <v>1360</v>
      </c>
      <c r="D539" t="s">
        <v>42</v>
      </c>
      <c r="E539" t="s">
        <v>75</v>
      </c>
      <c r="F539" t="s">
        <v>334</v>
      </c>
      <c r="G539">
        <v>4</v>
      </c>
      <c r="H539" s="4">
        <v>260</v>
      </c>
      <c r="I539" s="3">
        <v>0</v>
      </c>
      <c r="J539" t="s">
        <v>63</v>
      </c>
      <c r="K539" t="s">
        <v>46</v>
      </c>
      <c r="L539" t="s">
        <v>1361</v>
      </c>
      <c r="M539" t="s">
        <v>48</v>
      </c>
      <c r="N539" t="s">
        <v>80</v>
      </c>
      <c r="O539" t="s">
        <v>50</v>
      </c>
      <c r="P539" t="s">
        <v>51</v>
      </c>
      <c r="Q539" t="s">
        <v>52</v>
      </c>
      <c r="R539" t="s">
        <v>83</v>
      </c>
      <c r="S539" t="s">
        <v>69</v>
      </c>
      <c r="T539" t="s">
        <v>337</v>
      </c>
      <c r="U539" s="5">
        <v>60</v>
      </c>
      <c r="V539" s="5" t="s">
        <v>56</v>
      </c>
      <c r="W539" s="5">
        <v>5</v>
      </c>
      <c r="X539" s="5">
        <v>8.8000000000000007</v>
      </c>
      <c r="Y539" s="5">
        <v>1</v>
      </c>
      <c r="Z539" s="5" t="s">
        <v>57</v>
      </c>
      <c r="AA539" s="6">
        <v>189.8</v>
      </c>
      <c r="AB539" s="8">
        <f t="shared" si="104"/>
        <v>1040</v>
      </c>
      <c r="AC539" s="8">
        <f t="shared" si="105"/>
        <v>0</v>
      </c>
      <c r="AD539" s="8">
        <f t="shared" si="106"/>
        <v>1040</v>
      </c>
      <c r="AE539" s="8">
        <f t="shared" si="107"/>
        <v>759.2</v>
      </c>
      <c r="AF539" s="8">
        <f t="shared" si="108"/>
        <v>280.79999999999995</v>
      </c>
      <c r="AG539" s="9">
        <f t="shared" si="109"/>
        <v>0.26999999999999996</v>
      </c>
      <c r="AH539" s="10">
        <f t="shared" si="110"/>
        <v>2025</v>
      </c>
      <c r="AI539" s="10">
        <f t="shared" si="111"/>
        <v>2</v>
      </c>
      <c r="AJ539" s="10" t="str">
        <f t="shared" si="112"/>
        <v>2025-02</v>
      </c>
      <c r="AK539" s="10" t="str">
        <f t="shared" si="113"/>
        <v>T1</v>
      </c>
      <c r="AL539" s="10" t="str">
        <f t="shared" si="114"/>
        <v>50+</v>
      </c>
      <c r="AM539" s="10" t="str">
        <f t="shared" si="115"/>
        <v>bon</v>
      </c>
      <c r="AN539" s="10" t="s">
        <v>2838</v>
      </c>
      <c r="AO539" s="10" t="str">
        <f t="shared" si="116"/>
        <v>Elevée</v>
      </c>
    </row>
    <row r="540" spans="1:41">
      <c r="A540" t="s">
        <v>1728</v>
      </c>
      <c r="B540" s="2">
        <v>45822</v>
      </c>
      <c r="C540" t="s">
        <v>1162</v>
      </c>
      <c r="D540" t="s">
        <v>60</v>
      </c>
      <c r="E540" t="s">
        <v>109</v>
      </c>
      <c r="F540" t="s">
        <v>267</v>
      </c>
      <c r="G540">
        <v>1</v>
      </c>
      <c r="H540" s="4">
        <v>180</v>
      </c>
      <c r="I540" s="3">
        <v>0</v>
      </c>
      <c r="J540" t="s">
        <v>77</v>
      </c>
      <c r="K540" t="s">
        <v>46</v>
      </c>
      <c r="L540" t="s">
        <v>1163</v>
      </c>
      <c r="M540" t="s">
        <v>48</v>
      </c>
      <c r="N540" t="s">
        <v>112</v>
      </c>
      <c r="O540" t="s">
        <v>66</v>
      </c>
      <c r="P540" t="s">
        <v>67</v>
      </c>
      <c r="Q540" t="s">
        <v>52</v>
      </c>
      <c r="R540" t="s">
        <v>115</v>
      </c>
      <c r="S540" t="s">
        <v>65</v>
      </c>
      <c r="T540" t="s">
        <v>269</v>
      </c>
      <c r="U540" s="5">
        <v>30</v>
      </c>
      <c r="V540" s="5" t="s">
        <v>56</v>
      </c>
      <c r="W540" s="5">
        <v>42</v>
      </c>
      <c r="X540" s="5">
        <v>8.4</v>
      </c>
      <c r="Y540" s="5">
        <v>1</v>
      </c>
      <c r="Z540" s="5" t="s">
        <v>57</v>
      </c>
      <c r="AA540" s="6">
        <v>129.6</v>
      </c>
      <c r="AB540" s="8">
        <f t="shared" si="104"/>
        <v>180</v>
      </c>
      <c r="AC540" s="8">
        <f t="shared" si="105"/>
        <v>0</v>
      </c>
      <c r="AD540" s="8">
        <f t="shared" si="106"/>
        <v>180</v>
      </c>
      <c r="AE540" s="8">
        <f t="shared" si="107"/>
        <v>129.6</v>
      </c>
      <c r="AF540" s="8">
        <f t="shared" si="108"/>
        <v>50.400000000000006</v>
      </c>
      <c r="AG540" s="9">
        <f t="shared" si="109"/>
        <v>0.28000000000000003</v>
      </c>
      <c r="AH540" s="10">
        <f t="shared" si="110"/>
        <v>2025</v>
      </c>
      <c r="AI540" s="10">
        <f t="shared" si="111"/>
        <v>6</v>
      </c>
      <c r="AJ540" s="10" t="str">
        <f t="shared" si="112"/>
        <v>2025-06</v>
      </c>
      <c r="AK540" s="10" t="str">
        <f t="shared" si="113"/>
        <v>T2</v>
      </c>
      <c r="AL540" s="10" t="str">
        <f t="shared" si="114"/>
        <v>30-39</v>
      </c>
      <c r="AM540" s="10" t="str">
        <f t="shared" si="115"/>
        <v>bon</v>
      </c>
      <c r="AN540" s="10" t="s">
        <v>2838</v>
      </c>
      <c r="AO540" s="10" t="str">
        <f t="shared" si="116"/>
        <v>Faible</v>
      </c>
    </row>
    <row r="541" spans="1:41">
      <c r="A541" t="s">
        <v>1729</v>
      </c>
      <c r="B541" s="2">
        <v>45866</v>
      </c>
      <c r="C541" t="s">
        <v>1730</v>
      </c>
      <c r="D541" t="s">
        <v>188</v>
      </c>
      <c r="E541" t="s">
        <v>98</v>
      </c>
      <c r="F541" t="s">
        <v>121</v>
      </c>
      <c r="G541">
        <v>1</v>
      </c>
      <c r="H541" s="4">
        <v>350</v>
      </c>
      <c r="I541" s="3">
        <v>0.02</v>
      </c>
      <c r="J541" t="s">
        <v>45</v>
      </c>
      <c r="K541" t="s">
        <v>46</v>
      </c>
      <c r="L541" t="s">
        <v>1731</v>
      </c>
      <c r="M541" t="s">
        <v>123</v>
      </c>
      <c r="N541" t="s">
        <v>49</v>
      </c>
      <c r="O541" t="s">
        <v>192</v>
      </c>
      <c r="P541" t="s">
        <v>51</v>
      </c>
      <c r="Q541" t="s">
        <v>114</v>
      </c>
      <c r="R541" t="s">
        <v>104</v>
      </c>
      <c r="S541" t="s">
        <v>79</v>
      </c>
      <c r="T541" t="s">
        <v>125</v>
      </c>
      <c r="U541" s="5">
        <v>43</v>
      </c>
      <c r="V541" s="5" t="s">
        <v>85</v>
      </c>
      <c r="W541" s="5">
        <v>57</v>
      </c>
      <c r="X541" s="5">
        <v>4.5999999999999996</v>
      </c>
      <c r="Y541" s="5">
        <v>8</v>
      </c>
      <c r="Z541" s="5" t="s">
        <v>94</v>
      </c>
      <c r="AA541" s="6">
        <v>213.5</v>
      </c>
      <c r="AB541" s="8">
        <f t="shared" si="104"/>
        <v>350</v>
      </c>
      <c r="AC541" s="8">
        <f t="shared" si="105"/>
        <v>7</v>
      </c>
      <c r="AD541" s="8">
        <f t="shared" si="106"/>
        <v>343</v>
      </c>
      <c r="AE541" s="8">
        <f t="shared" si="107"/>
        <v>213.5</v>
      </c>
      <c r="AF541" s="8">
        <f t="shared" si="108"/>
        <v>129.5</v>
      </c>
      <c r="AG541" s="9">
        <f t="shared" si="109"/>
        <v>0.37755102040816324</v>
      </c>
      <c r="AH541" s="10">
        <f t="shared" si="110"/>
        <v>2025</v>
      </c>
      <c r="AI541" s="10">
        <f t="shared" si="111"/>
        <v>7</v>
      </c>
      <c r="AJ541" s="10" t="str">
        <f t="shared" si="112"/>
        <v>2025-07</v>
      </c>
      <c r="AK541" s="10" t="str">
        <f t="shared" si="113"/>
        <v>T3</v>
      </c>
      <c r="AL541" s="10" t="str">
        <f t="shared" si="114"/>
        <v>40-49</v>
      </c>
      <c r="AM541" s="10" t="str">
        <f t="shared" si="115"/>
        <v>faible</v>
      </c>
      <c r="AN541" s="10" t="s">
        <v>2837</v>
      </c>
      <c r="AO541" s="10" t="str">
        <f t="shared" si="116"/>
        <v>Faible</v>
      </c>
    </row>
    <row r="542" spans="1:41">
      <c r="A542" t="s">
        <v>1732</v>
      </c>
      <c r="B542" s="2">
        <v>45872</v>
      </c>
      <c r="C542" t="s">
        <v>875</v>
      </c>
      <c r="D542" t="s">
        <v>60</v>
      </c>
      <c r="E542" t="s">
        <v>163</v>
      </c>
      <c r="F542" t="s">
        <v>434</v>
      </c>
      <c r="G542">
        <v>20</v>
      </c>
      <c r="H542" s="4">
        <v>180</v>
      </c>
      <c r="I542" s="3">
        <v>0</v>
      </c>
      <c r="J542" t="s">
        <v>63</v>
      </c>
      <c r="K542" t="s">
        <v>46</v>
      </c>
      <c r="L542" t="s">
        <v>876</v>
      </c>
      <c r="M542" t="s">
        <v>123</v>
      </c>
      <c r="N542" t="s">
        <v>255</v>
      </c>
      <c r="O542" t="s">
        <v>66</v>
      </c>
      <c r="P542" t="s">
        <v>67</v>
      </c>
      <c r="Q542" t="s">
        <v>52</v>
      </c>
      <c r="R542" t="s">
        <v>167</v>
      </c>
      <c r="S542" t="s">
        <v>123</v>
      </c>
      <c r="T542" t="s">
        <v>436</v>
      </c>
      <c r="U542" s="5">
        <v>47</v>
      </c>
      <c r="V542" s="5" t="s">
        <v>85</v>
      </c>
      <c r="W542" s="5">
        <v>14</v>
      </c>
      <c r="X542" s="5">
        <v>7.6</v>
      </c>
      <c r="Y542" s="5">
        <v>2</v>
      </c>
      <c r="Z542" s="5" t="s">
        <v>71</v>
      </c>
      <c r="AA542" s="6">
        <v>129.6</v>
      </c>
      <c r="AB542" s="8">
        <f t="shared" si="104"/>
        <v>3600</v>
      </c>
      <c r="AC542" s="8">
        <f t="shared" si="105"/>
        <v>0</v>
      </c>
      <c r="AD542" s="8">
        <f t="shared" si="106"/>
        <v>3600</v>
      </c>
      <c r="AE542" s="8">
        <f t="shared" si="107"/>
        <v>2592</v>
      </c>
      <c r="AF542" s="8">
        <f t="shared" si="108"/>
        <v>1008</v>
      </c>
      <c r="AG542" s="9">
        <f t="shared" si="109"/>
        <v>0.28000000000000003</v>
      </c>
      <c r="AH542" s="10">
        <f t="shared" si="110"/>
        <v>2025</v>
      </c>
      <c r="AI542" s="10">
        <f t="shared" si="111"/>
        <v>8</v>
      </c>
      <c r="AJ542" s="10" t="str">
        <f t="shared" si="112"/>
        <v>2025-08</v>
      </c>
      <c r="AK542" s="10" t="str">
        <f t="shared" si="113"/>
        <v>T3</v>
      </c>
      <c r="AL542" s="10" t="str">
        <f t="shared" si="114"/>
        <v>40-49</v>
      </c>
      <c r="AM542" s="10" t="str">
        <f t="shared" si="115"/>
        <v>bon</v>
      </c>
      <c r="AN542" s="10" t="s">
        <v>2838</v>
      </c>
      <c r="AO542" s="10" t="str">
        <f t="shared" si="116"/>
        <v>Elevée</v>
      </c>
    </row>
    <row r="543" spans="1:41">
      <c r="A543" t="s">
        <v>1733</v>
      </c>
      <c r="B543" s="2">
        <v>45966</v>
      </c>
      <c r="C543" t="s">
        <v>1734</v>
      </c>
      <c r="D543" t="s">
        <v>155</v>
      </c>
      <c r="E543" t="s">
        <v>98</v>
      </c>
      <c r="F543" t="s">
        <v>302</v>
      </c>
      <c r="G543">
        <v>4</v>
      </c>
      <c r="H543" s="4">
        <v>48</v>
      </c>
      <c r="I543" s="3">
        <v>0</v>
      </c>
      <c r="J543" t="s">
        <v>77</v>
      </c>
      <c r="K543" t="s">
        <v>46</v>
      </c>
      <c r="L543" t="s">
        <v>1735</v>
      </c>
      <c r="M543" t="s">
        <v>48</v>
      </c>
      <c r="N543" t="s">
        <v>112</v>
      </c>
      <c r="O543" t="s">
        <v>158</v>
      </c>
      <c r="P543" t="s">
        <v>51</v>
      </c>
      <c r="Q543" t="s">
        <v>143</v>
      </c>
      <c r="R543" t="s">
        <v>104</v>
      </c>
      <c r="S543" t="s">
        <v>79</v>
      </c>
      <c r="T543" t="s">
        <v>304</v>
      </c>
      <c r="U543" s="5">
        <v>41</v>
      </c>
      <c r="V543" s="5" t="s">
        <v>56</v>
      </c>
      <c r="W543" s="5">
        <v>65</v>
      </c>
      <c r="X543" s="5">
        <v>7.9</v>
      </c>
      <c r="Y543" s="5">
        <v>1</v>
      </c>
      <c r="Z543" s="5" t="s">
        <v>94</v>
      </c>
      <c r="AA543" s="6">
        <v>37.44</v>
      </c>
      <c r="AB543" s="8">
        <f t="shared" si="104"/>
        <v>192</v>
      </c>
      <c r="AC543" s="8">
        <f t="shared" si="105"/>
        <v>0</v>
      </c>
      <c r="AD543" s="8">
        <f t="shared" si="106"/>
        <v>192</v>
      </c>
      <c r="AE543" s="8">
        <f t="shared" si="107"/>
        <v>149.76</v>
      </c>
      <c r="AF543" s="8">
        <f t="shared" si="108"/>
        <v>42.240000000000009</v>
      </c>
      <c r="AG543" s="9">
        <f t="shared" si="109"/>
        <v>0.22000000000000006</v>
      </c>
      <c r="AH543" s="10">
        <f t="shared" si="110"/>
        <v>2025</v>
      </c>
      <c r="AI543" s="10">
        <f t="shared" si="111"/>
        <v>11</v>
      </c>
      <c r="AJ543" s="10" t="str">
        <f t="shared" si="112"/>
        <v>2025-11</v>
      </c>
      <c r="AK543" s="10" t="str">
        <f t="shared" si="113"/>
        <v>T4</v>
      </c>
      <c r="AL543" s="10" t="str">
        <f t="shared" si="114"/>
        <v>40-49</v>
      </c>
      <c r="AM543" s="10" t="str">
        <f t="shared" si="115"/>
        <v>bon</v>
      </c>
      <c r="AN543" s="10" t="s">
        <v>2838</v>
      </c>
      <c r="AO543" s="10" t="str">
        <f t="shared" si="116"/>
        <v>Faible</v>
      </c>
    </row>
    <row r="544" spans="1:41">
      <c r="A544" t="s">
        <v>1736</v>
      </c>
      <c r="B544" s="2">
        <v>45934</v>
      </c>
      <c r="C544" t="s">
        <v>1737</v>
      </c>
      <c r="D544" t="s">
        <v>42</v>
      </c>
      <c r="E544" t="s">
        <v>189</v>
      </c>
      <c r="F544" t="s">
        <v>424</v>
      </c>
      <c r="G544">
        <v>2</v>
      </c>
      <c r="H544" s="4">
        <v>260</v>
      </c>
      <c r="I544" s="3">
        <v>0.05</v>
      </c>
      <c r="J544" t="s">
        <v>90</v>
      </c>
      <c r="K544" t="s">
        <v>46</v>
      </c>
      <c r="L544" t="s">
        <v>1738</v>
      </c>
      <c r="M544" t="s">
        <v>65</v>
      </c>
      <c r="N544" t="s">
        <v>112</v>
      </c>
      <c r="O544" t="s">
        <v>50</v>
      </c>
      <c r="P544" t="s">
        <v>51</v>
      </c>
      <c r="Q544" t="s">
        <v>52</v>
      </c>
      <c r="R544" t="s">
        <v>193</v>
      </c>
      <c r="S544" t="s">
        <v>79</v>
      </c>
      <c r="T544" t="s">
        <v>426</v>
      </c>
      <c r="U544" s="5">
        <v>44</v>
      </c>
      <c r="V544" s="5" t="s">
        <v>85</v>
      </c>
      <c r="W544" s="5">
        <v>45</v>
      </c>
      <c r="X544" s="5">
        <v>3.7</v>
      </c>
      <c r="Y544" s="5">
        <v>8</v>
      </c>
      <c r="Z544" s="5" t="s">
        <v>117</v>
      </c>
      <c r="AA544" s="6">
        <v>189.8</v>
      </c>
      <c r="AB544" s="8">
        <f t="shared" si="104"/>
        <v>520</v>
      </c>
      <c r="AC544" s="8">
        <f t="shared" si="105"/>
        <v>26</v>
      </c>
      <c r="AD544" s="8">
        <f t="shared" si="106"/>
        <v>494</v>
      </c>
      <c r="AE544" s="8">
        <f t="shared" si="107"/>
        <v>379.6</v>
      </c>
      <c r="AF544" s="8">
        <f t="shared" si="108"/>
        <v>114.39999999999998</v>
      </c>
      <c r="AG544" s="9">
        <f t="shared" si="109"/>
        <v>0.231578947368421</v>
      </c>
      <c r="AH544" s="10">
        <f t="shared" si="110"/>
        <v>2025</v>
      </c>
      <c r="AI544" s="10">
        <f t="shared" si="111"/>
        <v>10</v>
      </c>
      <c r="AJ544" s="10" t="str">
        <f t="shared" si="112"/>
        <v>2025-10</v>
      </c>
      <c r="AK544" s="10" t="str">
        <f t="shared" si="113"/>
        <v>T4</v>
      </c>
      <c r="AL544" s="10" t="str">
        <f t="shared" si="114"/>
        <v>40-49</v>
      </c>
      <c r="AM544" s="10" t="str">
        <f t="shared" si="115"/>
        <v>faible</v>
      </c>
      <c r="AN544" s="10" t="s">
        <v>2837</v>
      </c>
      <c r="AO544" s="10" t="str">
        <f t="shared" si="116"/>
        <v>Faible</v>
      </c>
    </row>
    <row r="545" spans="1:41">
      <c r="A545" t="s">
        <v>1739</v>
      </c>
      <c r="B545" s="2">
        <v>45724</v>
      </c>
      <c r="C545" t="s">
        <v>1201</v>
      </c>
      <c r="D545" t="s">
        <v>42</v>
      </c>
      <c r="E545" t="s">
        <v>163</v>
      </c>
      <c r="F545" t="s">
        <v>458</v>
      </c>
      <c r="G545">
        <v>4</v>
      </c>
      <c r="H545" s="4">
        <v>260</v>
      </c>
      <c r="I545" s="3">
        <v>0</v>
      </c>
      <c r="J545" t="s">
        <v>45</v>
      </c>
      <c r="K545" t="s">
        <v>46</v>
      </c>
      <c r="L545" t="s">
        <v>1202</v>
      </c>
      <c r="M545" t="s">
        <v>79</v>
      </c>
      <c r="N545" t="s">
        <v>255</v>
      </c>
      <c r="O545" t="s">
        <v>50</v>
      </c>
      <c r="P545" t="s">
        <v>51</v>
      </c>
      <c r="Q545" t="s">
        <v>52</v>
      </c>
      <c r="R545" t="s">
        <v>167</v>
      </c>
      <c r="S545" t="s">
        <v>123</v>
      </c>
      <c r="T545" t="s">
        <v>460</v>
      </c>
      <c r="U545" s="5">
        <v>57</v>
      </c>
      <c r="V545" s="5" t="s">
        <v>56</v>
      </c>
      <c r="W545" s="5">
        <v>33</v>
      </c>
      <c r="X545" s="5">
        <v>8.4</v>
      </c>
      <c r="Y545" s="5">
        <v>1</v>
      </c>
      <c r="Z545" s="5" t="s">
        <v>57</v>
      </c>
      <c r="AA545" s="6">
        <v>189.8</v>
      </c>
      <c r="AB545" s="8">
        <f t="shared" si="104"/>
        <v>1040</v>
      </c>
      <c r="AC545" s="8">
        <f t="shared" si="105"/>
        <v>0</v>
      </c>
      <c r="AD545" s="8">
        <f t="shared" si="106"/>
        <v>1040</v>
      </c>
      <c r="AE545" s="8">
        <f t="shared" si="107"/>
        <v>759.2</v>
      </c>
      <c r="AF545" s="8">
        <f t="shared" si="108"/>
        <v>280.79999999999995</v>
      </c>
      <c r="AG545" s="9">
        <f t="shared" si="109"/>
        <v>0.26999999999999996</v>
      </c>
      <c r="AH545" s="10">
        <f t="shared" si="110"/>
        <v>2025</v>
      </c>
      <c r="AI545" s="10">
        <f t="shared" si="111"/>
        <v>3</v>
      </c>
      <c r="AJ545" s="10" t="str">
        <f t="shared" si="112"/>
        <v>2025-03</v>
      </c>
      <c r="AK545" s="10" t="str">
        <f t="shared" si="113"/>
        <v>T1</v>
      </c>
      <c r="AL545" s="10" t="str">
        <f t="shared" si="114"/>
        <v>50+</v>
      </c>
      <c r="AM545" s="10" t="str">
        <f t="shared" si="115"/>
        <v>bon</v>
      </c>
      <c r="AN545" s="10" t="s">
        <v>2838</v>
      </c>
      <c r="AO545" s="10" t="str">
        <f t="shared" si="116"/>
        <v>Elevée</v>
      </c>
    </row>
    <row r="546" spans="1:41">
      <c r="A546" t="s">
        <v>1740</v>
      </c>
      <c r="B546" s="2">
        <v>45972</v>
      </c>
      <c r="C546" t="s">
        <v>1741</v>
      </c>
      <c r="D546" t="s">
        <v>148</v>
      </c>
      <c r="E546" t="s">
        <v>43</v>
      </c>
      <c r="F546" t="s">
        <v>779</v>
      </c>
      <c r="G546">
        <v>1</v>
      </c>
      <c r="H546" s="4">
        <v>110</v>
      </c>
      <c r="I546" s="3">
        <v>0</v>
      </c>
      <c r="J546" t="s">
        <v>77</v>
      </c>
      <c r="K546" t="s">
        <v>46</v>
      </c>
      <c r="L546" t="s">
        <v>1742</v>
      </c>
      <c r="M546" t="s">
        <v>48</v>
      </c>
      <c r="N546" t="s">
        <v>101</v>
      </c>
      <c r="O546" t="s">
        <v>151</v>
      </c>
      <c r="P546" t="s">
        <v>103</v>
      </c>
      <c r="Q546" t="s">
        <v>114</v>
      </c>
      <c r="R546" t="s">
        <v>53</v>
      </c>
      <c r="S546" t="s">
        <v>54</v>
      </c>
      <c r="T546" t="s">
        <v>781</v>
      </c>
      <c r="U546" s="5">
        <v>49</v>
      </c>
      <c r="V546" s="5" t="s">
        <v>85</v>
      </c>
      <c r="W546" s="5">
        <v>53</v>
      </c>
      <c r="X546" s="5">
        <v>7.6</v>
      </c>
      <c r="Y546" s="5">
        <v>2</v>
      </c>
      <c r="Z546" s="5" t="s">
        <v>57</v>
      </c>
      <c r="AA546" s="6">
        <v>72.599999999999994</v>
      </c>
      <c r="AB546" s="8">
        <f t="shared" si="104"/>
        <v>110</v>
      </c>
      <c r="AC546" s="8">
        <f t="shared" si="105"/>
        <v>0</v>
      </c>
      <c r="AD546" s="8">
        <f t="shared" si="106"/>
        <v>110</v>
      </c>
      <c r="AE546" s="8">
        <f t="shared" si="107"/>
        <v>72.599999999999994</v>
      </c>
      <c r="AF546" s="8">
        <f t="shared" si="108"/>
        <v>37.400000000000006</v>
      </c>
      <c r="AG546" s="9">
        <f t="shared" si="109"/>
        <v>0.34</v>
      </c>
      <c r="AH546" s="10">
        <f t="shared" si="110"/>
        <v>2025</v>
      </c>
      <c r="AI546" s="10">
        <f t="shared" si="111"/>
        <v>11</v>
      </c>
      <c r="AJ546" s="10" t="str">
        <f t="shared" si="112"/>
        <v>2025-11</v>
      </c>
      <c r="AK546" s="10" t="str">
        <f t="shared" si="113"/>
        <v>T4</v>
      </c>
      <c r="AL546" s="10" t="str">
        <f t="shared" si="114"/>
        <v>40-49</v>
      </c>
      <c r="AM546" s="10" t="str">
        <f t="shared" si="115"/>
        <v>bon</v>
      </c>
      <c r="AN546" s="10" t="s">
        <v>2838</v>
      </c>
      <c r="AO546" s="10" t="str">
        <f t="shared" si="116"/>
        <v>Faible</v>
      </c>
    </row>
    <row r="547" spans="1:41">
      <c r="A547" t="s">
        <v>1743</v>
      </c>
      <c r="B547" s="2">
        <v>45960</v>
      </c>
      <c r="C547" t="s">
        <v>1744</v>
      </c>
      <c r="D547" t="s">
        <v>108</v>
      </c>
      <c r="E547" t="s">
        <v>139</v>
      </c>
      <c r="F547" t="s">
        <v>424</v>
      </c>
      <c r="G547">
        <v>2</v>
      </c>
      <c r="H547" s="4">
        <v>240</v>
      </c>
      <c r="I547" s="3">
        <v>0.05</v>
      </c>
      <c r="J547" t="s">
        <v>77</v>
      </c>
      <c r="K547" t="s">
        <v>46</v>
      </c>
      <c r="L547" t="s">
        <v>1745</v>
      </c>
      <c r="M547" t="s">
        <v>54</v>
      </c>
      <c r="N547" t="s">
        <v>112</v>
      </c>
      <c r="O547" t="s">
        <v>113</v>
      </c>
      <c r="P547" t="s">
        <v>82</v>
      </c>
      <c r="Q547" t="s">
        <v>114</v>
      </c>
      <c r="R547" t="s">
        <v>144</v>
      </c>
      <c r="S547" t="s">
        <v>65</v>
      </c>
      <c r="T547" t="s">
        <v>426</v>
      </c>
      <c r="U547" s="5">
        <v>39</v>
      </c>
      <c r="V547" s="5" t="s">
        <v>85</v>
      </c>
      <c r="W547" s="5">
        <v>48</v>
      </c>
      <c r="X547" s="5">
        <v>9.3000000000000007</v>
      </c>
      <c r="Y547" s="5">
        <v>1</v>
      </c>
      <c r="Z547" s="5" t="s">
        <v>94</v>
      </c>
      <c r="AA547" s="6">
        <v>177.6</v>
      </c>
      <c r="AB547" s="8">
        <f t="shared" si="104"/>
        <v>480</v>
      </c>
      <c r="AC547" s="8">
        <f t="shared" si="105"/>
        <v>24</v>
      </c>
      <c r="AD547" s="8">
        <f t="shared" si="106"/>
        <v>456</v>
      </c>
      <c r="AE547" s="8">
        <f t="shared" si="107"/>
        <v>355.2</v>
      </c>
      <c r="AF547" s="8">
        <f t="shared" si="108"/>
        <v>100.80000000000001</v>
      </c>
      <c r="AG547" s="9">
        <f t="shared" si="109"/>
        <v>0.22105263157894739</v>
      </c>
      <c r="AH547" s="10">
        <f t="shared" si="110"/>
        <v>2025</v>
      </c>
      <c r="AI547" s="10">
        <f t="shared" si="111"/>
        <v>10</v>
      </c>
      <c r="AJ547" s="10" t="str">
        <f t="shared" si="112"/>
        <v>2025-10</v>
      </c>
      <c r="AK547" s="10" t="str">
        <f t="shared" si="113"/>
        <v>T4</v>
      </c>
      <c r="AL547" s="10" t="str">
        <f t="shared" si="114"/>
        <v>30-39</v>
      </c>
      <c r="AM547" s="10" t="str">
        <f t="shared" si="115"/>
        <v>excellent</v>
      </c>
      <c r="AN547" s="10" t="s">
        <v>2838</v>
      </c>
      <c r="AO547" s="10" t="str">
        <f t="shared" si="116"/>
        <v>Faible</v>
      </c>
    </row>
    <row r="548" spans="1:41">
      <c r="A548" t="s">
        <v>1746</v>
      </c>
      <c r="B548" s="2">
        <v>45996</v>
      </c>
      <c r="C548" t="s">
        <v>1747</v>
      </c>
      <c r="D548" t="s">
        <v>108</v>
      </c>
      <c r="E548" t="s">
        <v>129</v>
      </c>
      <c r="F548" t="s">
        <v>334</v>
      </c>
      <c r="G548">
        <v>1</v>
      </c>
      <c r="H548" s="4">
        <v>240</v>
      </c>
      <c r="I548" s="3">
        <v>0.08</v>
      </c>
      <c r="J548" t="s">
        <v>90</v>
      </c>
      <c r="K548" t="s">
        <v>46</v>
      </c>
      <c r="L548" t="s">
        <v>1748</v>
      </c>
      <c r="M548" t="s">
        <v>123</v>
      </c>
      <c r="N548" t="s">
        <v>255</v>
      </c>
      <c r="O548" t="s">
        <v>113</v>
      </c>
      <c r="P548" t="s">
        <v>82</v>
      </c>
      <c r="Q548" t="s">
        <v>114</v>
      </c>
      <c r="R548" t="s">
        <v>134</v>
      </c>
      <c r="S548" t="s">
        <v>123</v>
      </c>
      <c r="T548" t="s">
        <v>337</v>
      </c>
      <c r="U548" s="5">
        <v>42</v>
      </c>
      <c r="V548" s="5" t="s">
        <v>56</v>
      </c>
      <c r="W548" s="5">
        <v>50</v>
      </c>
      <c r="X548" s="5">
        <v>8.1</v>
      </c>
      <c r="Y548" s="5">
        <v>2</v>
      </c>
      <c r="Z548" s="5" t="s">
        <v>94</v>
      </c>
      <c r="AA548" s="6">
        <v>177.6</v>
      </c>
      <c r="AB548" s="8">
        <f t="shared" si="104"/>
        <v>240</v>
      </c>
      <c r="AC548" s="8">
        <f t="shared" si="105"/>
        <v>19.2</v>
      </c>
      <c r="AD548" s="8">
        <f t="shared" si="106"/>
        <v>220.8</v>
      </c>
      <c r="AE548" s="8">
        <f t="shared" si="107"/>
        <v>177.6</v>
      </c>
      <c r="AF548" s="8">
        <f t="shared" si="108"/>
        <v>43.200000000000017</v>
      </c>
      <c r="AG548" s="9">
        <f t="shared" si="109"/>
        <v>0.19565217391304354</v>
      </c>
      <c r="AH548" s="10">
        <f t="shared" si="110"/>
        <v>2025</v>
      </c>
      <c r="AI548" s="10">
        <f t="shared" si="111"/>
        <v>12</v>
      </c>
      <c r="AJ548" s="10" t="str">
        <f t="shared" si="112"/>
        <v>2025-12</v>
      </c>
      <c r="AK548" s="10" t="str">
        <f t="shared" si="113"/>
        <v>T4</v>
      </c>
      <c r="AL548" s="10" t="str">
        <f t="shared" si="114"/>
        <v>40-49</v>
      </c>
      <c r="AM548" s="10" t="str">
        <f t="shared" si="115"/>
        <v>bon</v>
      </c>
      <c r="AN548" s="10" t="s">
        <v>2838</v>
      </c>
      <c r="AO548" s="10" t="str">
        <f t="shared" si="116"/>
        <v>Faible</v>
      </c>
    </row>
    <row r="549" spans="1:41">
      <c r="A549" t="s">
        <v>1749</v>
      </c>
      <c r="B549" s="2">
        <v>45665</v>
      </c>
      <c r="C549" t="s">
        <v>1033</v>
      </c>
      <c r="D549" t="s">
        <v>188</v>
      </c>
      <c r="E549" t="s">
        <v>88</v>
      </c>
      <c r="F549" t="s">
        <v>968</v>
      </c>
      <c r="G549">
        <v>1</v>
      </c>
      <c r="H549" s="4">
        <v>350</v>
      </c>
      <c r="I549" s="3">
        <v>0</v>
      </c>
      <c r="J549" t="s">
        <v>45</v>
      </c>
      <c r="K549" t="s">
        <v>46</v>
      </c>
      <c r="L549" t="s">
        <v>1034</v>
      </c>
      <c r="M549" t="s">
        <v>79</v>
      </c>
      <c r="N549" t="s">
        <v>101</v>
      </c>
      <c r="O549" t="s">
        <v>192</v>
      </c>
      <c r="P549" t="s">
        <v>51</v>
      </c>
      <c r="Q549" t="s">
        <v>114</v>
      </c>
      <c r="R549" t="s">
        <v>92</v>
      </c>
      <c r="S549" t="s">
        <v>48</v>
      </c>
      <c r="T549" t="s">
        <v>970</v>
      </c>
      <c r="U549" s="5">
        <v>42</v>
      </c>
      <c r="V549" s="5" t="s">
        <v>56</v>
      </c>
      <c r="W549" s="5">
        <v>7</v>
      </c>
      <c r="X549" s="5">
        <v>2.9</v>
      </c>
      <c r="Y549" s="5">
        <v>9</v>
      </c>
      <c r="Z549" s="5" t="s">
        <v>71</v>
      </c>
      <c r="AA549" s="6">
        <v>213.5</v>
      </c>
      <c r="AB549" s="8">
        <f t="shared" si="104"/>
        <v>350</v>
      </c>
      <c r="AC549" s="8">
        <f t="shared" si="105"/>
        <v>0</v>
      </c>
      <c r="AD549" s="8">
        <f t="shared" si="106"/>
        <v>350</v>
      </c>
      <c r="AE549" s="8">
        <f t="shared" si="107"/>
        <v>213.5</v>
      </c>
      <c r="AF549" s="8">
        <f t="shared" si="108"/>
        <v>136.5</v>
      </c>
      <c r="AG549" s="9">
        <f t="shared" si="109"/>
        <v>0.39</v>
      </c>
      <c r="AH549" s="10">
        <f t="shared" si="110"/>
        <v>2025</v>
      </c>
      <c r="AI549" s="10">
        <f t="shared" si="111"/>
        <v>1</v>
      </c>
      <c r="AJ549" s="10" t="str">
        <f t="shared" si="112"/>
        <v>2025-01</v>
      </c>
      <c r="AK549" s="10" t="str">
        <f t="shared" si="113"/>
        <v>T1</v>
      </c>
      <c r="AL549" s="10" t="str">
        <f t="shared" si="114"/>
        <v>40-49</v>
      </c>
      <c r="AM549" s="10" t="str">
        <f t="shared" si="115"/>
        <v>faible</v>
      </c>
      <c r="AN549" s="10" t="s">
        <v>2837</v>
      </c>
      <c r="AO549" s="10" t="str">
        <f t="shared" si="116"/>
        <v>Faible</v>
      </c>
    </row>
    <row r="550" spans="1:41">
      <c r="A550" t="s">
        <v>1750</v>
      </c>
      <c r="B550" s="2">
        <v>45834</v>
      </c>
      <c r="C550" t="s">
        <v>1751</v>
      </c>
      <c r="D550" t="s">
        <v>138</v>
      </c>
      <c r="E550" t="s">
        <v>277</v>
      </c>
      <c r="F550" t="s">
        <v>676</v>
      </c>
      <c r="G550">
        <v>1</v>
      </c>
      <c r="H550" s="4">
        <v>120</v>
      </c>
      <c r="I550" s="3">
        <v>0.1</v>
      </c>
      <c r="J550" t="s">
        <v>63</v>
      </c>
      <c r="K550" t="s">
        <v>46</v>
      </c>
      <c r="L550" t="s">
        <v>1752</v>
      </c>
      <c r="M550" t="s">
        <v>69</v>
      </c>
      <c r="N550" t="s">
        <v>255</v>
      </c>
      <c r="O550" t="s">
        <v>142</v>
      </c>
      <c r="P550" t="s">
        <v>51</v>
      </c>
      <c r="Q550" t="s">
        <v>143</v>
      </c>
      <c r="R550" t="s">
        <v>279</v>
      </c>
      <c r="S550" t="s">
        <v>54</v>
      </c>
      <c r="T550" t="s">
        <v>678</v>
      </c>
      <c r="U550" s="5">
        <v>32</v>
      </c>
      <c r="V550" s="5" t="s">
        <v>56</v>
      </c>
      <c r="W550" s="5">
        <v>14</v>
      </c>
      <c r="X550" s="5">
        <v>5.6</v>
      </c>
      <c r="Y550" s="5">
        <v>7</v>
      </c>
      <c r="Z550" s="5" t="s">
        <v>57</v>
      </c>
      <c r="AA550" s="6">
        <v>73.2</v>
      </c>
      <c r="AB550" s="8">
        <f t="shared" si="104"/>
        <v>120</v>
      </c>
      <c r="AC550" s="8">
        <f t="shared" si="105"/>
        <v>12</v>
      </c>
      <c r="AD550" s="8">
        <f t="shared" si="106"/>
        <v>108</v>
      </c>
      <c r="AE550" s="8">
        <f t="shared" si="107"/>
        <v>73.2</v>
      </c>
      <c r="AF550" s="8">
        <f t="shared" si="108"/>
        <v>34.799999999999997</v>
      </c>
      <c r="AG550" s="9">
        <f t="shared" si="109"/>
        <v>0.32222222222222219</v>
      </c>
      <c r="AH550" s="10">
        <f t="shared" si="110"/>
        <v>2025</v>
      </c>
      <c r="AI550" s="10">
        <f t="shared" si="111"/>
        <v>6</v>
      </c>
      <c r="AJ550" s="10" t="str">
        <f t="shared" si="112"/>
        <v>2025-06</v>
      </c>
      <c r="AK550" s="10" t="str">
        <f t="shared" si="113"/>
        <v>T2</v>
      </c>
      <c r="AL550" s="10" t="str">
        <f t="shared" si="114"/>
        <v>30-39</v>
      </c>
      <c r="AM550" s="10" t="str">
        <f t="shared" si="115"/>
        <v>moyen</v>
      </c>
      <c r="AN550" s="10" t="s">
        <v>2837</v>
      </c>
      <c r="AO550" s="10" t="str">
        <f t="shared" si="116"/>
        <v>Faible</v>
      </c>
    </row>
    <row r="551" spans="1:41">
      <c r="A551" t="s">
        <v>1753</v>
      </c>
      <c r="B551" s="2">
        <v>45883</v>
      </c>
      <c r="C551" t="s">
        <v>1754</v>
      </c>
      <c r="D551" t="s">
        <v>155</v>
      </c>
      <c r="E551" t="s">
        <v>109</v>
      </c>
      <c r="F551" t="s">
        <v>374</v>
      </c>
      <c r="G551">
        <v>1</v>
      </c>
      <c r="H551" s="4">
        <v>48</v>
      </c>
      <c r="I551" s="3">
        <v>0</v>
      </c>
      <c r="J551" t="s">
        <v>77</v>
      </c>
      <c r="K551" t="s">
        <v>46</v>
      </c>
      <c r="L551" t="s">
        <v>1755</v>
      </c>
      <c r="M551" t="s">
        <v>69</v>
      </c>
      <c r="N551" t="s">
        <v>255</v>
      </c>
      <c r="O551" t="s">
        <v>158</v>
      </c>
      <c r="P551" t="s">
        <v>51</v>
      </c>
      <c r="Q551" t="s">
        <v>143</v>
      </c>
      <c r="R551" t="s">
        <v>115</v>
      </c>
      <c r="S551" t="s">
        <v>65</v>
      </c>
      <c r="T551" t="s">
        <v>376</v>
      </c>
      <c r="U551" s="5">
        <v>22</v>
      </c>
      <c r="V551" s="5" t="s">
        <v>85</v>
      </c>
      <c r="W551" s="5">
        <v>6</v>
      </c>
      <c r="X551" s="5">
        <v>4.8</v>
      </c>
      <c r="Y551" s="5">
        <v>8</v>
      </c>
      <c r="Z551" s="5" t="s">
        <v>117</v>
      </c>
      <c r="AA551" s="6">
        <v>37.44</v>
      </c>
      <c r="AB551" s="8">
        <f t="shared" si="104"/>
        <v>48</v>
      </c>
      <c r="AC551" s="8">
        <f t="shared" si="105"/>
        <v>0</v>
      </c>
      <c r="AD551" s="8">
        <f t="shared" si="106"/>
        <v>48</v>
      </c>
      <c r="AE551" s="8">
        <f t="shared" si="107"/>
        <v>37.44</v>
      </c>
      <c r="AF551" s="8">
        <f t="shared" si="108"/>
        <v>10.560000000000002</v>
      </c>
      <c r="AG551" s="9">
        <f t="shared" si="109"/>
        <v>0.22000000000000006</v>
      </c>
      <c r="AH551" s="10">
        <f t="shared" si="110"/>
        <v>2025</v>
      </c>
      <c r="AI551" s="10">
        <f t="shared" si="111"/>
        <v>8</v>
      </c>
      <c r="AJ551" s="10" t="str">
        <f t="shared" si="112"/>
        <v>2025-08</v>
      </c>
      <c r="AK551" s="10" t="str">
        <f t="shared" si="113"/>
        <v>T3</v>
      </c>
      <c r="AL551" s="10" t="str">
        <f t="shared" si="114"/>
        <v>22-29</v>
      </c>
      <c r="AM551" s="10" t="str">
        <f t="shared" si="115"/>
        <v>faible</v>
      </c>
      <c r="AN551" s="10" t="s">
        <v>2837</v>
      </c>
      <c r="AO551" s="10" t="str">
        <f t="shared" si="116"/>
        <v>Faible</v>
      </c>
    </row>
    <row r="552" spans="1:41">
      <c r="A552" t="s">
        <v>1756</v>
      </c>
      <c r="B552" s="2">
        <v>45907</v>
      </c>
      <c r="C552" t="s">
        <v>1757</v>
      </c>
      <c r="D552" t="s">
        <v>340</v>
      </c>
      <c r="E552" t="s">
        <v>189</v>
      </c>
      <c r="F552" t="s">
        <v>439</v>
      </c>
      <c r="G552">
        <v>4</v>
      </c>
      <c r="H552" s="4">
        <v>22</v>
      </c>
      <c r="I552" s="3">
        <v>0.02</v>
      </c>
      <c r="J552" t="s">
        <v>90</v>
      </c>
      <c r="K552" t="s">
        <v>46</v>
      </c>
      <c r="L552" t="s">
        <v>1758</v>
      </c>
      <c r="M552" t="s">
        <v>123</v>
      </c>
      <c r="N552" t="s">
        <v>49</v>
      </c>
      <c r="O552" t="s">
        <v>342</v>
      </c>
      <c r="P552" t="s">
        <v>103</v>
      </c>
      <c r="Q552" t="s">
        <v>143</v>
      </c>
      <c r="R552" t="s">
        <v>193</v>
      </c>
      <c r="S552" t="s">
        <v>79</v>
      </c>
      <c r="T552" t="s">
        <v>441</v>
      </c>
      <c r="U552" s="5">
        <v>38</v>
      </c>
      <c r="V552" s="5" t="s">
        <v>85</v>
      </c>
      <c r="W552" s="5">
        <v>64</v>
      </c>
      <c r="X552" s="5">
        <v>7.5</v>
      </c>
      <c r="Y552" s="5">
        <v>3</v>
      </c>
      <c r="Z552" s="5" t="s">
        <v>71</v>
      </c>
      <c r="AA552" s="6">
        <v>14.96</v>
      </c>
      <c r="AB552" s="8">
        <f t="shared" si="104"/>
        <v>88</v>
      </c>
      <c r="AC552" s="8">
        <f t="shared" si="105"/>
        <v>1.76</v>
      </c>
      <c r="AD552" s="8">
        <f t="shared" si="106"/>
        <v>86.24</v>
      </c>
      <c r="AE552" s="8">
        <f t="shared" si="107"/>
        <v>59.84</v>
      </c>
      <c r="AF552" s="8">
        <f t="shared" si="108"/>
        <v>26.399999999999991</v>
      </c>
      <c r="AG552" s="9">
        <f t="shared" si="109"/>
        <v>0.30612244897959173</v>
      </c>
      <c r="AH552" s="10">
        <f t="shared" si="110"/>
        <v>2025</v>
      </c>
      <c r="AI552" s="10">
        <f t="shared" si="111"/>
        <v>9</v>
      </c>
      <c r="AJ552" s="10" t="str">
        <f t="shared" si="112"/>
        <v>2025-09</v>
      </c>
      <c r="AK552" s="10" t="str">
        <f t="shared" si="113"/>
        <v>T3</v>
      </c>
      <c r="AL552" s="10" t="str">
        <f t="shared" si="114"/>
        <v>30-39</v>
      </c>
      <c r="AM552" s="10" t="str">
        <f t="shared" si="115"/>
        <v>bon</v>
      </c>
      <c r="AN552" s="10" t="s">
        <v>2838</v>
      </c>
      <c r="AO552" s="10" t="str">
        <f t="shared" si="116"/>
        <v>Faible</v>
      </c>
    </row>
    <row r="553" spans="1:41">
      <c r="A553" t="s">
        <v>1759</v>
      </c>
      <c r="B553" s="2">
        <v>45845</v>
      </c>
      <c r="C553" t="s">
        <v>1760</v>
      </c>
      <c r="D553" t="s">
        <v>340</v>
      </c>
      <c r="E553" t="s">
        <v>214</v>
      </c>
      <c r="F553" t="s">
        <v>208</v>
      </c>
      <c r="G553">
        <v>2</v>
      </c>
      <c r="H553" s="4">
        <v>22</v>
      </c>
      <c r="I553" s="3">
        <v>0</v>
      </c>
      <c r="J553" t="s">
        <v>45</v>
      </c>
      <c r="K553" t="s">
        <v>46</v>
      </c>
      <c r="L553" t="s">
        <v>1761</v>
      </c>
      <c r="M553" t="s">
        <v>79</v>
      </c>
      <c r="N553" t="s">
        <v>49</v>
      </c>
      <c r="O553" t="s">
        <v>342</v>
      </c>
      <c r="P553" t="s">
        <v>103</v>
      </c>
      <c r="Q553" t="s">
        <v>143</v>
      </c>
      <c r="R553" t="s">
        <v>216</v>
      </c>
      <c r="S553" t="s">
        <v>65</v>
      </c>
      <c r="T553" t="s">
        <v>211</v>
      </c>
      <c r="U553" s="5">
        <v>42</v>
      </c>
      <c r="V553" s="5" t="s">
        <v>56</v>
      </c>
      <c r="W553" s="5">
        <v>47</v>
      </c>
      <c r="X553" s="5">
        <v>2.9</v>
      </c>
      <c r="Y553" s="5">
        <v>9</v>
      </c>
      <c r="Z553" s="5" t="s">
        <v>94</v>
      </c>
      <c r="AA553" s="6">
        <v>14.96</v>
      </c>
      <c r="AB553" s="8">
        <f t="shared" si="104"/>
        <v>44</v>
      </c>
      <c r="AC553" s="8">
        <f t="shared" si="105"/>
        <v>0</v>
      </c>
      <c r="AD553" s="8">
        <f t="shared" si="106"/>
        <v>44</v>
      </c>
      <c r="AE553" s="8">
        <f t="shared" si="107"/>
        <v>29.92</v>
      </c>
      <c r="AF553" s="8">
        <f t="shared" si="108"/>
        <v>14.079999999999998</v>
      </c>
      <c r="AG553" s="9">
        <f t="shared" si="109"/>
        <v>0.31999999999999995</v>
      </c>
      <c r="AH553" s="10">
        <f t="shared" si="110"/>
        <v>2025</v>
      </c>
      <c r="AI553" s="10">
        <f t="shared" si="111"/>
        <v>7</v>
      </c>
      <c r="AJ553" s="10" t="str">
        <f t="shared" si="112"/>
        <v>2025-07</v>
      </c>
      <c r="AK553" s="10" t="str">
        <f t="shared" si="113"/>
        <v>T3</v>
      </c>
      <c r="AL553" s="10" t="str">
        <f t="shared" si="114"/>
        <v>40-49</v>
      </c>
      <c r="AM553" s="10" t="str">
        <f t="shared" si="115"/>
        <v>faible</v>
      </c>
      <c r="AN553" s="10" t="s">
        <v>2837</v>
      </c>
      <c r="AO553" s="10" t="str">
        <f t="shared" si="116"/>
        <v>Faible</v>
      </c>
    </row>
    <row r="554" spans="1:41">
      <c r="A554" t="s">
        <v>1762</v>
      </c>
      <c r="B554" s="2">
        <v>46022</v>
      </c>
      <c r="C554" t="s">
        <v>1763</v>
      </c>
      <c r="D554" t="s">
        <v>97</v>
      </c>
      <c r="E554" t="s">
        <v>345</v>
      </c>
      <c r="F554" t="s">
        <v>130</v>
      </c>
      <c r="G554">
        <v>2</v>
      </c>
      <c r="H554" s="4">
        <v>520</v>
      </c>
      <c r="I554" s="3">
        <v>0.1</v>
      </c>
      <c r="J554" t="s">
        <v>77</v>
      </c>
      <c r="K554" t="s">
        <v>46</v>
      </c>
      <c r="L554" t="s">
        <v>1764</v>
      </c>
      <c r="M554" t="s">
        <v>123</v>
      </c>
      <c r="N554" t="s">
        <v>49</v>
      </c>
      <c r="O554" t="s">
        <v>102</v>
      </c>
      <c r="P554" t="s">
        <v>103</v>
      </c>
      <c r="Q554" t="s">
        <v>52</v>
      </c>
      <c r="R554" t="s">
        <v>347</v>
      </c>
      <c r="S554" t="s">
        <v>54</v>
      </c>
      <c r="T554" t="s">
        <v>135</v>
      </c>
      <c r="U554" s="5">
        <v>31</v>
      </c>
      <c r="V554" s="5" t="s">
        <v>85</v>
      </c>
      <c r="W554" s="5">
        <v>23</v>
      </c>
      <c r="X554" s="5">
        <v>8.6999999999999993</v>
      </c>
      <c r="Y554" s="5">
        <v>2</v>
      </c>
      <c r="Z554" s="5" t="s">
        <v>71</v>
      </c>
      <c r="AA554" s="6">
        <v>348.4</v>
      </c>
      <c r="AB554" s="8">
        <f t="shared" si="104"/>
        <v>1040</v>
      </c>
      <c r="AC554" s="8">
        <f t="shared" si="105"/>
        <v>104</v>
      </c>
      <c r="AD554" s="8">
        <f t="shared" si="106"/>
        <v>936</v>
      </c>
      <c r="AE554" s="8">
        <f t="shared" si="107"/>
        <v>696.8</v>
      </c>
      <c r="AF554" s="8">
        <f t="shared" si="108"/>
        <v>239.20000000000005</v>
      </c>
      <c r="AG554" s="9">
        <f t="shared" si="109"/>
        <v>0.25555555555555559</v>
      </c>
      <c r="AH554" s="10">
        <f t="shared" si="110"/>
        <v>2025</v>
      </c>
      <c r="AI554" s="10">
        <f t="shared" si="111"/>
        <v>12</v>
      </c>
      <c r="AJ554" s="10" t="str">
        <f t="shared" si="112"/>
        <v>2025-12</v>
      </c>
      <c r="AK554" s="10" t="str">
        <f t="shared" si="113"/>
        <v>T4</v>
      </c>
      <c r="AL554" s="10" t="str">
        <f t="shared" si="114"/>
        <v>30-39</v>
      </c>
      <c r="AM554" s="10" t="str">
        <f t="shared" si="115"/>
        <v>bon</v>
      </c>
      <c r="AN554" s="10" t="s">
        <v>2838</v>
      </c>
      <c r="AO554" s="10" t="str">
        <f t="shared" si="116"/>
        <v>Moyenne</v>
      </c>
    </row>
    <row r="555" spans="1:41">
      <c r="A555" t="s">
        <v>1765</v>
      </c>
      <c r="B555" s="2">
        <v>45861</v>
      </c>
      <c r="C555" t="s">
        <v>1766</v>
      </c>
      <c r="D555" t="s">
        <v>174</v>
      </c>
      <c r="E555" t="s">
        <v>207</v>
      </c>
      <c r="F555" t="s">
        <v>968</v>
      </c>
      <c r="G555">
        <v>5</v>
      </c>
      <c r="H555" s="4">
        <v>780</v>
      </c>
      <c r="I555" s="3">
        <v>0.05</v>
      </c>
      <c r="J555" t="s">
        <v>45</v>
      </c>
      <c r="K555" t="s">
        <v>46</v>
      </c>
      <c r="L555" t="s">
        <v>1767</v>
      </c>
      <c r="M555" t="s">
        <v>54</v>
      </c>
      <c r="N555" t="s">
        <v>101</v>
      </c>
      <c r="O555" t="s">
        <v>177</v>
      </c>
      <c r="P555" t="s">
        <v>103</v>
      </c>
      <c r="Q555" t="s">
        <v>114</v>
      </c>
      <c r="R555" t="s">
        <v>210</v>
      </c>
      <c r="S555" t="s">
        <v>79</v>
      </c>
      <c r="T555" t="s">
        <v>970</v>
      </c>
      <c r="U555" s="5">
        <v>27</v>
      </c>
      <c r="V555" s="5" t="s">
        <v>85</v>
      </c>
      <c r="W555" s="5">
        <v>9</v>
      </c>
      <c r="X555" s="5">
        <v>8.5</v>
      </c>
      <c r="Y555" s="5">
        <v>2</v>
      </c>
      <c r="Z555" s="5" t="s">
        <v>57</v>
      </c>
      <c r="AA555" s="6">
        <v>468</v>
      </c>
      <c r="AB555" s="8">
        <f t="shared" si="104"/>
        <v>3900</v>
      </c>
      <c r="AC555" s="8">
        <f t="shared" si="105"/>
        <v>195</v>
      </c>
      <c r="AD555" s="8">
        <f t="shared" si="106"/>
        <v>3705</v>
      </c>
      <c r="AE555" s="8">
        <f t="shared" si="107"/>
        <v>2340</v>
      </c>
      <c r="AF555" s="8">
        <f t="shared" si="108"/>
        <v>1365</v>
      </c>
      <c r="AG555" s="9">
        <f t="shared" si="109"/>
        <v>0.36842105263157893</v>
      </c>
      <c r="AH555" s="10">
        <f t="shared" si="110"/>
        <v>2025</v>
      </c>
      <c r="AI555" s="10">
        <f t="shared" si="111"/>
        <v>7</v>
      </c>
      <c r="AJ555" s="10" t="str">
        <f t="shared" si="112"/>
        <v>2025-07</v>
      </c>
      <c r="AK555" s="10" t="str">
        <f t="shared" si="113"/>
        <v>T3</v>
      </c>
      <c r="AL555" s="10" t="str">
        <f t="shared" si="114"/>
        <v>22-29</v>
      </c>
      <c r="AM555" s="10" t="str">
        <f t="shared" si="115"/>
        <v>bon</v>
      </c>
      <c r="AN555" s="10" t="s">
        <v>2838</v>
      </c>
      <c r="AO555" s="10" t="str">
        <f t="shared" si="116"/>
        <v>Elevée</v>
      </c>
    </row>
    <row r="556" spans="1:41">
      <c r="A556" t="s">
        <v>1768</v>
      </c>
      <c r="B556" s="2">
        <v>45839</v>
      </c>
      <c r="C556" t="s">
        <v>1769</v>
      </c>
      <c r="D556" t="s">
        <v>138</v>
      </c>
      <c r="E556" t="s">
        <v>88</v>
      </c>
      <c r="F556" t="s">
        <v>99</v>
      </c>
      <c r="G556">
        <v>3</v>
      </c>
      <c r="H556" s="4">
        <v>120</v>
      </c>
      <c r="I556" s="3">
        <v>0.1</v>
      </c>
      <c r="J556" t="s">
        <v>45</v>
      </c>
      <c r="K556" t="s">
        <v>46</v>
      </c>
      <c r="L556" t="s">
        <v>1770</v>
      </c>
      <c r="M556" t="s">
        <v>69</v>
      </c>
      <c r="N556" t="s">
        <v>112</v>
      </c>
      <c r="O556" t="s">
        <v>142</v>
      </c>
      <c r="P556" t="s">
        <v>51</v>
      </c>
      <c r="Q556" t="s">
        <v>143</v>
      </c>
      <c r="R556" t="s">
        <v>92</v>
      </c>
      <c r="S556" t="s">
        <v>48</v>
      </c>
      <c r="T556" t="s">
        <v>105</v>
      </c>
      <c r="U556" s="5">
        <v>23</v>
      </c>
      <c r="V556" s="5" t="s">
        <v>56</v>
      </c>
      <c r="W556" s="5">
        <v>72</v>
      </c>
      <c r="X556" s="5">
        <v>6.3</v>
      </c>
      <c r="Y556" s="5">
        <v>5</v>
      </c>
      <c r="Z556" s="5" t="s">
        <v>57</v>
      </c>
      <c r="AA556" s="6">
        <v>73.2</v>
      </c>
      <c r="AB556" s="8">
        <f t="shared" si="104"/>
        <v>360</v>
      </c>
      <c r="AC556" s="8">
        <f t="shared" si="105"/>
        <v>36</v>
      </c>
      <c r="AD556" s="8">
        <f t="shared" si="106"/>
        <v>324</v>
      </c>
      <c r="AE556" s="8">
        <f t="shared" si="107"/>
        <v>219.60000000000002</v>
      </c>
      <c r="AF556" s="8">
        <f t="shared" si="108"/>
        <v>104.39999999999998</v>
      </c>
      <c r="AG556" s="9">
        <f t="shared" si="109"/>
        <v>0.32222222222222213</v>
      </c>
      <c r="AH556" s="10">
        <f t="shared" si="110"/>
        <v>2025</v>
      </c>
      <c r="AI556" s="10">
        <f t="shared" si="111"/>
        <v>7</v>
      </c>
      <c r="AJ556" s="10" t="str">
        <f t="shared" si="112"/>
        <v>2025-07</v>
      </c>
      <c r="AK556" s="10" t="str">
        <f t="shared" si="113"/>
        <v>T3</v>
      </c>
      <c r="AL556" s="10" t="str">
        <f t="shared" si="114"/>
        <v>22-29</v>
      </c>
      <c r="AM556" s="10" t="str">
        <f t="shared" si="115"/>
        <v>moyen</v>
      </c>
      <c r="AN556" s="10" t="s">
        <v>2839</v>
      </c>
      <c r="AO556" s="10" t="str">
        <f t="shared" si="116"/>
        <v>Faible</v>
      </c>
    </row>
    <row r="557" spans="1:41">
      <c r="A557" t="s">
        <v>1771</v>
      </c>
      <c r="B557" s="2">
        <v>45934</v>
      </c>
      <c r="C557" t="s">
        <v>1772</v>
      </c>
      <c r="D557" t="s">
        <v>188</v>
      </c>
      <c r="E557" t="s">
        <v>61</v>
      </c>
      <c r="F557" t="s">
        <v>334</v>
      </c>
      <c r="G557">
        <v>1</v>
      </c>
      <c r="H557" s="4">
        <v>350</v>
      </c>
      <c r="I557" s="3">
        <v>0.05</v>
      </c>
      <c r="J557" t="s">
        <v>45</v>
      </c>
      <c r="K557" t="s">
        <v>46</v>
      </c>
      <c r="L557" t="s">
        <v>1773</v>
      </c>
      <c r="M557" t="s">
        <v>48</v>
      </c>
      <c r="N557" t="s">
        <v>49</v>
      </c>
      <c r="O557" t="s">
        <v>192</v>
      </c>
      <c r="P557" t="s">
        <v>51</v>
      </c>
      <c r="Q557" t="s">
        <v>114</v>
      </c>
      <c r="R557" t="s">
        <v>68</v>
      </c>
      <c r="S557" t="s">
        <v>69</v>
      </c>
      <c r="T557" t="s">
        <v>337</v>
      </c>
      <c r="U557" s="5">
        <v>24</v>
      </c>
      <c r="V557" s="5" t="s">
        <v>85</v>
      </c>
      <c r="W557" s="5">
        <v>23</v>
      </c>
      <c r="X557" s="5">
        <v>3.9</v>
      </c>
      <c r="Y557" s="5">
        <v>8</v>
      </c>
      <c r="Z557" s="5" t="s">
        <v>117</v>
      </c>
      <c r="AA557" s="6">
        <v>213.5</v>
      </c>
      <c r="AB557" s="8">
        <f t="shared" si="104"/>
        <v>350</v>
      </c>
      <c r="AC557" s="8">
        <f t="shared" si="105"/>
        <v>17.5</v>
      </c>
      <c r="AD557" s="8">
        <f t="shared" si="106"/>
        <v>332.5</v>
      </c>
      <c r="AE557" s="8">
        <f t="shared" si="107"/>
        <v>213.5</v>
      </c>
      <c r="AF557" s="8">
        <f t="shared" si="108"/>
        <v>119</v>
      </c>
      <c r="AG557" s="9">
        <f t="shared" si="109"/>
        <v>0.35789473684210527</v>
      </c>
      <c r="AH557" s="10">
        <f t="shared" si="110"/>
        <v>2025</v>
      </c>
      <c r="AI557" s="10">
        <f t="shared" si="111"/>
        <v>10</v>
      </c>
      <c r="AJ557" s="10" t="str">
        <f t="shared" si="112"/>
        <v>2025-10</v>
      </c>
      <c r="AK557" s="10" t="str">
        <f t="shared" si="113"/>
        <v>T4</v>
      </c>
      <c r="AL557" s="10" t="str">
        <f t="shared" si="114"/>
        <v>22-29</v>
      </c>
      <c r="AM557" s="10" t="str">
        <f t="shared" si="115"/>
        <v>faible</v>
      </c>
      <c r="AN557" s="10" t="s">
        <v>2837</v>
      </c>
      <c r="AO557" s="10" t="str">
        <f t="shared" si="116"/>
        <v>Faible</v>
      </c>
    </row>
    <row r="558" spans="1:41">
      <c r="A558" t="s">
        <v>1774</v>
      </c>
      <c r="B558" s="2">
        <v>45735</v>
      </c>
      <c r="C558" t="s">
        <v>1775</v>
      </c>
      <c r="D558" t="s">
        <v>128</v>
      </c>
      <c r="E558" t="s">
        <v>163</v>
      </c>
      <c r="F558" t="s">
        <v>149</v>
      </c>
      <c r="G558">
        <v>3</v>
      </c>
      <c r="H558" s="4">
        <v>190</v>
      </c>
      <c r="I558" s="3">
        <v>0.05</v>
      </c>
      <c r="J558" t="s">
        <v>63</v>
      </c>
      <c r="K558" t="s">
        <v>46</v>
      </c>
      <c r="L558" t="s">
        <v>1776</v>
      </c>
      <c r="M558" t="s">
        <v>65</v>
      </c>
      <c r="N558" t="s">
        <v>255</v>
      </c>
      <c r="O558" t="s">
        <v>132</v>
      </c>
      <c r="P558" t="s">
        <v>133</v>
      </c>
      <c r="Q558" t="s">
        <v>52</v>
      </c>
      <c r="R558" t="s">
        <v>167</v>
      </c>
      <c r="S558" t="s">
        <v>123</v>
      </c>
      <c r="T558" t="s">
        <v>152</v>
      </c>
      <c r="U558" s="5">
        <v>53</v>
      </c>
      <c r="V558" s="5" t="s">
        <v>56</v>
      </c>
      <c r="W558" s="5">
        <v>37</v>
      </c>
      <c r="X558" s="5">
        <v>8.8000000000000007</v>
      </c>
      <c r="Y558" s="5">
        <v>1</v>
      </c>
      <c r="Z558" s="5" t="s">
        <v>94</v>
      </c>
      <c r="AA558" s="6">
        <v>148.19999999999999</v>
      </c>
      <c r="AB558" s="8">
        <f t="shared" si="104"/>
        <v>570</v>
      </c>
      <c r="AC558" s="8">
        <f t="shared" si="105"/>
        <v>28.5</v>
      </c>
      <c r="AD558" s="8">
        <f t="shared" si="106"/>
        <v>541.5</v>
      </c>
      <c r="AE558" s="8">
        <f t="shared" si="107"/>
        <v>444.59999999999997</v>
      </c>
      <c r="AF558" s="8">
        <f t="shared" si="108"/>
        <v>96.900000000000034</v>
      </c>
      <c r="AG558" s="9">
        <f t="shared" si="109"/>
        <v>0.17894736842105269</v>
      </c>
      <c r="AH558" s="10">
        <f t="shared" si="110"/>
        <v>2025</v>
      </c>
      <c r="AI558" s="10">
        <f t="shared" si="111"/>
        <v>3</v>
      </c>
      <c r="AJ558" s="10" t="str">
        <f t="shared" si="112"/>
        <v>2025-03</v>
      </c>
      <c r="AK558" s="10" t="str">
        <f t="shared" si="113"/>
        <v>T1</v>
      </c>
      <c r="AL558" s="10" t="str">
        <f t="shared" si="114"/>
        <v>50+</v>
      </c>
      <c r="AM558" s="10" t="str">
        <f t="shared" si="115"/>
        <v>bon</v>
      </c>
      <c r="AN558" s="10" t="s">
        <v>2838</v>
      </c>
      <c r="AO558" s="10" t="str">
        <f t="shared" si="116"/>
        <v>Moyenne</v>
      </c>
    </row>
    <row r="559" spans="1:41">
      <c r="A559" t="s">
        <v>1777</v>
      </c>
      <c r="B559" s="2">
        <v>45857</v>
      </c>
      <c r="C559" t="s">
        <v>1778</v>
      </c>
      <c r="D559" t="s">
        <v>188</v>
      </c>
      <c r="E559" t="s">
        <v>226</v>
      </c>
      <c r="F559" t="s">
        <v>350</v>
      </c>
      <c r="G559">
        <v>6</v>
      </c>
      <c r="H559" s="4">
        <v>350</v>
      </c>
      <c r="I559" s="3">
        <v>0.02</v>
      </c>
      <c r="J559" t="s">
        <v>63</v>
      </c>
      <c r="K559" t="s">
        <v>46</v>
      </c>
      <c r="L559" t="s">
        <v>1779</v>
      </c>
      <c r="M559" t="s">
        <v>65</v>
      </c>
      <c r="N559" t="s">
        <v>49</v>
      </c>
      <c r="O559" t="s">
        <v>192</v>
      </c>
      <c r="P559" t="s">
        <v>51</v>
      </c>
      <c r="Q559" t="s">
        <v>114</v>
      </c>
      <c r="R559" t="s">
        <v>229</v>
      </c>
      <c r="S559" t="s">
        <v>48</v>
      </c>
      <c r="T559" t="s">
        <v>352</v>
      </c>
      <c r="U559" s="5">
        <v>25</v>
      </c>
      <c r="V559" s="5" t="s">
        <v>85</v>
      </c>
      <c r="W559" s="5">
        <v>18</v>
      </c>
      <c r="X559" s="5">
        <v>6.6</v>
      </c>
      <c r="Y559" s="5">
        <v>3</v>
      </c>
      <c r="Z559" s="5" t="s">
        <v>57</v>
      </c>
      <c r="AA559" s="6">
        <v>213.5</v>
      </c>
      <c r="AB559" s="8">
        <f t="shared" si="104"/>
        <v>2100</v>
      </c>
      <c r="AC559" s="8">
        <f t="shared" si="105"/>
        <v>42</v>
      </c>
      <c r="AD559" s="8">
        <f t="shared" si="106"/>
        <v>2058</v>
      </c>
      <c r="AE559" s="8">
        <f t="shared" si="107"/>
        <v>1281</v>
      </c>
      <c r="AF559" s="8">
        <f t="shared" si="108"/>
        <v>777</v>
      </c>
      <c r="AG559" s="9">
        <f t="shared" si="109"/>
        <v>0.37755102040816324</v>
      </c>
      <c r="AH559" s="10">
        <f t="shared" si="110"/>
        <v>2025</v>
      </c>
      <c r="AI559" s="10">
        <f t="shared" si="111"/>
        <v>7</v>
      </c>
      <c r="AJ559" s="10" t="str">
        <f t="shared" si="112"/>
        <v>2025-07</v>
      </c>
      <c r="AK559" s="10" t="str">
        <f t="shared" si="113"/>
        <v>T3</v>
      </c>
      <c r="AL559" s="10" t="str">
        <f t="shared" si="114"/>
        <v>22-29</v>
      </c>
      <c r="AM559" s="10" t="str">
        <f t="shared" si="115"/>
        <v>moyen</v>
      </c>
      <c r="AN559" s="10" t="s">
        <v>2838</v>
      </c>
      <c r="AO559" s="10" t="str">
        <f t="shared" si="116"/>
        <v>Elevée</v>
      </c>
    </row>
    <row r="560" spans="1:41">
      <c r="A560" t="s">
        <v>1780</v>
      </c>
      <c r="B560" s="2">
        <v>45786</v>
      </c>
      <c r="C560" t="s">
        <v>1781</v>
      </c>
      <c r="D560" t="s">
        <v>74</v>
      </c>
      <c r="E560" t="s">
        <v>120</v>
      </c>
      <c r="F560" t="s">
        <v>282</v>
      </c>
      <c r="G560">
        <v>4</v>
      </c>
      <c r="H560" s="4">
        <v>95</v>
      </c>
      <c r="I560" s="3">
        <v>0.08</v>
      </c>
      <c r="J560" t="s">
        <v>77</v>
      </c>
      <c r="K560" t="s">
        <v>46</v>
      </c>
      <c r="L560" t="s">
        <v>1782</v>
      </c>
      <c r="M560" t="s">
        <v>48</v>
      </c>
      <c r="N560" t="s">
        <v>80</v>
      </c>
      <c r="O560" t="s">
        <v>81</v>
      </c>
      <c r="P560" t="s">
        <v>82</v>
      </c>
      <c r="Q560" t="s">
        <v>52</v>
      </c>
      <c r="R560" t="s">
        <v>124</v>
      </c>
      <c r="S560" t="s">
        <v>48</v>
      </c>
      <c r="T560" t="s">
        <v>284</v>
      </c>
      <c r="U560" s="5">
        <v>46</v>
      </c>
      <c r="V560" s="5" t="s">
        <v>56</v>
      </c>
      <c r="W560" s="5">
        <v>31</v>
      </c>
      <c r="X560" s="5">
        <v>3.4</v>
      </c>
      <c r="Y560" s="5">
        <v>9</v>
      </c>
      <c r="Z560" s="5" t="s">
        <v>57</v>
      </c>
      <c r="AA560" s="6">
        <v>70.3</v>
      </c>
      <c r="AB560" s="8">
        <f t="shared" si="104"/>
        <v>380</v>
      </c>
      <c r="AC560" s="8">
        <f t="shared" si="105"/>
        <v>30.400000000000002</v>
      </c>
      <c r="AD560" s="8">
        <f t="shared" si="106"/>
        <v>349.6</v>
      </c>
      <c r="AE560" s="8">
        <f t="shared" si="107"/>
        <v>281.2</v>
      </c>
      <c r="AF560" s="8">
        <f t="shared" si="108"/>
        <v>68.400000000000034</v>
      </c>
      <c r="AG560" s="9">
        <f t="shared" si="109"/>
        <v>0.19565217391304357</v>
      </c>
      <c r="AH560" s="10">
        <f t="shared" si="110"/>
        <v>2025</v>
      </c>
      <c r="AI560" s="10">
        <f t="shared" si="111"/>
        <v>5</v>
      </c>
      <c r="AJ560" s="10" t="str">
        <f t="shared" si="112"/>
        <v>2025-05</v>
      </c>
      <c r="AK560" s="10" t="str">
        <f t="shared" si="113"/>
        <v>T2</v>
      </c>
      <c r="AL560" s="10" t="str">
        <f t="shared" si="114"/>
        <v>40-49</v>
      </c>
      <c r="AM560" s="10" t="str">
        <f t="shared" si="115"/>
        <v>faible</v>
      </c>
      <c r="AN560" s="10" t="s">
        <v>2837</v>
      </c>
      <c r="AO560" s="10" t="str">
        <f t="shared" si="116"/>
        <v>Faible</v>
      </c>
    </row>
    <row r="561" spans="1:41">
      <c r="A561" t="s">
        <v>1783</v>
      </c>
      <c r="B561" s="2">
        <v>45731</v>
      </c>
      <c r="C561" t="s">
        <v>1784</v>
      </c>
      <c r="D561" t="s">
        <v>188</v>
      </c>
      <c r="E561" t="s">
        <v>129</v>
      </c>
      <c r="F561" t="s">
        <v>248</v>
      </c>
      <c r="G561">
        <v>2</v>
      </c>
      <c r="H561" s="4">
        <v>350</v>
      </c>
      <c r="I561" s="3">
        <v>0</v>
      </c>
      <c r="J561" t="s">
        <v>45</v>
      </c>
      <c r="K561" t="s">
        <v>46</v>
      </c>
      <c r="L561" t="s">
        <v>1785</v>
      </c>
      <c r="M561" t="s">
        <v>123</v>
      </c>
      <c r="N561" t="s">
        <v>255</v>
      </c>
      <c r="O561" t="s">
        <v>192</v>
      </c>
      <c r="P561" t="s">
        <v>51</v>
      </c>
      <c r="Q561" t="s">
        <v>114</v>
      </c>
      <c r="R561" t="s">
        <v>134</v>
      </c>
      <c r="S561" t="s">
        <v>123</v>
      </c>
      <c r="T561" t="s">
        <v>250</v>
      </c>
      <c r="U561" s="5">
        <v>35</v>
      </c>
      <c r="V561" s="5" t="s">
        <v>56</v>
      </c>
      <c r="W561" s="5">
        <v>53</v>
      </c>
      <c r="X561" s="5">
        <v>7.4</v>
      </c>
      <c r="Y561" s="5">
        <v>2</v>
      </c>
      <c r="Z561" s="5" t="s">
        <v>94</v>
      </c>
      <c r="AA561" s="6">
        <v>213.5</v>
      </c>
      <c r="AB561" s="8">
        <f t="shared" si="104"/>
        <v>700</v>
      </c>
      <c r="AC561" s="8">
        <f t="shared" si="105"/>
        <v>0</v>
      </c>
      <c r="AD561" s="8">
        <f t="shared" si="106"/>
        <v>700</v>
      </c>
      <c r="AE561" s="8">
        <f t="shared" si="107"/>
        <v>427</v>
      </c>
      <c r="AF561" s="8">
        <f t="shared" si="108"/>
        <v>273</v>
      </c>
      <c r="AG561" s="9">
        <f t="shared" si="109"/>
        <v>0.39</v>
      </c>
      <c r="AH561" s="10">
        <f t="shared" si="110"/>
        <v>2025</v>
      </c>
      <c r="AI561" s="10">
        <f t="shared" si="111"/>
        <v>3</v>
      </c>
      <c r="AJ561" s="10" t="str">
        <f t="shared" si="112"/>
        <v>2025-03</v>
      </c>
      <c r="AK561" s="10" t="str">
        <f t="shared" si="113"/>
        <v>T1</v>
      </c>
      <c r="AL561" s="10" t="str">
        <f t="shared" si="114"/>
        <v>30-39</v>
      </c>
      <c r="AM561" s="10" t="str">
        <f t="shared" si="115"/>
        <v>bon</v>
      </c>
      <c r="AN561" s="10" t="s">
        <v>2838</v>
      </c>
      <c r="AO561" s="10" t="str">
        <f t="shared" si="116"/>
        <v>Moyenne</v>
      </c>
    </row>
    <row r="562" spans="1:41">
      <c r="A562" t="s">
        <v>1786</v>
      </c>
      <c r="B562" s="2">
        <v>45757</v>
      </c>
      <c r="C562" t="s">
        <v>1787</v>
      </c>
      <c r="D562" t="s">
        <v>333</v>
      </c>
      <c r="E562" t="s">
        <v>226</v>
      </c>
      <c r="F562" t="s">
        <v>89</v>
      </c>
      <c r="G562">
        <v>1</v>
      </c>
      <c r="H562" s="4">
        <v>65</v>
      </c>
      <c r="I562" s="3">
        <v>0</v>
      </c>
      <c r="J562" t="s">
        <v>90</v>
      </c>
      <c r="K562" t="s">
        <v>46</v>
      </c>
      <c r="L562" t="s">
        <v>1788</v>
      </c>
      <c r="M562" t="s">
        <v>48</v>
      </c>
      <c r="N562" t="s">
        <v>49</v>
      </c>
      <c r="O562" t="s">
        <v>336</v>
      </c>
      <c r="P562" t="s">
        <v>51</v>
      </c>
      <c r="Q562" t="s">
        <v>52</v>
      </c>
      <c r="R562" t="s">
        <v>229</v>
      </c>
      <c r="S562" t="s">
        <v>48</v>
      </c>
      <c r="T562" t="s">
        <v>93</v>
      </c>
      <c r="U562" s="5">
        <v>35</v>
      </c>
      <c r="V562" s="5" t="s">
        <v>85</v>
      </c>
      <c r="W562" s="5">
        <v>36</v>
      </c>
      <c r="X562" s="5">
        <v>7.5</v>
      </c>
      <c r="Y562" s="5">
        <v>3</v>
      </c>
      <c r="Z562" s="5" t="s">
        <v>57</v>
      </c>
      <c r="AA562" s="6">
        <v>47.45</v>
      </c>
      <c r="AB562" s="8">
        <f t="shared" si="104"/>
        <v>65</v>
      </c>
      <c r="AC562" s="8">
        <f t="shared" si="105"/>
        <v>0</v>
      </c>
      <c r="AD562" s="8">
        <f t="shared" si="106"/>
        <v>65</v>
      </c>
      <c r="AE562" s="8">
        <f t="shared" si="107"/>
        <v>47.45</v>
      </c>
      <c r="AF562" s="8">
        <f t="shared" si="108"/>
        <v>17.549999999999997</v>
      </c>
      <c r="AG562" s="9">
        <f t="shared" si="109"/>
        <v>0.26999999999999996</v>
      </c>
      <c r="AH562" s="10">
        <f t="shared" si="110"/>
        <v>2025</v>
      </c>
      <c r="AI562" s="10">
        <f t="shared" si="111"/>
        <v>4</v>
      </c>
      <c r="AJ562" s="10" t="str">
        <f t="shared" si="112"/>
        <v>2025-04</v>
      </c>
      <c r="AK562" s="10" t="str">
        <f t="shared" si="113"/>
        <v>T2</v>
      </c>
      <c r="AL562" s="10" t="str">
        <f t="shared" si="114"/>
        <v>30-39</v>
      </c>
      <c r="AM562" s="10" t="str">
        <f t="shared" si="115"/>
        <v>bon</v>
      </c>
      <c r="AN562" s="10" t="s">
        <v>2838</v>
      </c>
      <c r="AO562" s="10" t="str">
        <f t="shared" si="116"/>
        <v>Faible</v>
      </c>
    </row>
    <row r="563" spans="1:41">
      <c r="A563" t="s">
        <v>1789</v>
      </c>
      <c r="B563" s="2">
        <v>45957</v>
      </c>
      <c r="C563" t="s">
        <v>1084</v>
      </c>
      <c r="D563" t="s">
        <v>42</v>
      </c>
      <c r="E563" t="s">
        <v>226</v>
      </c>
      <c r="F563" t="s">
        <v>388</v>
      </c>
      <c r="G563">
        <v>10</v>
      </c>
      <c r="H563" s="4">
        <v>260</v>
      </c>
      <c r="I563" s="3">
        <v>0</v>
      </c>
      <c r="J563" t="s">
        <v>45</v>
      </c>
      <c r="K563" t="s">
        <v>46</v>
      </c>
      <c r="L563" t="s">
        <v>1085</v>
      </c>
      <c r="M563" t="s">
        <v>65</v>
      </c>
      <c r="N563" t="s">
        <v>101</v>
      </c>
      <c r="O563" t="s">
        <v>50</v>
      </c>
      <c r="P563" t="s">
        <v>51</v>
      </c>
      <c r="Q563" t="s">
        <v>52</v>
      </c>
      <c r="R563" t="s">
        <v>229</v>
      </c>
      <c r="S563" t="s">
        <v>48</v>
      </c>
      <c r="T563" t="s">
        <v>390</v>
      </c>
      <c r="U563" s="5">
        <v>42</v>
      </c>
      <c r="V563" s="5" t="s">
        <v>85</v>
      </c>
      <c r="W563" s="5">
        <v>7</v>
      </c>
      <c r="X563" s="5">
        <v>5.3</v>
      </c>
      <c r="Y563" s="5">
        <v>6</v>
      </c>
      <c r="Z563" s="5" t="s">
        <v>117</v>
      </c>
      <c r="AA563" s="6">
        <v>189.8</v>
      </c>
      <c r="AB563" s="8">
        <f t="shared" si="104"/>
        <v>2600</v>
      </c>
      <c r="AC563" s="8">
        <f t="shared" si="105"/>
        <v>0</v>
      </c>
      <c r="AD563" s="8">
        <f t="shared" si="106"/>
        <v>2600</v>
      </c>
      <c r="AE563" s="8">
        <f t="shared" si="107"/>
        <v>1898</v>
      </c>
      <c r="AF563" s="8">
        <f t="shared" si="108"/>
        <v>702</v>
      </c>
      <c r="AG563" s="9">
        <f t="shared" si="109"/>
        <v>0.27</v>
      </c>
      <c r="AH563" s="10">
        <f t="shared" si="110"/>
        <v>2025</v>
      </c>
      <c r="AI563" s="10">
        <f t="shared" si="111"/>
        <v>10</v>
      </c>
      <c r="AJ563" s="10" t="str">
        <f t="shared" si="112"/>
        <v>2025-10</v>
      </c>
      <c r="AK563" s="10" t="str">
        <f t="shared" si="113"/>
        <v>T4</v>
      </c>
      <c r="AL563" s="10" t="str">
        <f t="shared" si="114"/>
        <v>40-49</v>
      </c>
      <c r="AM563" s="10" t="str">
        <f t="shared" si="115"/>
        <v>moyen</v>
      </c>
      <c r="AN563" s="10" t="s">
        <v>2839</v>
      </c>
      <c r="AO563" s="10" t="str">
        <f t="shared" si="116"/>
        <v>Elevée</v>
      </c>
    </row>
    <row r="564" spans="1:41">
      <c r="A564" t="s">
        <v>1790</v>
      </c>
      <c r="B564" s="2">
        <v>45718</v>
      </c>
      <c r="C564" t="s">
        <v>1791</v>
      </c>
      <c r="D564" t="s">
        <v>108</v>
      </c>
      <c r="E564" t="s">
        <v>120</v>
      </c>
      <c r="F564" t="s">
        <v>243</v>
      </c>
      <c r="G564">
        <v>3</v>
      </c>
      <c r="H564" s="4">
        <v>240</v>
      </c>
      <c r="I564" s="3">
        <v>0.05</v>
      </c>
      <c r="J564" t="s">
        <v>90</v>
      </c>
      <c r="K564" t="s">
        <v>46</v>
      </c>
      <c r="L564" t="s">
        <v>1792</v>
      </c>
      <c r="M564" t="s">
        <v>69</v>
      </c>
      <c r="N564" t="s">
        <v>112</v>
      </c>
      <c r="O564" t="s">
        <v>113</v>
      </c>
      <c r="P564" t="s">
        <v>82</v>
      </c>
      <c r="Q564" t="s">
        <v>114</v>
      </c>
      <c r="R564" t="s">
        <v>124</v>
      </c>
      <c r="S564" t="s">
        <v>48</v>
      </c>
      <c r="T564" t="s">
        <v>245</v>
      </c>
      <c r="U564" s="5">
        <v>49</v>
      </c>
      <c r="V564" s="5" t="s">
        <v>85</v>
      </c>
      <c r="W564" s="5">
        <v>56</v>
      </c>
      <c r="X564" s="5">
        <v>6.8</v>
      </c>
      <c r="Y564" s="5">
        <v>3</v>
      </c>
      <c r="Z564" s="5" t="s">
        <v>117</v>
      </c>
      <c r="AA564" s="6">
        <v>177.6</v>
      </c>
      <c r="AB564" s="8">
        <f t="shared" si="104"/>
        <v>720</v>
      </c>
      <c r="AC564" s="8">
        <f t="shared" si="105"/>
        <v>36</v>
      </c>
      <c r="AD564" s="8">
        <f t="shared" si="106"/>
        <v>684</v>
      </c>
      <c r="AE564" s="8">
        <f t="shared" si="107"/>
        <v>532.79999999999995</v>
      </c>
      <c r="AF564" s="8">
        <f t="shared" si="108"/>
        <v>151.20000000000005</v>
      </c>
      <c r="AG564" s="9">
        <f t="shared" si="109"/>
        <v>0.22105263157894744</v>
      </c>
      <c r="AH564" s="10">
        <f t="shared" si="110"/>
        <v>2025</v>
      </c>
      <c r="AI564" s="10">
        <f t="shared" si="111"/>
        <v>3</v>
      </c>
      <c r="AJ564" s="10" t="str">
        <f t="shared" si="112"/>
        <v>2025-03</v>
      </c>
      <c r="AK564" s="10" t="str">
        <f t="shared" si="113"/>
        <v>T1</v>
      </c>
      <c r="AL564" s="10" t="str">
        <f t="shared" si="114"/>
        <v>40-49</v>
      </c>
      <c r="AM564" s="10" t="str">
        <f t="shared" si="115"/>
        <v>moyen</v>
      </c>
      <c r="AN564" s="10" t="s">
        <v>2838</v>
      </c>
      <c r="AO564" s="10" t="str">
        <f t="shared" si="116"/>
        <v>Moyenne</v>
      </c>
    </row>
    <row r="565" spans="1:41">
      <c r="A565" t="s">
        <v>1793</v>
      </c>
      <c r="B565" s="2">
        <v>45721</v>
      </c>
      <c r="C565" t="s">
        <v>1794</v>
      </c>
      <c r="D565" t="s">
        <v>162</v>
      </c>
      <c r="E565" t="s">
        <v>139</v>
      </c>
      <c r="F565" t="s">
        <v>220</v>
      </c>
      <c r="G565">
        <v>3</v>
      </c>
      <c r="H565" s="4">
        <v>35</v>
      </c>
      <c r="I565" s="3">
        <v>0.05</v>
      </c>
      <c r="J565" t="s">
        <v>63</v>
      </c>
      <c r="K565" t="s">
        <v>46</v>
      </c>
      <c r="L565" t="s">
        <v>1795</v>
      </c>
      <c r="M565" t="s">
        <v>79</v>
      </c>
      <c r="N565" t="s">
        <v>101</v>
      </c>
      <c r="O565" t="s">
        <v>166</v>
      </c>
      <c r="P565" t="s">
        <v>103</v>
      </c>
      <c r="Q565" t="s">
        <v>143</v>
      </c>
      <c r="R565" t="s">
        <v>144</v>
      </c>
      <c r="S565" t="s">
        <v>65</v>
      </c>
      <c r="T565" t="s">
        <v>223</v>
      </c>
      <c r="U565" s="5">
        <v>43</v>
      </c>
      <c r="V565" s="5" t="s">
        <v>85</v>
      </c>
      <c r="W565" s="5">
        <v>59</v>
      </c>
      <c r="X565" s="5">
        <v>3.4</v>
      </c>
      <c r="Y565" s="5">
        <v>9</v>
      </c>
      <c r="Z565" s="5" t="s">
        <v>57</v>
      </c>
      <c r="AA565" s="6">
        <v>24.15</v>
      </c>
      <c r="AB565" s="8">
        <f t="shared" si="104"/>
        <v>105</v>
      </c>
      <c r="AC565" s="8">
        <f t="shared" si="105"/>
        <v>5.25</v>
      </c>
      <c r="AD565" s="8">
        <f t="shared" si="106"/>
        <v>99.75</v>
      </c>
      <c r="AE565" s="8">
        <f t="shared" si="107"/>
        <v>72.449999999999989</v>
      </c>
      <c r="AF565" s="8">
        <f t="shared" si="108"/>
        <v>27.300000000000011</v>
      </c>
      <c r="AG565" s="9">
        <f t="shared" si="109"/>
        <v>0.27368421052631592</v>
      </c>
      <c r="AH565" s="10">
        <f t="shared" si="110"/>
        <v>2025</v>
      </c>
      <c r="AI565" s="10">
        <f t="shared" si="111"/>
        <v>3</v>
      </c>
      <c r="AJ565" s="10" t="str">
        <f t="shared" si="112"/>
        <v>2025-03</v>
      </c>
      <c r="AK565" s="10" t="str">
        <f t="shared" si="113"/>
        <v>T1</v>
      </c>
      <c r="AL565" s="10" t="str">
        <f t="shared" si="114"/>
        <v>40-49</v>
      </c>
      <c r="AM565" s="10" t="str">
        <f t="shared" si="115"/>
        <v>faible</v>
      </c>
      <c r="AN565" s="10" t="s">
        <v>2837</v>
      </c>
      <c r="AO565" s="10" t="str">
        <f t="shared" si="116"/>
        <v>Faible</v>
      </c>
    </row>
    <row r="566" spans="1:41">
      <c r="A566" t="s">
        <v>1796</v>
      </c>
      <c r="B566" s="2">
        <v>45788</v>
      </c>
      <c r="C566" t="s">
        <v>1797</v>
      </c>
      <c r="D566" t="s">
        <v>340</v>
      </c>
      <c r="E566" t="s">
        <v>219</v>
      </c>
      <c r="F566" t="s">
        <v>310</v>
      </c>
      <c r="G566">
        <v>1</v>
      </c>
      <c r="H566" s="4">
        <v>22</v>
      </c>
      <c r="I566" s="3">
        <v>0.02</v>
      </c>
      <c r="J566" t="s">
        <v>63</v>
      </c>
      <c r="K566" t="s">
        <v>46</v>
      </c>
      <c r="L566" t="s">
        <v>1798</v>
      </c>
      <c r="M566" t="s">
        <v>54</v>
      </c>
      <c r="N566" t="s">
        <v>80</v>
      </c>
      <c r="O566" t="s">
        <v>342</v>
      </c>
      <c r="P566" t="s">
        <v>103</v>
      </c>
      <c r="Q566" t="s">
        <v>143</v>
      </c>
      <c r="R566" t="s">
        <v>222</v>
      </c>
      <c r="S566" t="s">
        <v>123</v>
      </c>
      <c r="T566" t="s">
        <v>312</v>
      </c>
      <c r="U566" s="5">
        <v>32</v>
      </c>
      <c r="V566" s="5" t="s">
        <v>56</v>
      </c>
      <c r="W566" s="5">
        <v>35</v>
      </c>
      <c r="X566" s="5">
        <v>8.1</v>
      </c>
      <c r="Y566" s="5">
        <v>3</v>
      </c>
      <c r="Z566" s="5" t="s">
        <v>71</v>
      </c>
      <c r="AA566" s="6">
        <v>14.96</v>
      </c>
      <c r="AB566" s="8">
        <f t="shared" si="104"/>
        <v>22</v>
      </c>
      <c r="AC566" s="8">
        <f t="shared" si="105"/>
        <v>0.44</v>
      </c>
      <c r="AD566" s="8">
        <f t="shared" si="106"/>
        <v>21.56</v>
      </c>
      <c r="AE566" s="8">
        <f t="shared" si="107"/>
        <v>14.96</v>
      </c>
      <c r="AF566" s="8">
        <f t="shared" si="108"/>
        <v>6.5999999999999979</v>
      </c>
      <c r="AG566" s="9">
        <f t="shared" si="109"/>
        <v>0.30612244897959173</v>
      </c>
      <c r="AH566" s="10">
        <f t="shared" si="110"/>
        <v>2025</v>
      </c>
      <c r="AI566" s="10">
        <f t="shared" si="111"/>
        <v>5</v>
      </c>
      <c r="AJ566" s="10" t="str">
        <f t="shared" si="112"/>
        <v>2025-05</v>
      </c>
      <c r="AK566" s="10" t="str">
        <f t="shared" si="113"/>
        <v>T2</v>
      </c>
      <c r="AL566" s="10" t="str">
        <f t="shared" si="114"/>
        <v>30-39</v>
      </c>
      <c r="AM566" s="10" t="str">
        <f t="shared" si="115"/>
        <v>bon</v>
      </c>
      <c r="AN566" s="10" t="s">
        <v>2838</v>
      </c>
      <c r="AO566" s="10" t="str">
        <f t="shared" si="116"/>
        <v>Faible</v>
      </c>
    </row>
    <row r="567" spans="1:41">
      <c r="A567" t="s">
        <v>1799</v>
      </c>
      <c r="B567" s="2">
        <v>45710</v>
      </c>
      <c r="C567" t="s">
        <v>1800</v>
      </c>
      <c r="D567" t="s">
        <v>74</v>
      </c>
      <c r="E567" t="s">
        <v>163</v>
      </c>
      <c r="F567" t="s">
        <v>297</v>
      </c>
      <c r="G567">
        <v>1</v>
      </c>
      <c r="H567" s="4">
        <v>95</v>
      </c>
      <c r="I567" s="3">
        <v>0.08</v>
      </c>
      <c r="J567" t="s">
        <v>77</v>
      </c>
      <c r="K567" t="s">
        <v>46</v>
      </c>
      <c r="L567" t="s">
        <v>1801</v>
      </c>
      <c r="M567" t="s">
        <v>123</v>
      </c>
      <c r="N567" t="s">
        <v>49</v>
      </c>
      <c r="O567" t="s">
        <v>81</v>
      </c>
      <c r="P567" t="s">
        <v>82</v>
      </c>
      <c r="Q567" t="s">
        <v>52</v>
      </c>
      <c r="R567" t="s">
        <v>167</v>
      </c>
      <c r="S567" t="s">
        <v>123</v>
      </c>
      <c r="T567" t="s">
        <v>299</v>
      </c>
      <c r="U567" s="5">
        <v>43</v>
      </c>
      <c r="V567" s="5" t="s">
        <v>56</v>
      </c>
      <c r="W567" s="5">
        <v>56</v>
      </c>
      <c r="X567" s="5">
        <v>4.3</v>
      </c>
      <c r="Y567" s="5">
        <v>9</v>
      </c>
      <c r="Z567" s="5" t="s">
        <v>94</v>
      </c>
      <c r="AA567" s="6">
        <v>70.3</v>
      </c>
      <c r="AB567" s="8">
        <f t="shared" si="104"/>
        <v>95</v>
      </c>
      <c r="AC567" s="8">
        <f t="shared" si="105"/>
        <v>7.6000000000000005</v>
      </c>
      <c r="AD567" s="8">
        <f t="shared" si="106"/>
        <v>87.4</v>
      </c>
      <c r="AE567" s="8">
        <f t="shared" si="107"/>
        <v>70.3</v>
      </c>
      <c r="AF567" s="8">
        <f t="shared" si="108"/>
        <v>17.100000000000009</v>
      </c>
      <c r="AG567" s="9">
        <f t="shared" si="109"/>
        <v>0.19565217391304357</v>
      </c>
      <c r="AH567" s="10">
        <f t="shared" si="110"/>
        <v>2025</v>
      </c>
      <c r="AI567" s="10">
        <f t="shared" si="111"/>
        <v>2</v>
      </c>
      <c r="AJ567" s="10" t="str">
        <f t="shared" si="112"/>
        <v>2025-02</v>
      </c>
      <c r="AK567" s="10" t="str">
        <f t="shared" si="113"/>
        <v>T1</v>
      </c>
      <c r="AL567" s="10" t="str">
        <f t="shared" si="114"/>
        <v>40-49</v>
      </c>
      <c r="AM567" s="10" t="str">
        <f t="shared" si="115"/>
        <v>faible</v>
      </c>
      <c r="AN567" s="10" t="s">
        <v>2837</v>
      </c>
      <c r="AO567" s="10" t="str">
        <f t="shared" si="116"/>
        <v>Faible</v>
      </c>
    </row>
    <row r="568" spans="1:41">
      <c r="A568" t="s">
        <v>1802</v>
      </c>
      <c r="B568" s="2">
        <v>45984</v>
      </c>
      <c r="C568" t="s">
        <v>1803</v>
      </c>
      <c r="D568" t="s">
        <v>333</v>
      </c>
      <c r="E568" t="s">
        <v>129</v>
      </c>
      <c r="F568" t="s">
        <v>197</v>
      </c>
      <c r="G568">
        <v>1</v>
      </c>
      <c r="H568" s="4">
        <v>65</v>
      </c>
      <c r="I568" s="3">
        <v>0.1</v>
      </c>
      <c r="J568" t="s">
        <v>77</v>
      </c>
      <c r="K568" t="s">
        <v>46</v>
      </c>
      <c r="L568" t="s">
        <v>1804</v>
      </c>
      <c r="M568" t="s">
        <v>48</v>
      </c>
      <c r="N568" t="s">
        <v>255</v>
      </c>
      <c r="O568" t="s">
        <v>336</v>
      </c>
      <c r="P568" t="s">
        <v>51</v>
      </c>
      <c r="Q568" t="s">
        <v>52</v>
      </c>
      <c r="R568" t="s">
        <v>134</v>
      </c>
      <c r="S568" t="s">
        <v>123</v>
      </c>
      <c r="T568" t="s">
        <v>199</v>
      </c>
      <c r="U568" s="5">
        <v>60</v>
      </c>
      <c r="V568" s="5" t="s">
        <v>85</v>
      </c>
      <c r="W568" s="5">
        <v>38</v>
      </c>
      <c r="X568" s="5">
        <v>4.0999999999999996</v>
      </c>
      <c r="Y568" s="5">
        <v>7</v>
      </c>
      <c r="Z568" s="5" t="s">
        <v>94</v>
      </c>
      <c r="AA568" s="6">
        <v>47.45</v>
      </c>
      <c r="AB568" s="8">
        <f t="shared" si="104"/>
        <v>65</v>
      </c>
      <c r="AC568" s="8">
        <f t="shared" si="105"/>
        <v>6.5</v>
      </c>
      <c r="AD568" s="8">
        <f t="shared" si="106"/>
        <v>58.5</v>
      </c>
      <c r="AE568" s="8">
        <f t="shared" si="107"/>
        <v>47.45</v>
      </c>
      <c r="AF568" s="8">
        <f t="shared" si="108"/>
        <v>11.049999999999997</v>
      </c>
      <c r="AG568" s="9">
        <f t="shared" si="109"/>
        <v>0.18888888888888883</v>
      </c>
      <c r="AH568" s="10">
        <f t="shared" si="110"/>
        <v>2025</v>
      </c>
      <c r="AI568" s="10">
        <f t="shared" si="111"/>
        <v>11</v>
      </c>
      <c r="AJ568" s="10" t="str">
        <f t="shared" si="112"/>
        <v>2025-11</v>
      </c>
      <c r="AK568" s="10" t="str">
        <f t="shared" si="113"/>
        <v>T4</v>
      </c>
      <c r="AL568" s="10" t="str">
        <f t="shared" si="114"/>
        <v>50+</v>
      </c>
      <c r="AM568" s="10" t="str">
        <f t="shared" si="115"/>
        <v>faible</v>
      </c>
      <c r="AN568" s="10" t="s">
        <v>2837</v>
      </c>
      <c r="AO568" s="10" t="str">
        <f t="shared" si="116"/>
        <v>Faible</v>
      </c>
    </row>
    <row r="569" spans="1:41">
      <c r="A569" t="s">
        <v>1805</v>
      </c>
      <c r="B569" s="2">
        <v>45872</v>
      </c>
      <c r="C569" t="s">
        <v>1806</v>
      </c>
      <c r="D569" t="s">
        <v>340</v>
      </c>
      <c r="E569" t="s">
        <v>207</v>
      </c>
      <c r="F569" t="s">
        <v>238</v>
      </c>
      <c r="G569">
        <v>3</v>
      </c>
      <c r="H569" s="4">
        <v>22</v>
      </c>
      <c r="I569" s="3">
        <v>0</v>
      </c>
      <c r="J569" t="s">
        <v>77</v>
      </c>
      <c r="K569" t="s">
        <v>46</v>
      </c>
      <c r="L569" t="s">
        <v>1807</v>
      </c>
      <c r="M569" t="s">
        <v>79</v>
      </c>
      <c r="N569" t="s">
        <v>80</v>
      </c>
      <c r="O569" t="s">
        <v>342</v>
      </c>
      <c r="P569" t="s">
        <v>103</v>
      </c>
      <c r="Q569" t="s">
        <v>143</v>
      </c>
      <c r="R569" t="s">
        <v>210</v>
      </c>
      <c r="S569" t="s">
        <v>79</v>
      </c>
      <c r="T569" t="s">
        <v>240</v>
      </c>
      <c r="U569" s="5">
        <v>44</v>
      </c>
      <c r="V569" s="5" t="s">
        <v>56</v>
      </c>
      <c r="W569" s="5">
        <v>30</v>
      </c>
      <c r="X569" s="5">
        <v>6</v>
      </c>
      <c r="Y569" s="5">
        <v>4</v>
      </c>
      <c r="Z569" s="5" t="s">
        <v>94</v>
      </c>
      <c r="AA569" s="6">
        <v>14.96</v>
      </c>
      <c r="AB569" s="8">
        <f t="shared" si="104"/>
        <v>66</v>
      </c>
      <c r="AC569" s="8">
        <f t="shared" si="105"/>
        <v>0</v>
      </c>
      <c r="AD569" s="8">
        <f t="shared" si="106"/>
        <v>66</v>
      </c>
      <c r="AE569" s="8">
        <f t="shared" si="107"/>
        <v>44.88</v>
      </c>
      <c r="AF569" s="8">
        <f t="shared" si="108"/>
        <v>21.119999999999997</v>
      </c>
      <c r="AG569" s="9">
        <f t="shared" si="109"/>
        <v>0.31999999999999995</v>
      </c>
      <c r="AH569" s="10">
        <f t="shared" si="110"/>
        <v>2025</v>
      </c>
      <c r="AI569" s="10">
        <f t="shared" si="111"/>
        <v>8</v>
      </c>
      <c r="AJ569" s="10" t="str">
        <f t="shared" si="112"/>
        <v>2025-08</v>
      </c>
      <c r="AK569" s="10" t="str">
        <f t="shared" si="113"/>
        <v>T3</v>
      </c>
      <c r="AL569" s="10" t="str">
        <f t="shared" si="114"/>
        <v>40-49</v>
      </c>
      <c r="AM569" s="10" t="str">
        <f t="shared" si="115"/>
        <v>moyen</v>
      </c>
      <c r="AN569" s="10" t="s">
        <v>2839</v>
      </c>
      <c r="AO569" s="10" t="str">
        <f t="shared" si="116"/>
        <v>Faible</v>
      </c>
    </row>
    <row r="570" spans="1:41">
      <c r="A570" t="s">
        <v>1808</v>
      </c>
      <c r="B570" s="2">
        <v>45911</v>
      </c>
      <c r="C570" t="s">
        <v>1809</v>
      </c>
      <c r="D570" t="s">
        <v>272</v>
      </c>
      <c r="E570" t="s">
        <v>163</v>
      </c>
      <c r="F570" t="s">
        <v>89</v>
      </c>
      <c r="G570">
        <v>1</v>
      </c>
      <c r="H570" s="4">
        <v>420</v>
      </c>
      <c r="I570" s="3">
        <v>0.02</v>
      </c>
      <c r="J570" t="s">
        <v>77</v>
      </c>
      <c r="K570" t="s">
        <v>46</v>
      </c>
      <c r="L570" t="s">
        <v>1810</v>
      </c>
      <c r="M570" t="s">
        <v>65</v>
      </c>
      <c r="N570" t="s">
        <v>80</v>
      </c>
      <c r="O570" t="s">
        <v>274</v>
      </c>
      <c r="P570" t="s">
        <v>133</v>
      </c>
      <c r="Q570" t="s">
        <v>114</v>
      </c>
      <c r="R570" t="s">
        <v>167</v>
      </c>
      <c r="S570" t="s">
        <v>123</v>
      </c>
      <c r="T570" t="s">
        <v>93</v>
      </c>
      <c r="U570" s="5">
        <v>57</v>
      </c>
      <c r="V570" s="5" t="s">
        <v>56</v>
      </c>
      <c r="W570" s="5">
        <v>43</v>
      </c>
      <c r="X570" s="5">
        <v>5.7</v>
      </c>
      <c r="Y570" s="5">
        <v>6</v>
      </c>
      <c r="Z570" s="5" t="s">
        <v>117</v>
      </c>
      <c r="AA570" s="6">
        <v>273</v>
      </c>
      <c r="AB570" s="8">
        <f t="shared" si="104"/>
        <v>420</v>
      </c>
      <c r="AC570" s="8">
        <f t="shared" si="105"/>
        <v>8.4</v>
      </c>
      <c r="AD570" s="8">
        <f t="shared" si="106"/>
        <v>411.6</v>
      </c>
      <c r="AE570" s="8">
        <f t="shared" si="107"/>
        <v>273</v>
      </c>
      <c r="AF570" s="8">
        <f t="shared" si="108"/>
        <v>138.60000000000002</v>
      </c>
      <c r="AG570" s="9">
        <f t="shared" si="109"/>
        <v>0.33673469387755106</v>
      </c>
      <c r="AH570" s="10">
        <f t="shared" si="110"/>
        <v>2025</v>
      </c>
      <c r="AI570" s="10">
        <f t="shared" si="111"/>
        <v>9</v>
      </c>
      <c r="AJ570" s="10" t="str">
        <f t="shared" si="112"/>
        <v>2025-09</v>
      </c>
      <c r="AK570" s="10" t="str">
        <f t="shared" si="113"/>
        <v>T3</v>
      </c>
      <c r="AL570" s="10" t="str">
        <f t="shared" si="114"/>
        <v>50+</v>
      </c>
      <c r="AM570" s="10" t="str">
        <f t="shared" si="115"/>
        <v>moyen</v>
      </c>
      <c r="AN570" s="10" t="s">
        <v>2839</v>
      </c>
      <c r="AO570" s="10" t="str">
        <f t="shared" si="116"/>
        <v>Faible</v>
      </c>
    </row>
    <row r="571" spans="1:41">
      <c r="A571" t="s">
        <v>1811</v>
      </c>
      <c r="B571" s="2">
        <v>45999</v>
      </c>
      <c r="C571" t="s">
        <v>1812</v>
      </c>
      <c r="D571" t="s">
        <v>148</v>
      </c>
      <c r="E571" t="s">
        <v>207</v>
      </c>
      <c r="F571" t="s">
        <v>548</v>
      </c>
      <c r="G571">
        <v>2</v>
      </c>
      <c r="H571" s="4">
        <v>110</v>
      </c>
      <c r="I571" s="3">
        <v>0.05</v>
      </c>
      <c r="J571" t="s">
        <v>90</v>
      </c>
      <c r="K571" t="s">
        <v>46</v>
      </c>
      <c r="L571" t="s">
        <v>1813</v>
      </c>
      <c r="M571" t="s">
        <v>65</v>
      </c>
      <c r="N571" t="s">
        <v>112</v>
      </c>
      <c r="O571" t="s">
        <v>151</v>
      </c>
      <c r="P571" t="s">
        <v>103</v>
      </c>
      <c r="Q571" t="s">
        <v>114</v>
      </c>
      <c r="R571" t="s">
        <v>210</v>
      </c>
      <c r="S571" t="s">
        <v>79</v>
      </c>
      <c r="T571" t="s">
        <v>550</v>
      </c>
      <c r="U571" s="5">
        <v>37</v>
      </c>
      <c r="V571" s="5" t="s">
        <v>56</v>
      </c>
      <c r="W571" s="5">
        <v>23</v>
      </c>
      <c r="X571" s="5">
        <v>5</v>
      </c>
      <c r="Y571" s="5">
        <v>7</v>
      </c>
      <c r="Z571" s="5" t="s">
        <v>117</v>
      </c>
      <c r="AA571" s="6">
        <v>72.599999999999994</v>
      </c>
      <c r="AB571" s="8">
        <f t="shared" si="104"/>
        <v>220</v>
      </c>
      <c r="AC571" s="8">
        <f t="shared" si="105"/>
        <v>11</v>
      </c>
      <c r="AD571" s="8">
        <f t="shared" si="106"/>
        <v>209</v>
      </c>
      <c r="AE571" s="8">
        <f t="shared" si="107"/>
        <v>145.19999999999999</v>
      </c>
      <c r="AF571" s="8">
        <f t="shared" si="108"/>
        <v>63.800000000000011</v>
      </c>
      <c r="AG571" s="9">
        <f t="shared" si="109"/>
        <v>0.3052631578947369</v>
      </c>
      <c r="AH571" s="10">
        <f t="shared" si="110"/>
        <v>2025</v>
      </c>
      <c r="AI571" s="10">
        <f t="shared" si="111"/>
        <v>12</v>
      </c>
      <c r="AJ571" s="10" t="str">
        <f t="shared" si="112"/>
        <v>2025-12</v>
      </c>
      <c r="AK571" s="10" t="str">
        <f t="shared" si="113"/>
        <v>T4</v>
      </c>
      <c r="AL571" s="10" t="str">
        <f t="shared" si="114"/>
        <v>30-39</v>
      </c>
      <c r="AM571" s="10" t="str">
        <f t="shared" si="115"/>
        <v>moyen</v>
      </c>
      <c r="AN571" s="10" t="s">
        <v>2837</v>
      </c>
      <c r="AO571" s="10" t="str">
        <f t="shared" si="116"/>
        <v>Faible</v>
      </c>
    </row>
    <row r="572" spans="1:41">
      <c r="A572" t="s">
        <v>1814</v>
      </c>
      <c r="B572" s="2">
        <v>45780</v>
      </c>
      <c r="C572" t="s">
        <v>1815</v>
      </c>
      <c r="D572" t="s">
        <v>97</v>
      </c>
      <c r="E572" t="s">
        <v>345</v>
      </c>
      <c r="F572" t="s">
        <v>110</v>
      </c>
      <c r="G572">
        <v>2</v>
      </c>
      <c r="H572" s="4">
        <v>520</v>
      </c>
      <c r="I572" s="3">
        <v>0.08</v>
      </c>
      <c r="J572" t="s">
        <v>63</v>
      </c>
      <c r="K572" t="s">
        <v>46</v>
      </c>
      <c r="L572" t="s">
        <v>1816</v>
      </c>
      <c r="M572" t="s">
        <v>79</v>
      </c>
      <c r="N572" t="s">
        <v>49</v>
      </c>
      <c r="O572" t="s">
        <v>102</v>
      </c>
      <c r="P572" t="s">
        <v>103</v>
      </c>
      <c r="Q572" t="s">
        <v>52</v>
      </c>
      <c r="R572" t="s">
        <v>347</v>
      </c>
      <c r="S572" t="s">
        <v>54</v>
      </c>
      <c r="T572" t="s">
        <v>116</v>
      </c>
      <c r="U572" s="5">
        <v>25</v>
      </c>
      <c r="V572" s="5" t="s">
        <v>56</v>
      </c>
      <c r="W572" s="5">
        <v>36</v>
      </c>
      <c r="X572" s="5">
        <v>5.5</v>
      </c>
      <c r="Y572" s="5">
        <v>6</v>
      </c>
      <c r="Z572" s="5" t="s">
        <v>94</v>
      </c>
      <c r="AA572" s="6">
        <v>348.4</v>
      </c>
      <c r="AB572" s="8">
        <f t="shared" si="104"/>
        <v>1040</v>
      </c>
      <c r="AC572" s="8">
        <f t="shared" si="105"/>
        <v>83.2</v>
      </c>
      <c r="AD572" s="8">
        <f t="shared" si="106"/>
        <v>956.8</v>
      </c>
      <c r="AE572" s="8">
        <f t="shared" si="107"/>
        <v>696.8</v>
      </c>
      <c r="AF572" s="8">
        <f t="shared" si="108"/>
        <v>260</v>
      </c>
      <c r="AG572" s="9">
        <f t="shared" si="109"/>
        <v>0.27173913043478259</v>
      </c>
      <c r="AH572" s="10">
        <f t="shared" si="110"/>
        <v>2025</v>
      </c>
      <c r="AI572" s="10">
        <f t="shared" si="111"/>
        <v>5</v>
      </c>
      <c r="AJ572" s="10" t="str">
        <f t="shared" si="112"/>
        <v>2025-05</v>
      </c>
      <c r="AK572" s="10" t="str">
        <f t="shared" si="113"/>
        <v>T2</v>
      </c>
      <c r="AL572" s="10" t="str">
        <f t="shared" si="114"/>
        <v>22-29</v>
      </c>
      <c r="AM572" s="10" t="str">
        <f t="shared" si="115"/>
        <v>moyen</v>
      </c>
      <c r="AN572" s="10" t="s">
        <v>2839</v>
      </c>
      <c r="AO572" s="10" t="str">
        <f t="shared" si="116"/>
        <v>Moyenne</v>
      </c>
    </row>
    <row r="573" spans="1:41">
      <c r="A573" t="s">
        <v>1817</v>
      </c>
      <c r="B573" s="2">
        <v>45750</v>
      </c>
      <c r="C573" t="s">
        <v>1818</v>
      </c>
      <c r="D573" t="s">
        <v>138</v>
      </c>
      <c r="E573" t="s">
        <v>88</v>
      </c>
      <c r="F573" t="s">
        <v>44</v>
      </c>
      <c r="G573">
        <v>1</v>
      </c>
      <c r="H573" s="4">
        <v>120</v>
      </c>
      <c r="I573" s="3">
        <v>0</v>
      </c>
      <c r="J573" t="s">
        <v>90</v>
      </c>
      <c r="K573" t="s">
        <v>46</v>
      </c>
      <c r="L573" t="s">
        <v>1819</v>
      </c>
      <c r="M573" t="s">
        <v>69</v>
      </c>
      <c r="N573" t="s">
        <v>49</v>
      </c>
      <c r="O573" t="s">
        <v>142</v>
      </c>
      <c r="P573" t="s">
        <v>51</v>
      </c>
      <c r="Q573" t="s">
        <v>143</v>
      </c>
      <c r="R573" t="s">
        <v>92</v>
      </c>
      <c r="S573" t="s">
        <v>48</v>
      </c>
      <c r="T573" t="s">
        <v>55</v>
      </c>
      <c r="U573" s="5">
        <v>60</v>
      </c>
      <c r="V573" s="5" t="s">
        <v>85</v>
      </c>
      <c r="W573" s="5">
        <v>55</v>
      </c>
      <c r="X573" s="5">
        <v>8.5</v>
      </c>
      <c r="Y573" s="5">
        <v>2</v>
      </c>
      <c r="Z573" s="5" t="s">
        <v>117</v>
      </c>
      <c r="AA573" s="6">
        <v>73.2</v>
      </c>
      <c r="AB573" s="8">
        <f t="shared" si="104"/>
        <v>120</v>
      </c>
      <c r="AC573" s="8">
        <f t="shared" si="105"/>
        <v>0</v>
      </c>
      <c r="AD573" s="8">
        <f t="shared" si="106"/>
        <v>120</v>
      </c>
      <c r="AE573" s="8">
        <f t="shared" si="107"/>
        <v>73.2</v>
      </c>
      <c r="AF573" s="8">
        <f t="shared" si="108"/>
        <v>46.8</v>
      </c>
      <c r="AG573" s="9">
        <f t="shared" si="109"/>
        <v>0.38999999999999996</v>
      </c>
      <c r="AH573" s="10">
        <f t="shared" si="110"/>
        <v>2025</v>
      </c>
      <c r="AI573" s="10">
        <f t="shared" si="111"/>
        <v>4</v>
      </c>
      <c r="AJ573" s="10" t="str">
        <f t="shared" si="112"/>
        <v>2025-04</v>
      </c>
      <c r="AK573" s="10" t="str">
        <f t="shared" si="113"/>
        <v>T2</v>
      </c>
      <c r="AL573" s="10" t="str">
        <f t="shared" si="114"/>
        <v>50+</v>
      </c>
      <c r="AM573" s="10" t="str">
        <f t="shared" si="115"/>
        <v>bon</v>
      </c>
      <c r="AN573" s="10" t="s">
        <v>2838</v>
      </c>
      <c r="AO573" s="10" t="str">
        <f t="shared" si="116"/>
        <v>Faible</v>
      </c>
    </row>
    <row r="574" spans="1:41">
      <c r="A574" t="s">
        <v>1820</v>
      </c>
      <c r="B574" s="2">
        <v>45787</v>
      </c>
      <c r="C574" t="s">
        <v>1821</v>
      </c>
      <c r="D574" t="s">
        <v>138</v>
      </c>
      <c r="E574" t="s">
        <v>139</v>
      </c>
      <c r="F574" t="s">
        <v>302</v>
      </c>
      <c r="G574">
        <v>2</v>
      </c>
      <c r="H574" s="4">
        <v>120</v>
      </c>
      <c r="I574" s="3">
        <v>0.08</v>
      </c>
      <c r="J574" t="s">
        <v>77</v>
      </c>
      <c r="K574" t="s">
        <v>46</v>
      </c>
      <c r="L574" t="s">
        <v>1822</v>
      </c>
      <c r="M574" t="s">
        <v>79</v>
      </c>
      <c r="N574" t="s">
        <v>101</v>
      </c>
      <c r="O574" t="s">
        <v>142</v>
      </c>
      <c r="P574" t="s">
        <v>51</v>
      </c>
      <c r="Q574" t="s">
        <v>143</v>
      </c>
      <c r="R574" t="s">
        <v>144</v>
      </c>
      <c r="S574" t="s">
        <v>65</v>
      </c>
      <c r="T574" t="s">
        <v>304</v>
      </c>
      <c r="U574" s="5">
        <v>42</v>
      </c>
      <c r="V574" s="5" t="s">
        <v>85</v>
      </c>
      <c r="W574" s="5">
        <v>13</v>
      </c>
      <c r="X574" s="5">
        <v>8.1</v>
      </c>
      <c r="Y574" s="5">
        <v>3</v>
      </c>
      <c r="Z574" s="5" t="s">
        <v>57</v>
      </c>
      <c r="AA574" s="6">
        <v>73.2</v>
      </c>
      <c r="AB574" s="8">
        <f t="shared" si="104"/>
        <v>240</v>
      </c>
      <c r="AC574" s="8">
        <f t="shared" si="105"/>
        <v>19.2</v>
      </c>
      <c r="AD574" s="8">
        <f t="shared" si="106"/>
        <v>220.8</v>
      </c>
      <c r="AE574" s="8">
        <f t="shared" si="107"/>
        <v>146.4</v>
      </c>
      <c r="AF574" s="8">
        <f t="shared" si="108"/>
        <v>74.400000000000006</v>
      </c>
      <c r="AG574" s="9">
        <f t="shared" si="109"/>
        <v>0.33695652173913043</v>
      </c>
      <c r="AH574" s="10">
        <f t="shared" si="110"/>
        <v>2025</v>
      </c>
      <c r="AI574" s="10">
        <f t="shared" si="111"/>
        <v>5</v>
      </c>
      <c r="AJ574" s="10" t="str">
        <f t="shared" si="112"/>
        <v>2025-05</v>
      </c>
      <c r="AK574" s="10" t="str">
        <f t="shared" si="113"/>
        <v>T2</v>
      </c>
      <c r="AL574" s="10" t="str">
        <f t="shared" si="114"/>
        <v>40-49</v>
      </c>
      <c r="AM574" s="10" t="str">
        <f t="shared" si="115"/>
        <v>bon</v>
      </c>
      <c r="AN574" s="10" t="s">
        <v>2838</v>
      </c>
      <c r="AO574" s="10" t="str">
        <f t="shared" si="116"/>
        <v>Faible</v>
      </c>
    </row>
    <row r="575" spans="1:41">
      <c r="A575" t="s">
        <v>1823</v>
      </c>
      <c r="B575" s="2">
        <v>45682</v>
      </c>
      <c r="C575" t="s">
        <v>538</v>
      </c>
      <c r="D575" t="s">
        <v>340</v>
      </c>
      <c r="E575" t="s">
        <v>139</v>
      </c>
      <c r="F575" t="s">
        <v>208</v>
      </c>
      <c r="G575">
        <v>2</v>
      </c>
      <c r="H575" s="4">
        <v>22</v>
      </c>
      <c r="I575" s="3">
        <v>0.08</v>
      </c>
      <c r="J575" t="s">
        <v>77</v>
      </c>
      <c r="K575" t="s">
        <v>46</v>
      </c>
      <c r="L575" t="s">
        <v>539</v>
      </c>
      <c r="M575" t="s">
        <v>69</v>
      </c>
      <c r="N575" t="s">
        <v>255</v>
      </c>
      <c r="O575" t="s">
        <v>342</v>
      </c>
      <c r="P575" t="s">
        <v>103</v>
      </c>
      <c r="Q575" t="s">
        <v>143</v>
      </c>
      <c r="R575" t="s">
        <v>144</v>
      </c>
      <c r="S575" t="s">
        <v>65</v>
      </c>
      <c r="T575" t="s">
        <v>211</v>
      </c>
      <c r="U575" s="5">
        <v>39</v>
      </c>
      <c r="V575" s="5" t="s">
        <v>85</v>
      </c>
      <c r="W575" s="5">
        <v>51</v>
      </c>
      <c r="X575" s="5">
        <v>8</v>
      </c>
      <c r="Y575" s="5">
        <v>2</v>
      </c>
      <c r="Z575" s="5" t="s">
        <v>94</v>
      </c>
      <c r="AA575" s="6">
        <v>14.96</v>
      </c>
      <c r="AB575" s="8">
        <f t="shared" si="104"/>
        <v>44</v>
      </c>
      <c r="AC575" s="8">
        <f t="shared" si="105"/>
        <v>3.52</v>
      </c>
      <c r="AD575" s="8">
        <f t="shared" si="106"/>
        <v>40.479999999999997</v>
      </c>
      <c r="AE575" s="8">
        <f t="shared" si="107"/>
        <v>29.92</v>
      </c>
      <c r="AF575" s="8">
        <f t="shared" si="108"/>
        <v>10.559999999999995</v>
      </c>
      <c r="AG575" s="9">
        <f t="shared" si="109"/>
        <v>0.26086956521739119</v>
      </c>
      <c r="AH575" s="10">
        <f t="shared" si="110"/>
        <v>2025</v>
      </c>
      <c r="AI575" s="10">
        <f t="shared" si="111"/>
        <v>1</v>
      </c>
      <c r="AJ575" s="10" t="str">
        <f t="shared" si="112"/>
        <v>2025-01</v>
      </c>
      <c r="AK575" s="10" t="str">
        <f t="shared" si="113"/>
        <v>T1</v>
      </c>
      <c r="AL575" s="10" t="str">
        <f t="shared" si="114"/>
        <v>30-39</v>
      </c>
      <c r="AM575" s="10" t="str">
        <f t="shared" si="115"/>
        <v>bon</v>
      </c>
      <c r="AN575" s="10" t="s">
        <v>2838</v>
      </c>
      <c r="AO575" s="10" t="str">
        <f t="shared" si="116"/>
        <v>Faible</v>
      </c>
    </row>
    <row r="576" spans="1:41">
      <c r="A576" t="s">
        <v>1824</v>
      </c>
      <c r="B576" s="2">
        <v>45938</v>
      </c>
      <c r="C576" t="s">
        <v>1825</v>
      </c>
      <c r="D576" t="s">
        <v>181</v>
      </c>
      <c r="E576" t="s">
        <v>61</v>
      </c>
      <c r="F576" t="s">
        <v>253</v>
      </c>
      <c r="G576">
        <v>3</v>
      </c>
      <c r="H576" s="4">
        <v>145</v>
      </c>
      <c r="I576" s="3">
        <v>0.08</v>
      </c>
      <c r="J576" t="s">
        <v>63</v>
      </c>
      <c r="K576" t="s">
        <v>46</v>
      </c>
      <c r="L576" t="s">
        <v>1826</v>
      </c>
      <c r="M576" t="s">
        <v>48</v>
      </c>
      <c r="N576" t="s">
        <v>49</v>
      </c>
      <c r="O576" t="s">
        <v>184</v>
      </c>
      <c r="P576" t="s">
        <v>103</v>
      </c>
      <c r="Q576" t="s">
        <v>52</v>
      </c>
      <c r="R576" t="s">
        <v>68</v>
      </c>
      <c r="S576" t="s">
        <v>69</v>
      </c>
      <c r="T576" t="s">
        <v>256</v>
      </c>
      <c r="U576" s="5">
        <v>60</v>
      </c>
      <c r="V576" s="5" t="s">
        <v>85</v>
      </c>
      <c r="W576" s="5">
        <v>35</v>
      </c>
      <c r="X576" s="5">
        <v>7.3</v>
      </c>
      <c r="Y576" s="5">
        <v>3</v>
      </c>
      <c r="Z576" s="5" t="s">
        <v>71</v>
      </c>
      <c r="AA576" s="6">
        <v>97.15</v>
      </c>
      <c r="AB576" s="8">
        <f t="shared" si="104"/>
        <v>435</v>
      </c>
      <c r="AC576" s="8">
        <f t="shared" si="105"/>
        <v>34.800000000000004</v>
      </c>
      <c r="AD576" s="8">
        <f t="shared" si="106"/>
        <v>400.2</v>
      </c>
      <c r="AE576" s="8">
        <f t="shared" si="107"/>
        <v>291.45000000000005</v>
      </c>
      <c r="AF576" s="8">
        <f t="shared" si="108"/>
        <v>108.74999999999994</v>
      </c>
      <c r="AG576" s="9">
        <f t="shared" si="109"/>
        <v>0.27173913043478248</v>
      </c>
      <c r="AH576" s="10">
        <f t="shared" si="110"/>
        <v>2025</v>
      </c>
      <c r="AI576" s="10">
        <f t="shared" si="111"/>
        <v>10</v>
      </c>
      <c r="AJ576" s="10" t="str">
        <f t="shared" si="112"/>
        <v>2025-10</v>
      </c>
      <c r="AK576" s="10" t="str">
        <f t="shared" si="113"/>
        <v>T4</v>
      </c>
      <c r="AL576" s="10" t="str">
        <f t="shared" si="114"/>
        <v>50+</v>
      </c>
      <c r="AM576" s="10" t="str">
        <f t="shared" si="115"/>
        <v>bon</v>
      </c>
      <c r="AN576" s="10" t="s">
        <v>2838</v>
      </c>
      <c r="AO576" s="10" t="str">
        <f t="shared" si="116"/>
        <v>Faible</v>
      </c>
    </row>
    <row r="577" spans="1:41">
      <c r="A577" t="s">
        <v>1827</v>
      </c>
      <c r="B577" s="2">
        <v>45838</v>
      </c>
      <c r="C577" t="s">
        <v>1828</v>
      </c>
      <c r="D577" t="s">
        <v>272</v>
      </c>
      <c r="E577" t="s">
        <v>214</v>
      </c>
      <c r="F577" t="s">
        <v>238</v>
      </c>
      <c r="G577">
        <v>3</v>
      </c>
      <c r="H577" s="4">
        <v>420</v>
      </c>
      <c r="I577" s="3">
        <v>0.08</v>
      </c>
      <c r="J577" t="s">
        <v>45</v>
      </c>
      <c r="K577" t="s">
        <v>46</v>
      </c>
      <c r="L577" t="s">
        <v>1829</v>
      </c>
      <c r="M577" t="s">
        <v>65</v>
      </c>
      <c r="N577" t="s">
        <v>112</v>
      </c>
      <c r="O577" t="s">
        <v>274</v>
      </c>
      <c r="P577" t="s">
        <v>133</v>
      </c>
      <c r="Q577" t="s">
        <v>114</v>
      </c>
      <c r="R577" t="s">
        <v>216</v>
      </c>
      <c r="S577" t="s">
        <v>65</v>
      </c>
      <c r="T577" t="s">
        <v>240</v>
      </c>
      <c r="U577" s="5">
        <v>60</v>
      </c>
      <c r="V577" s="5" t="s">
        <v>56</v>
      </c>
      <c r="W577" s="5">
        <v>55</v>
      </c>
      <c r="X577" s="5">
        <v>7.2</v>
      </c>
      <c r="Y577" s="5">
        <v>2</v>
      </c>
      <c r="Z577" s="5" t="s">
        <v>94</v>
      </c>
      <c r="AA577" s="6">
        <v>273</v>
      </c>
      <c r="AB577" s="8">
        <f t="shared" si="104"/>
        <v>1260</v>
      </c>
      <c r="AC577" s="8">
        <f t="shared" si="105"/>
        <v>100.8</v>
      </c>
      <c r="AD577" s="8">
        <f t="shared" si="106"/>
        <v>1159.2</v>
      </c>
      <c r="AE577" s="8">
        <f t="shared" si="107"/>
        <v>819</v>
      </c>
      <c r="AF577" s="8">
        <f t="shared" si="108"/>
        <v>340.20000000000005</v>
      </c>
      <c r="AG577" s="9">
        <f t="shared" si="109"/>
        <v>0.29347826086956524</v>
      </c>
      <c r="AH577" s="10">
        <f t="shared" si="110"/>
        <v>2025</v>
      </c>
      <c r="AI577" s="10">
        <f t="shared" si="111"/>
        <v>6</v>
      </c>
      <c r="AJ577" s="10" t="str">
        <f t="shared" si="112"/>
        <v>2025-06</v>
      </c>
      <c r="AK577" s="10" t="str">
        <f t="shared" si="113"/>
        <v>T2</v>
      </c>
      <c r="AL577" s="10" t="str">
        <f t="shared" si="114"/>
        <v>50+</v>
      </c>
      <c r="AM577" s="10" t="str">
        <f t="shared" si="115"/>
        <v>bon</v>
      </c>
      <c r="AN577" s="10" t="s">
        <v>2838</v>
      </c>
      <c r="AO577" s="10" t="str">
        <f t="shared" si="116"/>
        <v>Elevée</v>
      </c>
    </row>
    <row r="578" spans="1:41">
      <c r="A578" t="s">
        <v>1830</v>
      </c>
      <c r="B578" s="2">
        <v>45865</v>
      </c>
      <c r="C578" t="s">
        <v>1831</v>
      </c>
      <c r="D578" t="s">
        <v>97</v>
      </c>
      <c r="E578" t="s">
        <v>214</v>
      </c>
      <c r="F578" t="s">
        <v>243</v>
      </c>
      <c r="G578">
        <v>2</v>
      </c>
      <c r="H578" s="4">
        <v>520</v>
      </c>
      <c r="I578" s="3">
        <v>0.02</v>
      </c>
      <c r="J578" t="s">
        <v>45</v>
      </c>
      <c r="K578" t="s">
        <v>46</v>
      </c>
      <c r="L578" t="s">
        <v>1832</v>
      </c>
      <c r="M578" t="s">
        <v>79</v>
      </c>
      <c r="N578" t="s">
        <v>49</v>
      </c>
      <c r="O578" t="s">
        <v>102</v>
      </c>
      <c r="P578" t="s">
        <v>103</v>
      </c>
      <c r="Q578" t="s">
        <v>52</v>
      </c>
      <c r="R578" t="s">
        <v>216</v>
      </c>
      <c r="S578" t="s">
        <v>65</v>
      </c>
      <c r="T578" t="s">
        <v>245</v>
      </c>
      <c r="U578" s="5">
        <v>36</v>
      </c>
      <c r="V578" s="5" t="s">
        <v>85</v>
      </c>
      <c r="W578" s="5">
        <v>35</v>
      </c>
      <c r="X578" s="5">
        <v>3.7</v>
      </c>
      <c r="Y578" s="5">
        <v>8</v>
      </c>
      <c r="Z578" s="5" t="s">
        <v>117</v>
      </c>
      <c r="AA578" s="6">
        <v>348.4</v>
      </c>
      <c r="AB578" s="8">
        <f t="shared" si="104"/>
        <v>1040</v>
      </c>
      <c r="AC578" s="8">
        <f t="shared" si="105"/>
        <v>20.8</v>
      </c>
      <c r="AD578" s="8">
        <f t="shared" si="106"/>
        <v>1019.2</v>
      </c>
      <c r="AE578" s="8">
        <f t="shared" si="107"/>
        <v>696.8</v>
      </c>
      <c r="AF578" s="8">
        <f t="shared" si="108"/>
        <v>322.40000000000009</v>
      </c>
      <c r="AG578" s="9">
        <f t="shared" si="109"/>
        <v>0.31632653061224497</v>
      </c>
      <c r="AH578" s="10">
        <f t="shared" si="110"/>
        <v>2025</v>
      </c>
      <c r="AI578" s="10">
        <f t="shared" si="111"/>
        <v>7</v>
      </c>
      <c r="AJ578" s="10" t="str">
        <f t="shared" si="112"/>
        <v>2025-07</v>
      </c>
      <c r="AK578" s="10" t="str">
        <f t="shared" si="113"/>
        <v>T3</v>
      </c>
      <c r="AL578" s="10" t="str">
        <f t="shared" si="114"/>
        <v>30-39</v>
      </c>
      <c r="AM578" s="10" t="str">
        <f t="shared" si="115"/>
        <v>faible</v>
      </c>
      <c r="AN578" s="10" t="s">
        <v>2837</v>
      </c>
      <c r="AO578" s="10" t="str">
        <f t="shared" si="116"/>
        <v>Elevée</v>
      </c>
    </row>
    <row r="579" spans="1:41">
      <c r="A579" t="s">
        <v>1833</v>
      </c>
      <c r="B579" s="2">
        <v>45955</v>
      </c>
      <c r="C579" t="s">
        <v>1015</v>
      </c>
      <c r="D579" t="s">
        <v>138</v>
      </c>
      <c r="E579" t="s">
        <v>345</v>
      </c>
      <c r="F579" t="s">
        <v>202</v>
      </c>
      <c r="G579">
        <v>2</v>
      </c>
      <c r="H579" s="4">
        <v>120</v>
      </c>
      <c r="I579" s="3">
        <v>0.05</v>
      </c>
      <c r="J579" t="s">
        <v>77</v>
      </c>
      <c r="K579" t="s">
        <v>46</v>
      </c>
      <c r="L579" t="s">
        <v>1016</v>
      </c>
      <c r="M579" t="s">
        <v>69</v>
      </c>
      <c r="N579" t="s">
        <v>112</v>
      </c>
      <c r="O579" t="s">
        <v>142</v>
      </c>
      <c r="P579" t="s">
        <v>51</v>
      </c>
      <c r="Q579" t="s">
        <v>143</v>
      </c>
      <c r="R579" t="s">
        <v>347</v>
      </c>
      <c r="S579" t="s">
        <v>54</v>
      </c>
      <c r="T579" t="s">
        <v>204</v>
      </c>
      <c r="U579" s="5">
        <v>60</v>
      </c>
      <c r="V579" s="5" t="s">
        <v>56</v>
      </c>
      <c r="W579" s="5">
        <v>14</v>
      </c>
      <c r="X579" s="5">
        <v>7.3</v>
      </c>
      <c r="Y579" s="5">
        <v>3</v>
      </c>
      <c r="Z579" s="5" t="s">
        <v>57</v>
      </c>
      <c r="AA579" s="6">
        <v>73.2</v>
      </c>
      <c r="AB579" s="8">
        <f t="shared" ref="AB579:AB642" si="117">G579*H579</f>
        <v>240</v>
      </c>
      <c r="AC579" s="8">
        <f t="shared" ref="AC579:AC642" si="118">I579*AB579</f>
        <v>12</v>
      </c>
      <c r="AD579" s="8">
        <f t="shared" ref="AD579:AD642" si="119">AB579-AC579</f>
        <v>228</v>
      </c>
      <c r="AE579" s="8">
        <f t="shared" ref="AE579:AE642" si="120">G579*AA579</f>
        <v>146.4</v>
      </c>
      <c r="AF579" s="8">
        <f t="shared" ref="AF579:AF642" si="121">AD579-AE579</f>
        <v>81.599999999999994</v>
      </c>
      <c r="AG579" s="9">
        <f t="shared" ref="AG579:AG642" si="122">IFERROR(AF579/AD579,)</f>
        <v>0.35789473684210527</v>
      </c>
      <c r="AH579" s="10">
        <f t="shared" ref="AH579:AH642" si="123">YEAR(B579)</f>
        <v>2025</v>
      </c>
      <c r="AI579" s="10">
        <f t="shared" ref="AI579:AI642" si="124">MONTH(B579)</f>
        <v>10</v>
      </c>
      <c r="AJ579" s="10" t="str">
        <f t="shared" ref="AJ579:AJ642" si="125">TEXT(B579,"yyyy-mm")</f>
        <v>2025-10</v>
      </c>
      <c r="AK579" s="10" t="str">
        <f t="shared" ref="AK579:AK642" si="126">"T"&amp;ROUNDUP(MONTH(B579)/3,0)</f>
        <v>T4</v>
      </c>
      <c r="AL579" s="10" t="str">
        <f t="shared" ref="AL579:AL642" si="127">IF(U579&lt;30,"22-29",IF(U579&lt;40,"30-39",IF(U579&lt;50,"40-49","50+")))</f>
        <v>50+</v>
      </c>
      <c r="AM579" s="10" t="str">
        <f t="shared" ref="AM579:AM642" si="128">IF(X579&lt;5,"faible",IF(X579&lt;7,"moyen",IF(X579&lt;9,"bon","excellent")))</f>
        <v>bon</v>
      </c>
      <c r="AN579" s="10" t="s">
        <v>2838</v>
      </c>
      <c r="AO579" s="10" t="str">
        <f t="shared" ref="AO579:AO642" si="129">IF(AD579&gt;=1000,"Elevée",IF(AD579&gt;=500,"Moyenne","Faible"))</f>
        <v>Faible</v>
      </c>
    </row>
    <row r="580" spans="1:41">
      <c r="A580" t="s">
        <v>1834</v>
      </c>
      <c r="B580" s="2">
        <v>45705</v>
      </c>
      <c r="C580" t="s">
        <v>1835</v>
      </c>
      <c r="D580" t="s">
        <v>148</v>
      </c>
      <c r="E580" t="s">
        <v>214</v>
      </c>
      <c r="F580" t="s">
        <v>202</v>
      </c>
      <c r="G580">
        <v>1</v>
      </c>
      <c r="H580" s="4">
        <v>110</v>
      </c>
      <c r="I580" s="3">
        <v>0.05</v>
      </c>
      <c r="J580" t="s">
        <v>63</v>
      </c>
      <c r="K580" t="s">
        <v>46</v>
      </c>
      <c r="L580" t="s">
        <v>1836</v>
      </c>
      <c r="M580" t="s">
        <v>65</v>
      </c>
      <c r="N580" t="s">
        <v>80</v>
      </c>
      <c r="O580" t="s">
        <v>151</v>
      </c>
      <c r="P580" t="s">
        <v>103</v>
      </c>
      <c r="Q580" t="s">
        <v>114</v>
      </c>
      <c r="R580" t="s">
        <v>216</v>
      </c>
      <c r="S580" t="s">
        <v>65</v>
      </c>
      <c r="T580" t="s">
        <v>204</v>
      </c>
      <c r="U580" s="5">
        <v>45</v>
      </c>
      <c r="V580" s="5" t="s">
        <v>56</v>
      </c>
      <c r="W580" s="5">
        <v>70</v>
      </c>
      <c r="X580" s="5">
        <v>4.8</v>
      </c>
      <c r="Y580" s="5">
        <v>8</v>
      </c>
      <c r="Z580" s="5" t="s">
        <v>117</v>
      </c>
      <c r="AA580" s="6">
        <v>72.599999999999994</v>
      </c>
      <c r="AB580" s="8">
        <f t="shared" si="117"/>
        <v>110</v>
      </c>
      <c r="AC580" s="8">
        <f t="shared" si="118"/>
        <v>5.5</v>
      </c>
      <c r="AD580" s="8">
        <f t="shared" si="119"/>
        <v>104.5</v>
      </c>
      <c r="AE580" s="8">
        <f t="shared" si="120"/>
        <v>72.599999999999994</v>
      </c>
      <c r="AF580" s="8">
        <f t="shared" si="121"/>
        <v>31.900000000000006</v>
      </c>
      <c r="AG580" s="9">
        <f t="shared" si="122"/>
        <v>0.3052631578947369</v>
      </c>
      <c r="AH580" s="10">
        <f t="shared" si="123"/>
        <v>2025</v>
      </c>
      <c r="AI580" s="10">
        <f t="shared" si="124"/>
        <v>2</v>
      </c>
      <c r="AJ580" s="10" t="str">
        <f t="shared" si="125"/>
        <v>2025-02</v>
      </c>
      <c r="AK580" s="10" t="str">
        <f t="shared" si="126"/>
        <v>T1</v>
      </c>
      <c r="AL580" s="10" t="str">
        <f t="shared" si="127"/>
        <v>40-49</v>
      </c>
      <c r="AM580" s="10" t="str">
        <f t="shared" si="128"/>
        <v>faible</v>
      </c>
      <c r="AN580" s="10" t="s">
        <v>2837</v>
      </c>
      <c r="AO580" s="10" t="str">
        <f t="shared" si="129"/>
        <v>Faible</v>
      </c>
    </row>
    <row r="581" spans="1:41">
      <c r="A581" t="s">
        <v>1837</v>
      </c>
      <c r="B581" s="2">
        <v>45861</v>
      </c>
      <c r="C581" t="s">
        <v>1838</v>
      </c>
      <c r="D581" t="s">
        <v>108</v>
      </c>
      <c r="E581" t="s">
        <v>61</v>
      </c>
      <c r="F581" t="s">
        <v>328</v>
      </c>
      <c r="G581">
        <v>1</v>
      </c>
      <c r="H581" s="4">
        <v>240</v>
      </c>
      <c r="I581" s="3">
        <v>0.02</v>
      </c>
      <c r="J581" t="s">
        <v>90</v>
      </c>
      <c r="K581" t="s">
        <v>46</v>
      </c>
      <c r="L581" t="s">
        <v>1839</v>
      </c>
      <c r="M581" t="s">
        <v>54</v>
      </c>
      <c r="N581" t="s">
        <v>112</v>
      </c>
      <c r="O581" t="s">
        <v>113</v>
      </c>
      <c r="P581" t="s">
        <v>82</v>
      </c>
      <c r="Q581" t="s">
        <v>114</v>
      </c>
      <c r="R581" t="s">
        <v>68</v>
      </c>
      <c r="S581" t="s">
        <v>69</v>
      </c>
      <c r="T581" t="s">
        <v>330</v>
      </c>
      <c r="U581" s="5">
        <v>28</v>
      </c>
      <c r="V581" s="5" t="s">
        <v>85</v>
      </c>
      <c r="W581" s="5">
        <v>49</v>
      </c>
      <c r="X581" s="5">
        <v>3.5</v>
      </c>
      <c r="Y581" s="5">
        <v>8</v>
      </c>
      <c r="Z581" s="5" t="s">
        <v>57</v>
      </c>
      <c r="AA581" s="6">
        <v>177.6</v>
      </c>
      <c r="AB581" s="8">
        <f t="shared" si="117"/>
        <v>240</v>
      </c>
      <c r="AC581" s="8">
        <f t="shared" si="118"/>
        <v>4.8</v>
      </c>
      <c r="AD581" s="8">
        <f t="shared" si="119"/>
        <v>235.2</v>
      </c>
      <c r="AE581" s="8">
        <f t="shared" si="120"/>
        <v>177.6</v>
      </c>
      <c r="AF581" s="8">
        <f t="shared" si="121"/>
        <v>57.599999999999994</v>
      </c>
      <c r="AG581" s="9">
        <f t="shared" si="122"/>
        <v>0.24489795918367346</v>
      </c>
      <c r="AH581" s="10">
        <f t="shared" si="123"/>
        <v>2025</v>
      </c>
      <c r="AI581" s="10">
        <f t="shared" si="124"/>
        <v>7</v>
      </c>
      <c r="AJ581" s="10" t="str">
        <f t="shared" si="125"/>
        <v>2025-07</v>
      </c>
      <c r="AK581" s="10" t="str">
        <f t="shared" si="126"/>
        <v>T3</v>
      </c>
      <c r="AL581" s="10" t="str">
        <f t="shared" si="127"/>
        <v>22-29</v>
      </c>
      <c r="AM581" s="10" t="str">
        <f t="shared" si="128"/>
        <v>faible</v>
      </c>
      <c r="AN581" s="10" t="s">
        <v>2837</v>
      </c>
      <c r="AO581" s="10" t="str">
        <f t="shared" si="129"/>
        <v>Faible</v>
      </c>
    </row>
    <row r="582" spans="1:41">
      <c r="A582" t="s">
        <v>1840</v>
      </c>
      <c r="B582" s="2">
        <v>45884</v>
      </c>
      <c r="C582" t="s">
        <v>1692</v>
      </c>
      <c r="D582" t="s">
        <v>174</v>
      </c>
      <c r="E582" t="s">
        <v>189</v>
      </c>
      <c r="F582" t="s">
        <v>156</v>
      </c>
      <c r="G582">
        <v>5</v>
      </c>
      <c r="H582" s="4">
        <v>780</v>
      </c>
      <c r="I582" s="3">
        <v>0</v>
      </c>
      <c r="J582" t="s">
        <v>45</v>
      </c>
      <c r="K582" t="s">
        <v>46</v>
      </c>
      <c r="L582" t="s">
        <v>1693</v>
      </c>
      <c r="M582" t="s">
        <v>48</v>
      </c>
      <c r="N582" t="s">
        <v>49</v>
      </c>
      <c r="O582" t="s">
        <v>177</v>
      </c>
      <c r="P582" t="s">
        <v>103</v>
      </c>
      <c r="Q582" t="s">
        <v>114</v>
      </c>
      <c r="R582" t="s">
        <v>193</v>
      </c>
      <c r="S582" t="s">
        <v>79</v>
      </c>
      <c r="T582" t="s">
        <v>159</v>
      </c>
      <c r="U582" s="5">
        <v>23</v>
      </c>
      <c r="V582" s="5" t="s">
        <v>85</v>
      </c>
      <c r="W582" s="5">
        <v>55</v>
      </c>
      <c r="X582" s="5">
        <v>6.7</v>
      </c>
      <c r="Y582" s="5">
        <v>4</v>
      </c>
      <c r="Z582" s="5" t="s">
        <v>117</v>
      </c>
      <c r="AA582" s="6">
        <v>468</v>
      </c>
      <c r="AB582" s="8">
        <f t="shared" si="117"/>
        <v>3900</v>
      </c>
      <c r="AC582" s="8">
        <f t="shared" si="118"/>
        <v>0</v>
      </c>
      <c r="AD582" s="8">
        <f t="shared" si="119"/>
        <v>3900</v>
      </c>
      <c r="AE582" s="8">
        <f t="shared" si="120"/>
        <v>2340</v>
      </c>
      <c r="AF582" s="8">
        <f t="shared" si="121"/>
        <v>1560</v>
      </c>
      <c r="AG582" s="9">
        <f t="shared" si="122"/>
        <v>0.4</v>
      </c>
      <c r="AH582" s="10">
        <f t="shared" si="123"/>
        <v>2025</v>
      </c>
      <c r="AI582" s="10">
        <f t="shared" si="124"/>
        <v>8</v>
      </c>
      <c r="AJ582" s="10" t="str">
        <f t="shared" si="125"/>
        <v>2025-08</v>
      </c>
      <c r="AK582" s="10" t="str">
        <f t="shared" si="126"/>
        <v>T3</v>
      </c>
      <c r="AL582" s="10" t="str">
        <f t="shared" si="127"/>
        <v>22-29</v>
      </c>
      <c r="AM582" s="10" t="str">
        <f t="shared" si="128"/>
        <v>moyen</v>
      </c>
      <c r="AN582" s="10" t="s">
        <v>2839</v>
      </c>
      <c r="AO582" s="10" t="str">
        <f t="shared" si="129"/>
        <v>Elevée</v>
      </c>
    </row>
    <row r="583" spans="1:41">
      <c r="A583" t="s">
        <v>1841</v>
      </c>
      <c r="B583" s="2">
        <v>46013</v>
      </c>
      <c r="C583" t="s">
        <v>1842</v>
      </c>
      <c r="D583" t="s">
        <v>138</v>
      </c>
      <c r="E583" t="s">
        <v>277</v>
      </c>
      <c r="F583" t="s">
        <v>156</v>
      </c>
      <c r="G583">
        <v>20</v>
      </c>
      <c r="H583" s="4">
        <v>120</v>
      </c>
      <c r="I583" s="3">
        <v>0</v>
      </c>
      <c r="J583" t="s">
        <v>45</v>
      </c>
      <c r="K583" t="s">
        <v>46</v>
      </c>
      <c r="L583" t="s">
        <v>1843</v>
      </c>
      <c r="M583" t="s">
        <v>123</v>
      </c>
      <c r="N583" t="s">
        <v>101</v>
      </c>
      <c r="O583" t="s">
        <v>142</v>
      </c>
      <c r="P583" t="s">
        <v>51</v>
      </c>
      <c r="Q583" t="s">
        <v>143</v>
      </c>
      <c r="R583" t="s">
        <v>279</v>
      </c>
      <c r="S583" t="s">
        <v>54</v>
      </c>
      <c r="T583" t="s">
        <v>159</v>
      </c>
      <c r="U583" s="5">
        <v>42</v>
      </c>
      <c r="V583" s="5" t="s">
        <v>56</v>
      </c>
      <c r="W583" s="5">
        <v>5</v>
      </c>
      <c r="X583" s="5">
        <v>5.4</v>
      </c>
      <c r="Y583" s="5">
        <v>7</v>
      </c>
      <c r="Z583" s="5" t="s">
        <v>94</v>
      </c>
      <c r="AA583" s="6">
        <v>73.2</v>
      </c>
      <c r="AB583" s="8">
        <f t="shared" si="117"/>
        <v>2400</v>
      </c>
      <c r="AC583" s="8">
        <f t="shared" si="118"/>
        <v>0</v>
      </c>
      <c r="AD583" s="8">
        <f t="shared" si="119"/>
        <v>2400</v>
      </c>
      <c r="AE583" s="8">
        <f t="shared" si="120"/>
        <v>1464</v>
      </c>
      <c r="AF583" s="8">
        <f t="shared" si="121"/>
        <v>936</v>
      </c>
      <c r="AG583" s="9">
        <f t="shared" si="122"/>
        <v>0.39</v>
      </c>
      <c r="AH583" s="10">
        <f t="shared" si="123"/>
        <v>2025</v>
      </c>
      <c r="AI583" s="10">
        <f t="shared" si="124"/>
        <v>12</v>
      </c>
      <c r="AJ583" s="10" t="str">
        <f t="shared" si="125"/>
        <v>2025-12</v>
      </c>
      <c r="AK583" s="10" t="str">
        <f t="shared" si="126"/>
        <v>T4</v>
      </c>
      <c r="AL583" s="10" t="str">
        <f t="shared" si="127"/>
        <v>40-49</v>
      </c>
      <c r="AM583" s="10" t="str">
        <f t="shared" si="128"/>
        <v>moyen</v>
      </c>
      <c r="AN583" s="10" t="s">
        <v>2837</v>
      </c>
      <c r="AO583" s="10" t="str">
        <f t="shared" si="129"/>
        <v>Elevée</v>
      </c>
    </row>
    <row r="584" spans="1:41">
      <c r="A584" t="s">
        <v>1844</v>
      </c>
      <c r="B584" s="2">
        <v>45782</v>
      </c>
      <c r="C584" t="s">
        <v>631</v>
      </c>
      <c r="D584" t="s">
        <v>42</v>
      </c>
      <c r="E584" t="s">
        <v>120</v>
      </c>
      <c r="F584" t="s">
        <v>350</v>
      </c>
      <c r="G584">
        <v>10</v>
      </c>
      <c r="H584" s="4">
        <v>260</v>
      </c>
      <c r="I584" s="3">
        <v>0.1</v>
      </c>
      <c r="J584" t="s">
        <v>63</v>
      </c>
      <c r="K584" t="s">
        <v>46</v>
      </c>
      <c r="L584" t="s">
        <v>632</v>
      </c>
      <c r="M584" t="s">
        <v>123</v>
      </c>
      <c r="N584" t="s">
        <v>255</v>
      </c>
      <c r="O584" t="s">
        <v>50</v>
      </c>
      <c r="P584" t="s">
        <v>51</v>
      </c>
      <c r="Q584" t="s">
        <v>52</v>
      </c>
      <c r="R584" t="s">
        <v>124</v>
      </c>
      <c r="S584" t="s">
        <v>48</v>
      </c>
      <c r="T584" t="s">
        <v>352</v>
      </c>
      <c r="U584" s="5">
        <v>32</v>
      </c>
      <c r="V584" s="5" t="s">
        <v>85</v>
      </c>
      <c r="W584" s="5">
        <v>24</v>
      </c>
      <c r="X584" s="5">
        <v>6.7</v>
      </c>
      <c r="Y584" s="5">
        <v>4</v>
      </c>
      <c r="Z584" s="5" t="s">
        <v>57</v>
      </c>
      <c r="AA584" s="6">
        <v>189.8</v>
      </c>
      <c r="AB584" s="8">
        <f t="shared" si="117"/>
        <v>2600</v>
      </c>
      <c r="AC584" s="8">
        <f t="shared" si="118"/>
        <v>260</v>
      </c>
      <c r="AD584" s="8">
        <f t="shared" si="119"/>
        <v>2340</v>
      </c>
      <c r="AE584" s="8">
        <f t="shared" si="120"/>
        <v>1898</v>
      </c>
      <c r="AF584" s="8">
        <f t="shared" si="121"/>
        <v>442</v>
      </c>
      <c r="AG584" s="9">
        <f t="shared" si="122"/>
        <v>0.18888888888888888</v>
      </c>
      <c r="AH584" s="10">
        <f t="shared" si="123"/>
        <v>2025</v>
      </c>
      <c r="AI584" s="10">
        <f t="shared" si="124"/>
        <v>5</v>
      </c>
      <c r="AJ584" s="10" t="str">
        <f t="shared" si="125"/>
        <v>2025-05</v>
      </c>
      <c r="AK584" s="10" t="str">
        <f t="shared" si="126"/>
        <v>T2</v>
      </c>
      <c r="AL584" s="10" t="str">
        <f t="shared" si="127"/>
        <v>30-39</v>
      </c>
      <c r="AM584" s="10" t="str">
        <f t="shared" si="128"/>
        <v>moyen</v>
      </c>
      <c r="AN584" s="10" t="s">
        <v>2839</v>
      </c>
      <c r="AO584" s="10" t="str">
        <f t="shared" si="129"/>
        <v>Elevée</v>
      </c>
    </row>
    <row r="585" spans="1:41">
      <c r="A585" t="s">
        <v>1845</v>
      </c>
      <c r="B585" s="2">
        <v>45923</v>
      </c>
      <c r="C585" t="s">
        <v>1548</v>
      </c>
      <c r="D585" t="s">
        <v>181</v>
      </c>
      <c r="E585" t="s">
        <v>129</v>
      </c>
      <c r="F585" t="s">
        <v>968</v>
      </c>
      <c r="G585">
        <v>3</v>
      </c>
      <c r="H585" s="4">
        <v>145</v>
      </c>
      <c r="I585" s="3">
        <v>0.08</v>
      </c>
      <c r="J585" t="s">
        <v>63</v>
      </c>
      <c r="K585" t="s">
        <v>46</v>
      </c>
      <c r="L585" t="s">
        <v>1549</v>
      </c>
      <c r="M585" t="s">
        <v>48</v>
      </c>
      <c r="N585" t="s">
        <v>49</v>
      </c>
      <c r="O585" t="s">
        <v>184</v>
      </c>
      <c r="P585" t="s">
        <v>103</v>
      </c>
      <c r="Q585" t="s">
        <v>52</v>
      </c>
      <c r="R585" t="s">
        <v>134</v>
      </c>
      <c r="S585" t="s">
        <v>123</v>
      </c>
      <c r="T585" t="s">
        <v>970</v>
      </c>
      <c r="U585" s="5">
        <v>25</v>
      </c>
      <c r="V585" s="5" t="s">
        <v>85</v>
      </c>
      <c r="W585" s="5">
        <v>29</v>
      </c>
      <c r="X585" s="5">
        <v>4.4000000000000004</v>
      </c>
      <c r="Y585" s="5">
        <v>8</v>
      </c>
      <c r="Z585" s="5" t="s">
        <v>71</v>
      </c>
      <c r="AA585" s="6">
        <v>97.15</v>
      </c>
      <c r="AB585" s="8">
        <f t="shared" si="117"/>
        <v>435</v>
      </c>
      <c r="AC585" s="8">
        <f t="shared" si="118"/>
        <v>34.800000000000004</v>
      </c>
      <c r="AD585" s="8">
        <f t="shared" si="119"/>
        <v>400.2</v>
      </c>
      <c r="AE585" s="8">
        <f t="shared" si="120"/>
        <v>291.45000000000005</v>
      </c>
      <c r="AF585" s="8">
        <f t="shared" si="121"/>
        <v>108.74999999999994</v>
      </c>
      <c r="AG585" s="9">
        <f t="shared" si="122"/>
        <v>0.27173913043478248</v>
      </c>
      <c r="AH585" s="10">
        <f t="shared" si="123"/>
        <v>2025</v>
      </c>
      <c r="AI585" s="10">
        <f t="shared" si="124"/>
        <v>9</v>
      </c>
      <c r="AJ585" s="10" t="str">
        <f t="shared" si="125"/>
        <v>2025-09</v>
      </c>
      <c r="AK585" s="10" t="str">
        <f t="shared" si="126"/>
        <v>T3</v>
      </c>
      <c r="AL585" s="10" t="str">
        <f t="shared" si="127"/>
        <v>22-29</v>
      </c>
      <c r="AM585" s="10" t="str">
        <f t="shared" si="128"/>
        <v>faible</v>
      </c>
      <c r="AN585" s="10" t="s">
        <v>2837</v>
      </c>
      <c r="AO585" s="10" t="str">
        <f t="shared" si="129"/>
        <v>Faible</v>
      </c>
    </row>
    <row r="586" spans="1:41">
      <c r="A586" t="s">
        <v>1846</v>
      </c>
      <c r="B586" s="2">
        <v>45844</v>
      </c>
      <c r="C586" t="s">
        <v>1847</v>
      </c>
      <c r="D586" t="s">
        <v>340</v>
      </c>
      <c r="E586" t="s">
        <v>129</v>
      </c>
      <c r="F586" t="s">
        <v>334</v>
      </c>
      <c r="G586">
        <v>6</v>
      </c>
      <c r="H586" s="4">
        <v>22</v>
      </c>
      <c r="I586" s="3">
        <v>0</v>
      </c>
      <c r="J586" t="s">
        <v>77</v>
      </c>
      <c r="K586" t="s">
        <v>46</v>
      </c>
      <c r="L586" t="s">
        <v>1848</v>
      </c>
      <c r="M586" t="s">
        <v>79</v>
      </c>
      <c r="N586" t="s">
        <v>49</v>
      </c>
      <c r="O586" t="s">
        <v>342</v>
      </c>
      <c r="P586" t="s">
        <v>103</v>
      </c>
      <c r="Q586" t="s">
        <v>143</v>
      </c>
      <c r="R586" t="s">
        <v>134</v>
      </c>
      <c r="S586" t="s">
        <v>123</v>
      </c>
      <c r="T586" t="s">
        <v>337</v>
      </c>
      <c r="U586" s="5">
        <v>34</v>
      </c>
      <c r="V586" s="5" t="s">
        <v>85</v>
      </c>
      <c r="W586" s="5">
        <v>39</v>
      </c>
      <c r="X586" s="5">
        <v>3.1</v>
      </c>
      <c r="Y586" s="5">
        <v>9</v>
      </c>
      <c r="Z586" s="5" t="s">
        <v>117</v>
      </c>
      <c r="AA586" s="6">
        <v>14.96</v>
      </c>
      <c r="AB586" s="8">
        <f t="shared" si="117"/>
        <v>132</v>
      </c>
      <c r="AC586" s="8">
        <f t="shared" si="118"/>
        <v>0</v>
      </c>
      <c r="AD586" s="8">
        <f t="shared" si="119"/>
        <v>132</v>
      </c>
      <c r="AE586" s="8">
        <f t="shared" si="120"/>
        <v>89.76</v>
      </c>
      <c r="AF586" s="8">
        <f t="shared" si="121"/>
        <v>42.239999999999995</v>
      </c>
      <c r="AG586" s="9">
        <f t="shared" si="122"/>
        <v>0.31999999999999995</v>
      </c>
      <c r="AH586" s="10">
        <f t="shared" si="123"/>
        <v>2025</v>
      </c>
      <c r="AI586" s="10">
        <f t="shared" si="124"/>
        <v>7</v>
      </c>
      <c r="AJ586" s="10" t="str">
        <f t="shared" si="125"/>
        <v>2025-07</v>
      </c>
      <c r="AK586" s="10" t="str">
        <f t="shared" si="126"/>
        <v>T3</v>
      </c>
      <c r="AL586" s="10" t="str">
        <f t="shared" si="127"/>
        <v>30-39</v>
      </c>
      <c r="AM586" s="10" t="str">
        <f t="shared" si="128"/>
        <v>faible</v>
      </c>
      <c r="AN586" s="10" t="s">
        <v>2837</v>
      </c>
      <c r="AO586" s="10" t="str">
        <f t="shared" si="129"/>
        <v>Faible</v>
      </c>
    </row>
    <row r="587" spans="1:41">
      <c r="A587" t="s">
        <v>1849</v>
      </c>
      <c r="B587" s="2">
        <v>46017</v>
      </c>
      <c r="C587" t="s">
        <v>1850</v>
      </c>
      <c r="D587" t="s">
        <v>42</v>
      </c>
      <c r="E587" t="s">
        <v>189</v>
      </c>
      <c r="F587" t="s">
        <v>548</v>
      </c>
      <c r="G587">
        <v>1</v>
      </c>
      <c r="H587" s="4">
        <v>260</v>
      </c>
      <c r="I587" s="3">
        <v>0.05</v>
      </c>
      <c r="J587" t="s">
        <v>45</v>
      </c>
      <c r="K587" t="s">
        <v>46</v>
      </c>
      <c r="L587" t="s">
        <v>1851</v>
      </c>
      <c r="M587" t="s">
        <v>65</v>
      </c>
      <c r="N587" t="s">
        <v>80</v>
      </c>
      <c r="O587" t="s">
        <v>50</v>
      </c>
      <c r="P587" t="s">
        <v>51</v>
      </c>
      <c r="Q587" t="s">
        <v>52</v>
      </c>
      <c r="R587" t="s">
        <v>193</v>
      </c>
      <c r="S587" t="s">
        <v>79</v>
      </c>
      <c r="T587" t="s">
        <v>550</v>
      </c>
      <c r="U587" s="5">
        <v>29</v>
      </c>
      <c r="V587" s="5" t="s">
        <v>56</v>
      </c>
      <c r="W587" s="5">
        <v>67</v>
      </c>
      <c r="X587" s="5">
        <v>7.2</v>
      </c>
      <c r="Y587" s="5">
        <v>2</v>
      </c>
      <c r="Z587" s="5" t="s">
        <v>117</v>
      </c>
      <c r="AA587" s="6">
        <v>189.8</v>
      </c>
      <c r="AB587" s="8">
        <f t="shared" si="117"/>
        <v>260</v>
      </c>
      <c r="AC587" s="8">
        <f t="shared" si="118"/>
        <v>13</v>
      </c>
      <c r="AD587" s="8">
        <f t="shared" si="119"/>
        <v>247</v>
      </c>
      <c r="AE587" s="8">
        <f t="shared" si="120"/>
        <v>189.8</v>
      </c>
      <c r="AF587" s="8">
        <f t="shared" si="121"/>
        <v>57.199999999999989</v>
      </c>
      <c r="AG587" s="9">
        <f t="shared" si="122"/>
        <v>0.231578947368421</v>
      </c>
      <c r="AH587" s="10">
        <f t="shared" si="123"/>
        <v>2025</v>
      </c>
      <c r="AI587" s="10">
        <f t="shared" si="124"/>
        <v>12</v>
      </c>
      <c r="AJ587" s="10" t="str">
        <f t="shared" si="125"/>
        <v>2025-12</v>
      </c>
      <c r="AK587" s="10" t="str">
        <f t="shared" si="126"/>
        <v>T4</v>
      </c>
      <c r="AL587" s="10" t="str">
        <f t="shared" si="127"/>
        <v>22-29</v>
      </c>
      <c r="AM587" s="10" t="str">
        <f t="shared" si="128"/>
        <v>bon</v>
      </c>
      <c r="AN587" s="10" t="s">
        <v>2838</v>
      </c>
      <c r="AO587" s="10" t="str">
        <f t="shared" si="129"/>
        <v>Faible</v>
      </c>
    </row>
    <row r="588" spans="1:41">
      <c r="A588" t="s">
        <v>1852</v>
      </c>
      <c r="B588" s="2">
        <v>45711</v>
      </c>
      <c r="C588" t="s">
        <v>1853</v>
      </c>
      <c r="D588" t="s">
        <v>272</v>
      </c>
      <c r="E588" t="s">
        <v>61</v>
      </c>
      <c r="F588" t="s">
        <v>361</v>
      </c>
      <c r="G588">
        <v>4</v>
      </c>
      <c r="H588" s="4">
        <v>420</v>
      </c>
      <c r="I588" s="3">
        <v>0.05</v>
      </c>
      <c r="J588" t="s">
        <v>45</v>
      </c>
      <c r="K588" t="s">
        <v>46</v>
      </c>
      <c r="L588" t="s">
        <v>1854</v>
      </c>
      <c r="M588" t="s">
        <v>123</v>
      </c>
      <c r="N588" t="s">
        <v>255</v>
      </c>
      <c r="O588" t="s">
        <v>274</v>
      </c>
      <c r="P588" t="s">
        <v>133</v>
      </c>
      <c r="Q588" t="s">
        <v>114</v>
      </c>
      <c r="R588" t="s">
        <v>68</v>
      </c>
      <c r="S588" t="s">
        <v>69</v>
      </c>
      <c r="T588" t="s">
        <v>363</v>
      </c>
      <c r="U588" s="5">
        <v>40</v>
      </c>
      <c r="V588" s="5" t="s">
        <v>56</v>
      </c>
      <c r="W588" s="5">
        <v>16</v>
      </c>
      <c r="X588" s="5">
        <v>4.2</v>
      </c>
      <c r="Y588" s="5">
        <v>8</v>
      </c>
      <c r="Z588" s="5" t="s">
        <v>57</v>
      </c>
      <c r="AA588" s="6">
        <v>273</v>
      </c>
      <c r="AB588" s="8">
        <f t="shared" si="117"/>
        <v>1680</v>
      </c>
      <c r="AC588" s="8">
        <f t="shared" si="118"/>
        <v>84</v>
      </c>
      <c r="AD588" s="8">
        <f t="shared" si="119"/>
        <v>1596</v>
      </c>
      <c r="AE588" s="8">
        <f t="shared" si="120"/>
        <v>1092</v>
      </c>
      <c r="AF588" s="8">
        <f t="shared" si="121"/>
        <v>504</v>
      </c>
      <c r="AG588" s="9">
        <f t="shared" si="122"/>
        <v>0.31578947368421051</v>
      </c>
      <c r="AH588" s="10">
        <f t="shared" si="123"/>
        <v>2025</v>
      </c>
      <c r="AI588" s="10">
        <f t="shared" si="124"/>
        <v>2</v>
      </c>
      <c r="AJ588" s="10" t="str">
        <f t="shared" si="125"/>
        <v>2025-02</v>
      </c>
      <c r="AK588" s="10" t="str">
        <f t="shared" si="126"/>
        <v>T1</v>
      </c>
      <c r="AL588" s="10" t="str">
        <f t="shared" si="127"/>
        <v>40-49</v>
      </c>
      <c r="AM588" s="10" t="str">
        <f t="shared" si="128"/>
        <v>faible</v>
      </c>
      <c r="AN588" s="10" t="s">
        <v>2837</v>
      </c>
      <c r="AO588" s="10" t="str">
        <f t="shared" si="129"/>
        <v>Elevée</v>
      </c>
    </row>
    <row r="589" spans="1:41">
      <c r="A589" t="s">
        <v>1855</v>
      </c>
      <c r="B589" s="2">
        <v>45685</v>
      </c>
      <c r="C589" t="s">
        <v>1856</v>
      </c>
      <c r="D589" t="s">
        <v>155</v>
      </c>
      <c r="E589" t="s">
        <v>109</v>
      </c>
      <c r="F589" t="s">
        <v>44</v>
      </c>
      <c r="G589">
        <v>2</v>
      </c>
      <c r="H589" s="4">
        <v>48</v>
      </c>
      <c r="I589" s="3">
        <v>0.02</v>
      </c>
      <c r="J589" t="s">
        <v>63</v>
      </c>
      <c r="K589" t="s">
        <v>46</v>
      </c>
      <c r="L589" t="s">
        <v>1857</v>
      </c>
      <c r="M589" t="s">
        <v>69</v>
      </c>
      <c r="N589" t="s">
        <v>112</v>
      </c>
      <c r="O589" t="s">
        <v>158</v>
      </c>
      <c r="P589" t="s">
        <v>51</v>
      </c>
      <c r="Q589" t="s">
        <v>143</v>
      </c>
      <c r="R589" t="s">
        <v>115</v>
      </c>
      <c r="S589" t="s">
        <v>65</v>
      </c>
      <c r="T589" t="s">
        <v>55</v>
      </c>
      <c r="U589" s="5">
        <v>47</v>
      </c>
      <c r="V589" s="5" t="s">
        <v>56</v>
      </c>
      <c r="W589" s="5">
        <v>58</v>
      </c>
      <c r="X589" s="5">
        <v>6.8</v>
      </c>
      <c r="Y589" s="5">
        <v>5</v>
      </c>
      <c r="Z589" s="5" t="s">
        <v>71</v>
      </c>
      <c r="AA589" s="6">
        <v>37.44</v>
      </c>
      <c r="AB589" s="8">
        <f t="shared" si="117"/>
        <v>96</v>
      </c>
      <c r="AC589" s="8">
        <f t="shared" si="118"/>
        <v>1.92</v>
      </c>
      <c r="AD589" s="8">
        <f t="shared" si="119"/>
        <v>94.08</v>
      </c>
      <c r="AE589" s="8">
        <f t="shared" si="120"/>
        <v>74.88</v>
      </c>
      <c r="AF589" s="8">
        <f t="shared" si="121"/>
        <v>19.200000000000003</v>
      </c>
      <c r="AG589" s="9">
        <f t="shared" si="122"/>
        <v>0.20408163265306126</v>
      </c>
      <c r="AH589" s="10">
        <f t="shared" si="123"/>
        <v>2025</v>
      </c>
      <c r="AI589" s="10">
        <f t="shared" si="124"/>
        <v>1</v>
      </c>
      <c r="AJ589" s="10" t="str">
        <f t="shared" si="125"/>
        <v>2025-01</v>
      </c>
      <c r="AK589" s="10" t="str">
        <f t="shared" si="126"/>
        <v>T1</v>
      </c>
      <c r="AL589" s="10" t="str">
        <f t="shared" si="127"/>
        <v>40-49</v>
      </c>
      <c r="AM589" s="10" t="str">
        <f t="shared" si="128"/>
        <v>moyen</v>
      </c>
      <c r="AN589" s="10" t="s">
        <v>2839</v>
      </c>
      <c r="AO589" s="10" t="str">
        <f t="shared" si="129"/>
        <v>Faible</v>
      </c>
    </row>
    <row r="590" spans="1:41">
      <c r="A590" t="s">
        <v>1858</v>
      </c>
      <c r="B590" s="2">
        <v>45887</v>
      </c>
      <c r="C590" t="s">
        <v>560</v>
      </c>
      <c r="D590" t="s">
        <v>128</v>
      </c>
      <c r="E590" t="s">
        <v>120</v>
      </c>
      <c r="F590" t="s">
        <v>130</v>
      </c>
      <c r="G590">
        <v>3</v>
      </c>
      <c r="H590" s="4">
        <v>190</v>
      </c>
      <c r="I590" s="3">
        <v>0</v>
      </c>
      <c r="J590" t="s">
        <v>77</v>
      </c>
      <c r="K590" t="s">
        <v>46</v>
      </c>
      <c r="L590" t="s">
        <v>561</v>
      </c>
      <c r="M590" t="s">
        <v>65</v>
      </c>
      <c r="N590" t="s">
        <v>112</v>
      </c>
      <c r="O590" t="s">
        <v>132</v>
      </c>
      <c r="P590" t="s">
        <v>133</v>
      </c>
      <c r="Q590" t="s">
        <v>52</v>
      </c>
      <c r="R590" t="s">
        <v>124</v>
      </c>
      <c r="S590" t="s">
        <v>48</v>
      </c>
      <c r="T590" t="s">
        <v>135</v>
      </c>
      <c r="U590" s="5">
        <v>23</v>
      </c>
      <c r="V590" s="5" t="s">
        <v>56</v>
      </c>
      <c r="W590" s="5">
        <v>55</v>
      </c>
      <c r="X590" s="5">
        <v>6.7</v>
      </c>
      <c r="Y590" s="5">
        <v>4</v>
      </c>
      <c r="Z590" s="5" t="s">
        <v>57</v>
      </c>
      <c r="AA590" s="6">
        <v>148.19999999999999</v>
      </c>
      <c r="AB590" s="8">
        <f t="shared" si="117"/>
        <v>570</v>
      </c>
      <c r="AC590" s="8">
        <f t="shared" si="118"/>
        <v>0</v>
      </c>
      <c r="AD590" s="8">
        <f t="shared" si="119"/>
        <v>570</v>
      </c>
      <c r="AE590" s="8">
        <f t="shared" si="120"/>
        <v>444.59999999999997</v>
      </c>
      <c r="AF590" s="8">
        <f t="shared" si="121"/>
        <v>125.40000000000003</v>
      </c>
      <c r="AG590" s="9">
        <f t="shared" si="122"/>
        <v>0.22000000000000006</v>
      </c>
      <c r="AH590" s="10">
        <f t="shared" si="123"/>
        <v>2025</v>
      </c>
      <c r="AI590" s="10">
        <f t="shared" si="124"/>
        <v>8</v>
      </c>
      <c r="AJ590" s="10" t="str">
        <f t="shared" si="125"/>
        <v>2025-08</v>
      </c>
      <c r="AK590" s="10" t="str">
        <f t="shared" si="126"/>
        <v>T3</v>
      </c>
      <c r="AL590" s="10" t="str">
        <f t="shared" si="127"/>
        <v>22-29</v>
      </c>
      <c r="AM590" s="10" t="str">
        <f t="shared" si="128"/>
        <v>moyen</v>
      </c>
      <c r="AN590" s="10" t="s">
        <v>2839</v>
      </c>
      <c r="AO590" s="10" t="str">
        <f t="shared" si="129"/>
        <v>Moyenne</v>
      </c>
    </row>
    <row r="591" spans="1:41">
      <c r="A591" t="s">
        <v>1859</v>
      </c>
      <c r="B591" s="2">
        <v>45799</v>
      </c>
      <c r="C591" t="s">
        <v>1860</v>
      </c>
      <c r="D591" t="s">
        <v>174</v>
      </c>
      <c r="E591" t="s">
        <v>315</v>
      </c>
      <c r="F591" t="s">
        <v>282</v>
      </c>
      <c r="G591">
        <v>3</v>
      </c>
      <c r="H591" s="4">
        <v>780</v>
      </c>
      <c r="I591" s="3">
        <v>0.08</v>
      </c>
      <c r="J591" t="s">
        <v>90</v>
      </c>
      <c r="K591" t="s">
        <v>46</v>
      </c>
      <c r="L591" t="s">
        <v>1861</v>
      </c>
      <c r="M591" t="s">
        <v>69</v>
      </c>
      <c r="N591" t="s">
        <v>49</v>
      </c>
      <c r="O591" t="s">
        <v>177</v>
      </c>
      <c r="P591" t="s">
        <v>103</v>
      </c>
      <c r="Q591" t="s">
        <v>114</v>
      </c>
      <c r="R591" t="s">
        <v>317</v>
      </c>
      <c r="S591" t="s">
        <v>69</v>
      </c>
      <c r="T591" t="s">
        <v>284</v>
      </c>
      <c r="U591" s="5">
        <v>36</v>
      </c>
      <c r="V591" s="5" t="s">
        <v>56</v>
      </c>
      <c r="W591" s="5">
        <v>41</v>
      </c>
      <c r="X591" s="5">
        <v>3.7</v>
      </c>
      <c r="Y591" s="5">
        <v>8</v>
      </c>
      <c r="Z591" s="5" t="s">
        <v>94</v>
      </c>
      <c r="AA591" s="6">
        <v>468</v>
      </c>
      <c r="AB591" s="8">
        <f t="shared" si="117"/>
        <v>2340</v>
      </c>
      <c r="AC591" s="8">
        <f t="shared" si="118"/>
        <v>187.20000000000002</v>
      </c>
      <c r="AD591" s="8">
        <f t="shared" si="119"/>
        <v>2152.8000000000002</v>
      </c>
      <c r="AE591" s="8">
        <f t="shared" si="120"/>
        <v>1404</v>
      </c>
      <c r="AF591" s="8">
        <f t="shared" si="121"/>
        <v>748.80000000000018</v>
      </c>
      <c r="AG591" s="9">
        <f t="shared" si="122"/>
        <v>0.34782608695652178</v>
      </c>
      <c r="AH591" s="10">
        <f t="shared" si="123"/>
        <v>2025</v>
      </c>
      <c r="AI591" s="10">
        <f t="shared" si="124"/>
        <v>5</v>
      </c>
      <c r="AJ591" s="10" t="str">
        <f t="shared" si="125"/>
        <v>2025-05</v>
      </c>
      <c r="AK591" s="10" t="str">
        <f t="shared" si="126"/>
        <v>T2</v>
      </c>
      <c r="AL591" s="10" t="str">
        <f t="shared" si="127"/>
        <v>30-39</v>
      </c>
      <c r="AM591" s="10" t="str">
        <f t="shared" si="128"/>
        <v>faible</v>
      </c>
      <c r="AN591" s="10" t="s">
        <v>2837</v>
      </c>
      <c r="AO591" s="10" t="str">
        <f t="shared" si="129"/>
        <v>Elevée</v>
      </c>
    </row>
    <row r="592" spans="1:41">
      <c r="A592" t="s">
        <v>1862</v>
      </c>
      <c r="B592" s="2">
        <v>45768</v>
      </c>
      <c r="C592" t="s">
        <v>1863</v>
      </c>
      <c r="D592" t="s">
        <v>333</v>
      </c>
      <c r="E592" t="s">
        <v>98</v>
      </c>
      <c r="F592" t="s">
        <v>227</v>
      </c>
      <c r="G592">
        <v>3</v>
      </c>
      <c r="H592" s="4">
        <v>65</v>
      </c>
      <c r="I592" s="3">
        <v>0</v>
      </c>
      <c r="J592" t="s">
        <v>77</v>
      </c>
      <c r="K592" t="s">
        <v>46</v>
      </c>
      <c r="L592" t="s">
        <v>1864</v>
      </c>
      <c r="M592" t="s">
        <v>69</v>
      </c>
      <c r="N592" t="s">
        <v>80</v>
      </c>
      <c r="O592" t="s">
        <v>336</v>
      </c>
      <c r="P592" t="s">
        <v>51</v>
      </c>
      <c r="Q592" t="s">
        <v>52</v>
      </c>
      <c r="R592" t="s">
        <v>104</v>
      </c>
      <c r="S592" t="s">
        <v>79</v>
      </c>
      <c r="T592" t="s">
        <v>230</v>
      </c>
      <c r="U592" s="5">
        <v>47</v>
      </c>
      <c r="V592" s="5" t="s">
        <v>56</v>
      </c>
      <c r="W592" s="5">
        <v>33</v>
      </c>
      <c r="X592" s="5">
        <v>4.0999999999999996</v>
      </c>
      <c r="Y592" s="5">
        <v>7</v>
      </c>
      <c r="Z592" s="5" t="s">
        <v>57</v>
      </c>
      <c r="AA592" s="6">
        <v>47.45</v>
      </c>
      <c r="AB592" s="8">
        <f t="shared" si="117"/>
        <v>195</v>
      </c>
      <c r="AC592" s="8">
        <f t="shared" si="118"/>
        <v>0</v>
      </c>
      <c r="AD592" s="8">
        <f t="shared" si="119"/>
        <v>195</v>
      </c>
      <c r="AE592" s="8">
        <f t="shared" si="120"/>
        <v>142.35000000000002</v>
      </c>
      <c r="AF592" s="8">
        <f t="shared" si="121"/>
        <v>52.649999999999977</v>
      </c>
      <c r="AG592" s="9">
        <f t="shared" si="122"/>
        <v>0.26999999999999991</v>
      </c>
      <c r="AH592" s="10">
        <f t="shared" si="123"/>
        <v>2025</v>
      </c>
      <c r="AI592" s="10">
        <f t="shared" si="124"/>
        <v>4</v>
      </c>
      <c r="AJ592" s="10" t="str">
        <f t="shared" si="125"/>
        <v>2025-04</v>
      </c>
      <c r="AK592" s="10" t="str">
        <f t="shared" si="126"/>
        <v>T2</v>
      </c>
      <c r="AL592" s="10" t="str">
        <f t="shared" si="127"/>
        <v>40-49</v>
      </c>
      <c r="AM592" s="10" t="str">
        <f t="shared" si="128"/>
        <v>faible</v>
      </c>
      <c r="AN592" s="10" t="s">
        <v>2837</v>
      </c>
      <c r="AO592" s="10" t="str">
        <f t="shared" si="129"/>
        <v>Faible</v>
      </c>
    </row>
    <row r="593" spans="1:41">
      <c r="A593" t="s">
        <v>1865</v>
      </c>
      <c r="B593" s="2">
        <v>45934</v>
      </c>
      <c r="C593" t="s">
        <v>1866</v>
      </c>
      <c r="D593" t="s">
        <v>333</v>
      </c>
      <c r="E593" t="s">
        <v>98</v>
      </c>
      <c r="F593" t="s">
        <v>253</v>
      </c>
      <c r="G593">
        <v>20</v>
      </c>
      <c r="H593" s="4">
        <v>65</v>
      </c>
      <c r="I593" s="3">
        <v>0.05</v>
      </c>
      <c r="J593" t="s">
        <v>77</v>
      </c>
      <c r="K593" t="s">
        <v>46</v>
      </c>
      <c r="L593" t="s">
        <v>1867</v>
      </c>
      <c r="M593" t="s">
        <v>54</v>
      </c>
      <c r="N593" t="s">
        <v>255</v>
      </c>
      <c r="O593" t="s">
        <v>336</v>
      </c>
      <c r="P593" t="s">
        <v>51</v>
      </c>
      <c r="Q593" t="s">
        <v>52</v>
      </c>
      <c r="R593" t="s">
        <v>104</v>
      </c>
      <c r="S593" t="s">
        <v>79</v>
      </c>
      <c r="T593" t="s">
        <v>256</v>
      </c>
      <c r="U593" s="5">
        <v>46</v>
      </c>
      <c r="V593" s="5" t="s">
        <v>56</v>
      </c>
      <c r="W593" s="5">
        <v>41</v>
      </c>
      <c r="X593" s="5">
        <v>4.3</v>
      </c>
      <c r="Y593" s="5">
        <v>7</v>
      </c>
      <c r="Z593" s="5" t="s">
        <v>71</v>
      </c>
      <c r="AA593" s="6">
        <v>47.45</v>
      </c>
      <c r="AB593" s="8">
        <f t="shared" si="117"/>
        <v>1300</v>
      </c>
      <c r="AC593" s="8">
        <f t="shared" si="118"/>
        <v>65</v>
      </c>
      <c r="AD593" s="8">
        <f t="shared" si="119"/>
        <v>1235</v>
      </c>
      <c r="AE593" s="8">
        <f t="shared" si="120"/>
        <v>949</v>
      </c>
      <c r="AF593" s="8">
        <f t="shared" si="121"/>
        <v>286</v>
      </c>
      <c r="AG593" s="9">
        <f t="shared" si="122"/>
        <v>0.23157894736842105</v>
      </c>
      <c r="AH593" s="10">
        <f t="shared" si="123"/>
        <v>2025</v>
      </c>
      <c r="AI593" s="10">
        <f t="shared" si="124"/>
        <v>10</v>
      </c>
      <c r="AJ593" s="10" t="str">
        <f t="shared" si="125"/>
        <v>2025-10</v>
      </c>
      <c r="AK593" s="10" t="str">
        <f t="shared" si="126"/>
        <v>T4</v>
      </c>
      <c r="AL593" s="10" t="str">
        <f t="shared" si="127"/>
        <v>40-49</v>
      </c>
      <c r="AM593" s="10" t="str">
        <f t="shared" si="128"/>
        <v>faible</v>
      </c>
      <c r="AN593" s="10" t="s">
        <v>2837</v>
      </c>
      <c r="AO593" s="10" t="str">
        <f t="shared" si="129"/>
        <v>Elevée</v>
      </c>
    </row>
    <row r="594" spans="1:41">
      <c r="A594" t="s">
        <v>1868</v>
      </c>
      <c r="B594" s="2">
        <v>45694</v>
      </c>
      <c r="C594" t="s">
        <v>1869</v>
      </c>
      <c r="D594" t="s">
        <v>60</v>
      </c>
      <c r="E594" t="s">
        <v>345</v>
      </c>
      <c r="F594" t="s">
        <v>253</v>
      </c>
      <c r="G594">
        <v>3</v>
      </c>
      <c r="H594" s="4">
        <v>180</v>
      </c>
      <c r="I594" s="3">
        <v>0.05</v>
      </c>
      <c r="J594" t="s">
        <v>63</v>
      </c>
      <c r="K594" t="s">
        <v>46</v>
      </c>
      <c r="L594" t="s">
        <v>1870</v>
      </c>
      <c r="M594" t="s">
        <v>48</v>
      </c>
      <c r="N594" t="s">
        <v>255</v>
      </c>
      <c r="O594" t="s">
        <v>66</v>
      </c>
      <c r="P594" t="s">
        <v>67</v>
      </c>
      <c r="Q594" t="s">
        <v>52</v>
      </c>
      <c r="R594" t="s">
        <v>347</v>
      </c>
      <c r="S594" t="s">
        <v>54</v>
      </c>
      <c r="T594" t="s">
        <v>256</v>
      </c>
      <c r="U594" s="5">
        <v>41</v>
      </c>
      <c r="V594" s="5" t="s">
        <v>85</v>
      </c>
      <c r="W594" s="5">
        <v>14</v>
      </c>
      <c r="X594" s="5">
        <v>8.1</v>
      </c>
      <c r="Y594" s="5">
        <v>2</v>
      </c>
      <c r="Z594" s="5" t="s">
        <v>57</v>
      </c>
      <c r="AA594" s="6">
        <v>129.6</v>
      </c>
      <c r="AB594" s="8">
        <f t="shared" si="117"/>
        <v>540</v>
      </c>
      <c r="AC594" s="8">
        <f t="shared" si="118"/>
        <v>27</v>
      </c>
      <c r="AD594" s="8">
        <f t="shared" si="119"/>
        <v>513</v>
      </c>
      <c r="AE594" s="8">
        <f t="shared" si="120"/>
        <v>388.79999999999995</v>
      </c>
      <c r="AF594" s="8">
        <f t="shared" si="121"/>
        <v>124.20000000000005</v>
      </c>
      <c r="AG594" s="9">
        <f t="shared" si="122"/>
        <v>0.24210526315789482</v>
      </c>
      <c r="AH594" s="10">
        <f t="shared" si="123"/>
        <v>2025</v>
      </c>
      <c r="AI594" s="10">
        <f t="shared" si="124"/>
        <v>2</v>
      </c>
      <c r="AJ594" s="10" t="str">
        <f t="shared" si="125"/>
        <v>2025-02</v>
      </c>
      <c r="AK594" s="10" t="str">
        <f t="shared" si="126"/>
        <v>T1</v>
      </c>
      <c r="AL594" s="10" t="str">
        <f t="shared" si="127"/>
        <v>40-49</v>
      </c>
      <c r="AM594" s="10" t="str">
        <f t="shared" si="128"/>
        <v>bon</v>
      </c>
      <c r="AN594" s="10" t="s">
        <v>2838</v>
      </c>
      <c r="AO594" s="10" t="str">
        <f t="shared" si="129"/>
        <v>Moyenne</v>
      </c>
    </row>
    <row r="595" spans="1:41">
      <c r="A595" t="s">
        <v>1871</v>
      </c>
      <c r="B595" s="2">
        <v>45750</v>
      </c>
      <c r="C595" t="s">
        <v>1872</v>
      </c>
      <c r="D595" t="s">
        <v>162</v>
      </c>
      <c r="E595" t="s">
        <v>75</v>
      </c>
      <c r="F595" t="s">
        <v>149</v>
      </c>
      <c r="G595">
        <v>1</v>
      </c>
      <c r="H595" s="4">
        <v>35</v>
      </c>
      <c r="I595" s="3">
        <v>0.02</v>
      </c>
      <c r="J595" t="s">
        <v>90</v>
      </c>
      <c r="K595" t="s">
        <v>46</v>
      </c>
      <c r="L595" t="s">
        <v>1873</v>
      </c>
      <c r="M595" t="s">
        <v>123</v>
      </c>
      <c r="N595" t="s">
        <v>255</v>
      </c>
      <c r="O595" t="s">
        <v>166</v>
      </c>
      <c r="P595" t="s">
        <v>103</v>
      </c>
      <c r="Q595" t="s">
        <v>143</v>
      </c>
      <c r="R595" t="s">
        <v>83</v>
      </c>
      <c r="S595" t="s">
        <v>69</v>
      </c>
      <c r="T595" t="s">
        <v>152</v>
      </c>
      <c r="U595" s="5">
        <v>30</v>
      </c>
      <c r="V595" s="5" t="s">
        <v>56</v>
      </c>
      <c r="W595" s="5">
        <v>16</v>
      </c>
      <c r="X595" s="5">
        <v>8.1</v>
      </c>
      <c r="Y595" s="5">
        <v>3</v>
      </c>
      <c r="Z595" s="5" t="s">
        <v>71</v>
      </c>
      <c r="AA595" s="6">
        <v>24.15</v>
      </c>
      <c r="AB595" s="8">
        <f t="shared" si="117"/>
        <v>35</v>
      </c>
      <c r="AC595" s="8">
        <f t="shared" si="118"/>
        <v>0.70000000000000007</v>
      </c>
      <c r="AD595" s="8">
        <f t="shared" si="119"/>
        <v>34.299999999999997</v>
      </c>
      <c r="AE595" s="8">
        <f t="shared" si="120"/>
        <v>24.15</v>
      </c>
      <c r="AF595" s="8">
        <f t="shared" si="121"/>
        <v>10.149999999999999</v>
      </c>
      <c r="AG595" s="9">
        <f t="shared" si="122"/>
        <v>0.29591836734693877</v>
      </c>
      <c r="AH595" s="10">
        <f t="shared" si="123"/>
        <v>2025</v>
      </c>
      <c r="AI595" s="10">
        <f t="shared" si="124"/>
        <v>4</v>
      </c>
      <c r="AJ595" s="10" t="str">
        <f t="shared" si="125"/>
        <v>2025-04</v>
      </c>
      <c r="AK595" s="10" t="str">
        <f t="shared" si="126"/>
        <v>T2</v>
      </c>
      <c r="AL595" s="10" t="str">
        <f t="shared" si="127"/>
        <v>30-39</v>
      </c>
      <c r="AM595" s="10" t="str">
        <f t="shared" si="128"/>
        <v>bon</v>
      </c>
      <c r="AN595" s="10" t="s">
        <v>2838</v>
      </c>
      <c r="AO595" s="10" t="str">
        <f t="shared" si="129"/>
        <v>Faible</v>
      </c>
    </row>
    <row r="596" spans="1:41">
      <c r="A596" t="s">
        <v>1874</v>
      </c>
      <c r="B596" s="2">
        <v>45866</v>
      </c>
      <c r="C596" t="s">
        <v>1875</v>
      </c>
      <c r="D596" t="s">
        <v>148</v>
      </c>
      <c r="E596" t="s">
        <v>226</v>
      </c>
      <c r="F596" t="s">
        <v>439</v>
      </c>
      <c r="G596">
        <v>2</v>
      </c>
      <c r="H596" s="4">
        <v>110</v>
      </c>
      <c r="I596" s="3">
        <v>0.02</v>
      </c>
      <c r="J596" t="s">
        <v>45</v>
      </c>
      <c r="K596" t="s">
        <v>46</v>
      </c>
      <c r="L596" t="s">
        <v>1876</v>
      </c>
      <c r="M596" t="s">
        <v>79</v>
      </c>
      <c r="N596" t="s">
        <v>255</v>
      </c>
      <c r="O596" t="s">
        <v>151</v>
      </c>
      <c r="P596" t="s">
        <v>103</v>
      </c>
      <c r="Q596" t="s">
        <v>114</v>
      </c>
      <c r="R596" t="s">
        <v>229</v>
      </c>
      <c r="S596" t="s">
        <v>48</v>
      </c>
      <c r="T596" t="s">
        <v>441</v>
      </c>
      <c r="U596" s="5">
        <v>28</v>
      </c>
      <c r="V596" s="5" t="s">
        <v>85</v>
      </c>
      <c r="W596" s="5">
        <v>43</v>
      </c>
      <c r="X596" s="5">
        <v>3.9</v>
      </c>
      <c r="Y596" s="5">
        <v>8</v>
      </c>
      <c r="Z596" s="5" t="s">
        <v>94</v>
      </c>
      <c r="AA596" s="6">
        <v>72.599999999999994</v>
      </c>
      <c r="AB596" s="8">
        <f t="shared" si="117"/>
        <v>220</v>
      </c>
      <c r="AC596" s="8">
        <f t="shared" si="118"/>
        <v>4.4000000000000004</v>
      </c>
      <c r="AD596" s="8">
        <f t="shared" si="119"/>
        <v>215.6</v>
      </c>
      <c r="AE596" s="8">
        <f t="shared" si="120"/>
        <v>145.19999999999999</v>
      </c>
      <c r="AF596" s="8">
        <f t="shared" si="121"/>
        <v>70.400000000000006</v>
      </c>
      <c r="AG596" s="9">
        <f t="shared" si="122"/>
        <v>0.32653061224489799</v>
      </c>
      <c r="AH596" s="10">
        <f t="shared" si="123"/>
        <v>2025</v>
      </c>
      <c r="AI596" s="10">
        <f t="shared" si="124"/>
        <v>7</v>
      </c>
      <c r="AJ596" s="10" t="str">
        <f t="shared" si="125"/>
        <v>2025-07</v>
      </c>
      <c r="AK596" s="10" t="str">
        <f t="shared" si="126"/>
        <v>T3</v>
      </c>
      <c r="AL596" s="10" t="str">
        <f t="shared" si="127"/>
        <v>22-29</v>
      </c>
      <c r="AM596" s="10" t="str">
        <f t="shared" si="128"/>
        <v>faible</v>
      </c>
      <c r="AN596" s="10" t="s">
        <v>2837</v>
      </c>
      <c r="AO596" s="10" t="str">
        <f t="shared" si="129"/>
        <v>Faible</v>
      </c>
    </row>
    <row r="597" spans="1:41">
      <c r="A597" t="s">
        <v>1877</v>
      </c>
      <c r="B597" s="2">
        <v>45748</v>
      </c>
      <c r="C597" t="s">
        <v>1878</v>
      </c>
      <c r="D597" t="s">
        <v>97</v>
      </c>
      <c r="E597" t="s">
        <v>43</v>
      </c>
      <c r="F597" t="s">
        <v>328</v>
      </c>
      <c r="G597">
        <v>4</v>
      </c>
      <c r="H597" s="4">
        <v>520</v>
      </c>
      <c r="I597" s="3">
        <v>0</v>
      </c>
      <c r="J597" t="s">
        <v>63</v>
      </c>
      <c r="K597" t="s">
        <v>46</v>
      </c>
      <c r="L597" t="s">
        <v>1879</v>
      </c>
      <c r="M597" t="s">
        <v>79</v>
      </c>
      <c r="N597" t="s">
        <v>80</v>
      </c>
      <c r="O597" t="s">
        <v>102</v>
      </c>
      <c r="P597" t="s">
        <v>103</v>
      </c>
      <c r="Q597" t="s">
        <v>52</v>
      </c>
      <c r="R597" t="s">
        <v>53</v>
      </c>
      <c r="S597" t="s">
        <v>54</v>
      </c>
      <c r="T597" t="s">
        <v>330</v>
      </c>
      <c r="U597" s="5">
        <v>59</v>
      </c>
      <c r="V597" s="5" t="s">
        <v>85</v>
      </c>
      <c r="W597" s="5">
        <v>69</v>
      </c>
      <c r="X597" s="5">
        <v>4.0999999999999996</v>
      </c>
      <c r="Y597" s="5">
        <v>7</v>
      </c>
      <c r="Z597" s="5" t="s">
        <v>94</v>
      </c>
      <c r="AA597" s="6">
        <v>348.4</v>
      </c>
      <c r="AB597" s="8">
        <f t="shared" si="117"/>
        <v>2080</v>
      </c>
      <c r="AC597" s="8">
        <f t="shared" si="118"/>
        <v>0</v>
      </c>
      <c r="AD597" s="8">
        <f t="shared" si="119"/>
        <v>2080</v>
      </c>
      <c r="AE597" s="8">
        <f t="shared" si="120"/>
        <v>1393.6</v>
      </c>
      <c r="AF597" s="8">
        <f t="shared" si="121"/>
        <v>686.40000000000009</v>
      </c>
      <c r="AG597" s="9">
        <f t="shared" si="122"/>
        <v>0.33000000000000007</v>
      </c>
      <c r="AH597" s="10">
        <f t="shared" si="123"/>
        <v>2025</v>
      </c>
      <c r="AI597" s="10">
        <f t="shared" si="124"/>
        <v>4</v>
      </c>
      <c r="AJ597" s="10" t="str">
        <f t="shared" si="125"/>
        <v>2025-04</v>
      </c>
      <c r="AK597" s="10" t="str">
        <f t="shared" si="126"/>
        <v>T2</v>
      </c>
      <c r="AL597" s="10" t="str">
        <f t="shared" si="127"/>
        <v>50+</v>
      </c>
      <c r="AM597" s="10" t="str">
        <f t="shared" si="128"/>
        <v>faible</v>
      </c>
      <c r="AN597" s="10" t="s">
        <v>2837</v>
      </c>
      <c r="AO597" s="10" t="str">
        <f t="shared" si="129"/>
        <v>Elevée</v>
      </c>
    </row>
    <row r="598" spans="1:41">
      <c r="A598" t="s">
        <v>1880</v>
      </c>
      <c r="B598" s="2">
        <v>45837</v>
      </c>
      <c r="C598" t="s">
        <v>1881</v>
      </c>
      <c r="D598" t="s">
        <v>148</v>
      </c>
      <c r="E598" t="s">
        <v>88</v>
      </c>
      <c r="F598" t="s">
        <v>156</v>
      </c>
      <c r="G598">
        <v>20</v>
      </c>
      <c r="H598" s="4">
        <v>110</v>
      </c>
      <c r="I598" s="3">
        <v>0.08</v>
      </c>
      <c r="J598" t="s">
        <v>90</v>
      </c>
      <c r="K598" t="s">
        <v>46</v>
      </c>
      <c r="L598" t="s">
        <v>1882</v>
      </c>
      <c r="M598" t="s">
        <v>123</v>
      </c>
      <c r="N598" t="s">
        <v>49</v>
      </c>
      <c r="O598" t="s">
        <v>151</v>
      </c>
      <c r="P598" t="s">
        <v>103</v>
      </c>
      <c r="Q598" t="s">
        <v>114</v>
      </c>
      <c r="R598" t="s">
        <v>92</v>
      </c>
      <c r="S598" t="s">
        <v>48</v>
      </c>
      <c r="T598" t="s">
        <v>159</v>
      </c>
      <c r="U598" s="5">
        <v>28</v>
      </c>
      <c r="V598" s="5" t="s">
        <v>56</v>
      </c>
      <c r="W598" s="5">
        <v>12</v>
      </c>
      <c r="X598" s="5">
        <v>5.5</v>
      </c>
      <c r="Y598" s="5">
        <v>6</v>
      </c>
      <c r="Z598" s="5" t="s">
        <v>71</v>
      </c>
      <c r="AA598" s="6">
        <v>72.599999999999994</v>
      </c>
      <c r="AB598" s="8">
        <f t="shared" si="117"/>
        <v>2200</v>
      </c>
      <c r="AC598" s="8">
        <f t="shared" si="118"/>
        <v>176</v>
      </c>
      <c r="AD598" s="8">
        <f t="shared" si="119"/>
        <v>2024</v>
      </c>
      <c r="AE598" s="8">
        <f t="shared" si="120"/>
        <v>1452</v>
      </c>
      <c r="AF598" s="8">
        <f t="shared" si="121"/>
        <v>572</v>
      </c>
      <c r="AG598" s="9">
        <f t="shared" si="122"/>
        <v>0.28260869565217389</v>
      </c>
      <c r="AH598" s="10">
        <f t="shared" si="123"/>
        <v>2025</v>
      </c>
      <c r="AI598" s="10">
        <f t="shared" si="124"/>
        <v>6</v>
      </c>
      <c r="AJ598" s="10" t="str">
        <f t="shared" si="125"/>
        <v>2025-06</v>
      </c>
      <c r="AK598" s="10" t="str">
        <f t="shared" si="126"/>
        <v>T2</v>
      </c>
      <c r="AL598" s="10" t="str">
        <f t="shared" si="127"/>
        <v>22-29</v>
      </c>
      <c r="AM598" s="10" t="str">
        <f t="shared" si="128"/>
        <v>moyen</v>
      </c>
      <c r="AN598" s="10" t="s">
        <v>2839</v>
      </c>
      <c r="AO598" s="10" t="str">
        <f t="shared" si="129"/>
        <v>Elevée</v>
      </c>
    </row>
    <row r="599" spans="1:41">
      <c r="A599" t="s">
        <v>1883</v>
      </c>
      <c r="B599" s="2">
        <v>45968</v>
      </c>
      <c r="C599" t="s">
        <v>1875</v>
      </c>
      <c r="D599" t="s">
        <v>340</v>
      </c>
      <c r="E599" t="s">
        <v>120</v>
      </c>
      <c r="F599" t="s">
        <v>779</v>
      </c>
      <c r="G599">
        <v>1</v>
      </c>
      <c r="H599" s="4">
        <v>22</v>
      </c>
      <c r="I599" s="3">
        <v>0.05</v>
      </c>
      <c r="J599" t="s">
        <v>90</v>
      </c>
      <c r="K599" t="s">
        <v>46</v>
      </c>
      <c r="L599" t="s">
        <v>1876</v>
      </c>
      <c r="M599" t="s">
        <v>79</v>
      </c>
      <c r="N599" t="s">
        <v>255</v>
      </c>
      <c r="O599" t="s">
        <v>342</v>
      </c>
      <c r="P599" t="s">
        <v>103</v>
      </c>
      <c r="Q599" t="s">
        <v>143</v>
      </c>
      <c r="R599" t="s">
        <v>124</v>
      </c>
      <c r="S599" t="s">
        <v>48</v>
      </c>
      <c r="T599" t="s">
        <v>781</v>
      </c>
      <c r="U599" s="5">
        <v>28</v>
      </c>
      <c r="V599" s="5" t="s">
        <v>85</v>
      </c>
      <c r="W599" s="5">
        <v>43</v>
      </c>
      <c r="X599" s="5">
        <v>8.6</v>
      </c>
      <c r="Y599" s="5">
        <v>1</v>
      </c>
      <c r="Z599" s="5" t="s">
        <v>94</v>
      </c>
      <c r="AA599" s="6">
        <v>14.96</v>
      </c>
      <c r="AB599" s="8">
        <f t="shared" si="117"/>
        <v>22</v>
      </c>
      <c r="AC599" s="8">
        <f t="shared" si="118"/>
        <v>1.1000000000000001</v>
      </c>
      <c r="AD599" s="8">
        <f t="shared" si="119"/>
        <v>20.9</v>
      </c>
      <c r="AE599" s="8">
        <f t="shared" si="120"/>
        <v>14.96</v>
      </c>
      <c r="AF599" s="8">
        <f t="shared" si="121"/>
        <v>5.9399999999999977</v>
      </c>
      <c r="AG599" s="9">
        <f t="shared" si="122"/>
        <v>0.28421052631578936</v>
      </c>
      <c r="AH599" s="10">
        <f t="shared" si="123"/>
        <v>2025</v>
      </c>
      <c r="AI599" s="10">
        <f t="shared" si="124"/>
        <v>11</v>
      </c>
      <c r="AJ599" s="10" t="str">
        <f t="shared" si="125"/>
        <v>2025-11</v>
      </c>
      <c r="AK599" s="10" t="str">
        <f t="shared" si="126"/>
        <v>T4</v>
      </c>
      <c r="AL599" s="10" t="str">
        <f t="shared" si="127"/>
        <v>22-29</v>
      </c>
      <c r="AM599" s="10" t="str">
        <f t="shared" si="128"/>
        <v>bon</v>
      </c>
      <c r="AN599" s="10" t="s">
        <v>2838</v>
      </c>
      <c r="AO599" s="10" t="str">
        <f t="shared" si="129"/>
        <v>Faible</v>
      </c>
    </row>
    <row r="600" spans="1:41">
      <c r="A600" t="s">
        <v>1884</v>
      </c>
      <c r="B600" s="2">
        <v>45664</v>
      </c>
      <c r="C600" t="s">
        <v>1885</v>
      </c>
      <c r="D600" t="s">
        <v>128</v>
      </c>
      <c r="E600" t="s">
        <v>120</v>
      </c>
      <c r="F600" t="s">
        <v>297</v>
      </c>
      <c r="G600">
        <v>1</v>
      </c>
      <c r="H600" s="4">
        <v>190</v>
      </c>
      <c r="I600" s="3">
        <v>0.02</v>
      </c>
      <c r="J600" t="s">
        <v>77</v>
      </c>
      <c r="K600" t="s">
        <v>46</v>
      </c>
      <c r="L600" t="s">
        <v>1886</v>
      </c>
      <c r="M600" t="s">
        <v>69</v>
      </c>
      <c r="N600" t="s">
        <v>49</v>
      </c>
      <c r="O600" t="s">
        <v>132</v>
      </c>
      <c r="P600" t="s">
        <v>133</v>
      </c>
      <c r="Q600" t="s">
        <v>52</v>
      </c>
      <c r="R600" t="s">
        <v>124</v>
      </c>
      <c r="S600" t="s">
        <v>48</v>
      </c>
      <c r="T600" t="s">
        <v>299</v>
      </c>
      <c r="U600" s="5">
        <v>59</v>
      </c>
      <c r="V600" s="5" t="s">
        <v>85</v>
      </c>
      <c r="W600" s="5">
        <v>49</v>
      </c>
      <c r="X600" s="5">
        <v>6.1</v>
      </c>
      <c r="Y600" s="5">
        <v>5</v>
      </c>
      <c r="Z600" s="5" t="s">
        <v>94</v>
      </c>
      <c r="AA600" s="6">
        <v>148.19999999999999</v>
      </c>
      <c r="AB600" s="8">
        <f t="shared" si="117"/>
        <v>190</v>
      </c>
      <c r="AC600" s="8">
        <f t="shared" si="118"/>
        <v>3.8000000000000003</v>
      </c>
      <c r="AD600" s="8">
        <f t="shared" si="119"/>
        <v>186.2</v>
      </c>
      <c r="AE600" s="8">
        <f t="shared" si="120"/>
        <v>148.19999999999999</v>
      </c>
      <c r="AF600" s="8">
        <f t="shared" si="121"/>
        <v>38</v>
      </c>
      <c r="AG600" s="9">
        <f t="shared" si="122"/>
        <v>0.20408163265306123</v>
      </c>
      <c r="AH600" s="10">
        <f t="shared" si="123"/>
        <v>2025</v>
      </c>
      <c r="AI600" s="10">
        <f t="shared" si="124"/>
        <v>1</v>
      </c>
      <c r="AJ600" s="10" t="str">
        <f t="shared" si="125"/>
        <v>2025-01</v>
      </c>
      <c r="AK600" s="10" t="str">
        <f t="shared" si="126"/>
        <v>T1</v>
      </c>
      <c r="AL600" s="10" t="str">
        <f t="shared" si="127"/>
        <v>50+</v>
      </c>
      <c r="AM600" s="10" t="str">
        <f t="shared" si="128"/>
        <v>moyen</v>
      </c>
      <c r="AN600" s="10" t="s">
        <v>2839</v>
      </c>
      <c r="AO600" s="10" t="str">
        <f t="shared" si="129"/>
        <v>Faible</v>
      </c>
    </row>
    <row r="601" spans="1:41">
      <c r="A601" t="s">
        <v>1887</v>
      </c>
      <c r="B601" s="2">
        <v>45748</v>
      </c>
      <c r="C601" t="s">
        <v>1598</v>
      </c>
      <c r="D601" t="s">
        <v>42</v>
      </c>
      <c r="E601" t="s">
        <v>315</v>
      </c>
      <c r="F601" t="s">
        <v>44</v>
      </c>
      <c r="G601">
        <v>5</v>
      </c>
      <c r="H601" s="4">
        <v>260</v>
      </c>
      <c r="I601" s="3">
        <v>0.08</v>
      </c>
      <c r="J601" t="s">
        <v>90</v>
      </c>
      <c r="K601" t="s">
        <v>46</v>
      </c>
      <c r="L601" t="s">
        <v>1599</v>
      </c>
      <c r="M601" t="s">
        <v>65</v>
      </c>
      <c r="N601" t="s">
        <v>49</v>
      </c>
      <c r="O601" t="s">
        <v>50</v>
      </c>
      <c r="P601" t="s">
        <v>51</v>
      </c>
      <c r="Q601" t="s">
        <v>52</v>
      </c>
      <c r="R601" t="s">
        <v>317</v>
      </c>
      <c r="S601" t="s">
        <v>69</v>
      </c>
      <c r="T601" t="s">
        <v>55</v>
      </c>
      <c r="U601" s="5">
        <v>42</v>
      </c>
      <c r="V601" s="5" t="s">
        <v>56</v>
      </c>
      <c r="W601" s="5">
        <v>11</v>
      </c>
      <c r="X601" s="5">
        <v>4.3</v>
      </c>
      <c r="Y601" s="5">
        <v>9</v>
      </c>
      <c r="Z601" s="5" t="s">
        <v>57</v>
      </c>
      <c r="AA601" s="6">
        <v>189.8</v>
      </c>
      <c r="AB601" s="8">
        <f t="shared" si="117"/>
        <v>1300</v>
      </c>
      <c r="AC601" s="8">
        <f t="shared" si="118"/>
        <v>104</v>
      </c>
      <c r="AD601" s="8">
        <f t="shared" si="119"/>
        <v>1196</v>
      </c>
      <c r="AE601" s="8">
        <f t="shared" si="120"/>
        <v>949</v>
      </c>
      <c r="AF601" s="8">
        <f t="shared" si="121"/>
        <v>247</v>
      </c>
      <c r="AG601" s="9">
        <f t="shared" si="122"/>
        <v>0.20652173913043478</v>
      </c>
      <c r="AH601" s="10">
        <f t="shared" si="123"/>
        <v>2025</v>
      </c>
      <c r="AI601" s="10">
        <f t="shared" si="124"/>
        <v>4</v>
      </c>
      <c r="AJ601" s="10" t="str">
        <f t="shared" si="125"/>
        <v>2025-04</v>
      </c>
      <c r="AK601" s="10" t="str">
        <f t="shared" si="126"/>
        <v>T2</v>
      </c>
      <c r="AL601" s="10" t="str">
        <f t="shared" si="127"/>
        <v>40-49</v>
      </c>
      <c r="AM601" s="10" t="str">
        <f t="shared" si="128"/>
        <v>faible</v>
      </c>
      <c r="AN601" s="10" t="s">
        <v>2837</v>
      </c>
      <c r="AO601" s="10" t="str">
        <f t="shared" si="129"/>
        <v>Elevée</v>
      </c>
    </row>
    <row r="602" spans="1:41">
      <c r="A602" t="s">
        <v>1888</v>
      </c>
      <c r="B602" s="2">
        <v>45933</v>
      </c>
      <c r="C602" t="s">
        <v>1889</v>
      </c>
      <c r="D602" t="s">
        <v>138</v>
      </c>
      <c r="E602" t="s">
        <v>219</v>
      </c>
      <c r="F602" t="s">
        <v>323</v>
      </c>
      <c r="G602">
        <v>5</v>
      </c>
      <c r="H602" s="4">
        <v>120</v>
      </c>
      <c r="I602" s="3">
        <v>0.1</v>
      </c>
      <c r="J602" t="s">
        <v>90</v>
      </c>
      <c r="K602" t="s">
        <v>46</v>
      </c>
      <c r="L602" t="s">
        <v>1890</v>
      </c>
      <c r="M602" t="s">
        <v>69</v>
      </c>
      <c r="N602" t="s">
        <v>255</v>
      </c>
      <c r="O602" t="s">
        <v>142</v>
      </c>
      <c r="P602" t="s">
        <v>51</v>
      </c>
      <c r="Q602" t="s">
        <v>143</v>
      </c>
      <c r="R602" t="s">
        <v>222</v>
      </c>
      <c r="S602" t="s">
        <v>123</v>
      </c>
      <c r="T602" t="s">
        <v>325</v>
      </c>
      <c r="U602" s="5">
        <v>27</v>
      </c>
      <c r="V602" s="5" t="s">
        <v>85</v>
      </c>
      <c r="W602" s="5">
        <v>51</v>
      </c>
      <c r="X602" s="5">
        <v>6.2</v>
      </c>
      <c r="Y602" s="5">
        <v>6</v>
      </c>
      <c r="Z602" s="5" t="s">
        <v>117</v>
      </c>
      <c r="AA602" s="6">
        <v>73.2</v>
      </c>
      <c r="AB602" s="8">
        <f t="shared" si="117"/>
        <v>600</v>
      </c>
      <c r="AC602" s="8">
        <f t="shared" si="118"/>
        <v>60</v>
      </c>
      <c r="AD602" s="8">
        <f t="shared" si="119"/>
        <v>540</v>
      </c>
      <c r="AE602" s="8">
        <f t="shared" si="120"/>
        <v>366</v>
      </c>
      <c r="AF602" s="8">
        <f t="shared" si="121"/>
        <v>174</v>
      </c>
      <c r="AG602" s="9">
        <f t="shared" si="122"/>
        <v>0.32222222222222224</v>
      </c>
      <c r="AH602" s="10">
        <f t="shared" si="123"/>
        <v>2025</v>
      </c>
      <c r="AI602" s="10">
        <f t="shared" si="124"/>
        <v>10</v>
      </c>
      <c r="AJ602" s="10" t="str">
        <f t="shared" si="125"/>
        <v>2025-10</v>
      </c>
      <c r="AK602" s="10" t="str">
        <f t="shared" si="126"/>
        <v>T4</v>
      </c>
      <c r="AL602" s="10" t="str">
        <f t="shared" si="127"/>
        <v>22-29</v>
      </c>
      <c r="AM602" s="10" t="str">
        <f t="shared" si="128"/>
        <v>moyen</v>
      </c>
      <c r="AN602" s="10" t="s">
        <v>2839</v>
      </c>
      <c r="AO602" s="10" t="str">
        <f t="shared" si="129"/>
        <v>Moyenne</v>
      </c>
    </row>
    <row r="603" spans="1:41">
      <c r="A603" t="s">
        <v>1891</v>
      </c>
      <c r="B603" s="2">
        <v>46007</v>
      </c>
      <c r="C603" t="s">
        <v>1892</v>
      </c>
      <c r="D603" t="s">
        <v>74</v>
      </c>
      <c r="E603" t="s">
        <v>345</v>
      </c>
      <c r="F603" t="s">
        <v>328</v>
      </c>
      <c r="G603">
        <v>1</v>
      </c>
      <c r="H603" s="4">
        <v>95</v>
      </c>
      <c r="I603" s="3">
        <v>0.05</v>
      </c>
      <c r="J603" t="s">
        <v>45</v>
      </c>
      <c r="K603" t="s">
        <v>46</v>
      </c>
      <c r="L603" t="s">
        <v>1893</v>
      </c>
      <c r="M603" t="s">
        <v>65</v>
      </c>
      <c r="N603" t="s">
        <v>101</v>
      </c>
      <c r="O603" t="s">
        <v>81</v>
      </c>
      <c r="P603" t="s">
        <v>82</v>
      </c>
      <c r="Q603" t="s">
        <v>52</v>
      </c>
      <c r="R603" t="s">
        <v>347</v>
      </c>
      <c r="S603" t="s">
        <v>54</v>
      </c>
      <c r="T603" t="s">
        <v>330</v>
      </c>
      <c r="U603" s="5">
        <v>24</v>
      </c>
      <c r="V603" s="5" t="s">
        <v>85</v>
      </c>
      <c r="W603" s="5">
        <v>20</v>
      </c>
      <c r="X603" s="5">
        <v>4.0999999999999996</v>
      </c>
      <c r="Y603" s="5">
        <v>8</v>
      </c>
      <c r="Z603" s="5" t="s">
        <v>71</v>
      </c>
      <c r="AA603" s="6">
        <v>70.3</v>
      </c>
      <c r="AB603" s="8">
        <f t="shared" si="117"/>
        <v>95</v>
      </c>
      <c r="AC603" s="8">
        <f t="shared" si="118"/>
        <v>4.75</v>
      </c>
      <c r="AD603" s="8">
        <f t="shared" si="119"/>
        <v>90.25</v>
      </c>
      <c r="AE603" s="8">
        <f t="shared" si="120"/>
        <v>70.3</v>
      </c>
      <c r="AF603" s="8">
        <f t="shared" si="121"/>
        <v>19.950000000000003</v>
      </c>
      <c r="AG603" s="9">
        <f t="shared" si="122"/>
        <v>0.22105263157894739</v>
      </c>
      <c r="AH603" s="10">
        <f t="shared" si="123"/>
        <v>2025</v>
      </c>
      <c r="AI603" s="10">
        <f t="shared" si="124"/>
        <v>12</v>
      </c>
      <c r="AJ603" s="10" t="str">
        <f t="shared" si="125"/>
        <v>2025-12</v>
      </c>
      <c r="AK603" s="10" t="str">
        <f t="shared" si="126"/>
        <v>T4</v>
      </c>
      <c r="AL603" s="10" t="str">
        <f t="shared" si="127"/>
        <v>22-29</v>
      </c>
      <c r="AM603" s="10" t="str">
        <f t="shared" si="128"/>
        <v>faible</v>
      </c>
      <c r="AN603" s="10" t="s">
        <v>2837</v>
      </c>
      <c r="AO603" s="10" t="str">
        <f t="shared" si="129"/>
        <v>Faible</v>
      </c>
    </row>
    <row r="604" spans="1:41">
      <c r="A604" t="s">
        <v>1894</v>
      </c>
      <c r="B604" s="2">
        <v>45830</v>
      </c>
      <c r="C604" t="s">
        <v>1895</v>
      </c>
      <c r="D604" t="s">
        <v>181</v>
      </c>
      <c r="E604" t="s">
        <v>98</v>
      </c>
      <c r="F604" t="s">
        <v>267</v>
      </c>
      <c r="G604">
        <v>6</v>
      </c>
      <c r="H604" s="4">
        <v>145</v>
      </c>
      <c r="I604" s="3">
        <v>0.08</v>
      </c>
      <c r="J604" t="s">
        <v>63</v>
      </c>
      <c r="K604" t="s">
        <v>46</v>
      </c>
      <c r="L604" t="s">
        <v>1896</v>
      </c>
      <c r="M604" t="s">
        <v>69</v>
      </c>
      <c r="N604" t="s">
        <v>49</v>
      </c>
      <c r="O604" t="s">
        <v>184</v>
      </c>
      <c r="P604" t="s">
        <v>103</v>
      </c>
      <c r="Q604" t="s">
        <v>52</v>
      </c>
      <c r="R604" t="s">
        <v>104</v>
      </c>
      <c r="S604" t="s">
        <v>79</v>
      </c>
      <c r="T604" t="s">
        <v>269</v>
      </c>
      <c r="U604" s="5">
        <v>41</v>
      </c>
      <c r="V604" s="5" t="s">
        <v>85</v>
      </c>
      <c r="W604" s="5">
        <v>44</v>
      </c>
      <c r="X604" s="5">
        <v>7.9</v>
      </c>
      <c r="Y604" s="5">
        <v>1</v>
      </c>
      <c r="Z604" s="5" t="s">
        <v>117</v>
      </c>
      <c r="AA604" s="6">
        <v>97.15</v>
      </c>
      <c r="AB604" s="8">
        <f t="shared" si="117"/>
        <v>870</v>
      </c>
      <c r="AC604" s="8">
        <f t="shared" si="118"/>
        <v>69.600000000000009</v>
      </c>
      <c r="AD604" s="8">
        <f t="shared" si="119"/>
        <v>800.4</v>
      </c>
      <c r="AE604" s="8">
        <f t="shared" si="120"/>
        <v>582.90000000000009</v>
      </c>
      <c r="AF604" s="8">
        <f t="shared" si="121"/>
        <v>217.49999999999989</v>
      </c>
      <c r="AG604" s="9">
        <f t="shared" si="122"/>
        <v>0.27173913043478248</v>
      </c>
      <c r="AH604" s="10">
        <f t="shared" si="123"/>
        <v>2025</v>
      </c>
      <c r="AI604" s="10">
        <f t="shared" si="124"/>
        <v>6</v>
      </c>
      <c r="AJ604" s="10" t="str">
        <f t="shared" si="125"/>
        <v>2025-06</v>
      </c>
      <c r="AK604" s="10" t="str">
        <f t="shared" si="126"/>
        <v>T2</v>
      </c>
      <c r="AL604" s="10" t="str">
        <f t="shared" si="127"/>
        <v>40-49</v>
      </c>
      <c r="AM604" s="10" t="str">
        <f t="shared" si="128"/>
        <v>bon</v>
      </c>
      <c r="AN604" s="10" t="s">
        <v>2838</v>
      </c>
      <c r="AO604" s="10" t="str">
        <f t="shared" si="129"/>
        <v>Moyenne</v>
      </c>
    </row>
    <row r="605" spans="1:41">
      <c r="A605" t="s">
        <v>1897</v>
      </c>
      <c r="B605" s="2">
        <v>45845</v>
      </c>
      <c r="C605" t="s">
        <v>1631</v>
      </c>
      <c r="D605" t="s">
        <v>174</v>
      </c>
      <c r="E605" t="s">
        <v>189</v>
      </c>
      <c r="F605" t="s">
        <v>259</v>
      </c>
      <c r="G605">
        <v>1</v>
      </c>
      <c r="H605" s="4">
        <v>780</v>
      </c>
      <c r="I605" s="3">
        <v>0.1</v>
      </c>
      <c r="J605" t="s">
        <v>63</v>
      </c>
      <c r="K605" t="s">
        <v>46</v>
      </c>
      <c r="L605" t="s">
        <v>1632</v>
      </c>
      <c r="M605" t="s">
        <v>123</v>
      </c>
      <c r="N605" t="s">
        <v>101</v>
      </c>
      <c r="O605" t="s">
        <v>177</v>
      </c>
      <c r="P605" t="s">
        <v>103</v>
      </c>
      <c r="Q605" t="s">
        <v>114</v>
      </c>
      <c r="R605" t="s">
        <v>193</v>
      </c>
      <c r="S605" t="s">
        <v>79</v>
      </c>
      <c r="T605" t="s">
        <v>261</v>
      </c>
      <c r="U605" s="5">
        <v>51</v>
      </c>
      <c r="V605" s="5" t="s">
        <v>56</v>
      </c>
      <c r="W605" s="5">
        <v>50</v>
      </c>
      <c r="X605" s="5">
        <v>5.9</v>
      </c>
      <c r="Y605" s="5">
        <v>5</v>
      </c>
      <c r="Z605" s="5" t="s">
        <v>117</v>
      </c>
      <c r="AA605" s="6">
        <v>468</v>
      </c>
      <c r="AB605" s="8">
        <f t="shared" si="117"/>
        <v>780</v>
      </c>
      <c r="AC605" s="8">
        <f t="shared" si="118"/>
        <v>78</v>
      </c>
      <c r="AD605" s="8">
        <f t="shared" si="119"/>
        <v>702</v>
      </c>
      <c r="AE605" s="8">
        <f t="shared" si="120"/>
        <v>468</v>
      </c>
      <c r="AF605" s="8">
        <f t="shared" si="121"/>
        <v>234</v>
      </c>
      <c r="AG605" s="9">
        <f t="shared" si="122"/>
        <v>0.33333333333333331</v>
      </c>
      <c r="AH605" s="10">
        <f t="shared" si="123"/>
        <v>2025</v>
      </c>
      <c r="AI605" s="10">
        <f t="shared" si="124"/>
        <v>7</v>
      </c>
      <c r="AJ605" s="10" t="str">
        <f t="shared" si="125"/>
        <v>2025-07</v>
      </c>
      <c r="AK605" s="10" t="str">
        <f t="shared" si="126"/>
        <v>T3</v>
      </c>
      <c r="AL605" s="10" t="str">
        <f t="shared" si="127"/>
        <v>50+</v>
      </c>
      <c r="AM605" s="10" t="str">
        <f t="shared" si="128"/>
        <v>moyen</v>
      </c>
      <c r="AN605" s="10" t="s">
        <v>2839</v>
      </c>
      <c r="AO605" s="10" t="str">
        <f t="shared" si="129"/>
        <v>Moyenne</v>
      </c>
    </row>
    <row r="606" spans="1:41">
      <c r="A606" t="s">
        <v>1898</v>
      </c>
      <c r="B606" s="2">
        <v>45903</v>
      </c>
      <c r="C606" t="s">
        <v>1899</v>
      </c>
      <c r="D606" t="s">
        <v>188</v>
      </c>
      <c r="E606" t="s">
        <v>315</v>
      </c>
      <c r="F606" t="s">
        <v>197</v>
      </c>
      <c r="G606">
        <v>4</v>
      </c>
      <c r="H606" s="4">
        <v>350</v>
      </c>
      <c r="I606" s="3">
        <v>0.08</v>
      </c>
      <c r="J606" t="s">
        <v>90</v>
      </c>
      <c r="K606" t="s">
        <v>46</v>
      </c>
      <c r="L606" t="s">
        <v>1900</v>
      </c>
      <c r="M606" t="s">
        <v>65</v>
      </c>
      <c r="N606" t="s">
        <v>255</v>
      </c>
      <c r="O606" t="s">
        <v>192</v>
      </c>
      <c r="P606" t="s">
        <v>51</v>
      </c>
      <c r="Q606" t="s">
        <v>114</v>
      </c>
      <c r="R606" t="s">
        <v>317</v>
      </c>
      <c r="S606" t="s">
        <v>69</v>
      </c>
      <c r="T606" t="s">
        <v>199</v>
      </c>
      <c r="U606" s="5">
        <v>50</v>
      </c>
      <c r="V606" s="5" t="s">
        <v>85</v>
      </c>
      <c r="W606" s="5">
        <v>5</v>
      </c>
      <c r="X606" s="5">
        <v>4.5999999999999996</v>
      </c>
      <c r="Y606" s="5">
        <v>8</v>
      </c>
      <c r="Z606" s="5" t="s">
        <v>117</v>
      </c>
      <c r="AA606" s="6">
        <v>213.5</v>
      </c>
      <c r="AB606" s="8">
        <f t="shared" si="117"/>
        <v>1400</v>
      </c>
      <c r="AC606" s="8">
        <f t="shared" si="118"/>
        <v>112</v>
      </c>
      <c r="AD606" s="8">
        <f t="shared" si="119"/>
        <v>1288</v>
      </c>
      <c r="AE606" s="8">
        <f t="shared" si="120"/>
        <v>854</v>
      </c>
      <c r="AF606" s="8">
        <f t="shared" si="121"/>
        <v>434</v>
      </c>
      <c r="AG606" s="9">
        <f t="shared" si="122"/>
        <v>0.33695652173913043</v>
      </c>
      <c r="AH606" s="10">
        <f t="shared" si="123"/>
        <v>2025</v>
      </c>
      <c r="AI606" s="10">
        <f t="shared" si="124"/>
        <v>9</v>
      </c>
      <c r="AJ606" s="10" t="str">
        <f t="shared" si="125"/>
        <v>2025-09</v>
      </c>
      <c r="AK606" s="10" t="str">
        <f t="shared" si="126"/>
        <v>T3</v>
      </c>
      <c r="AL606" s="10" t="str">
        <f t="shared" si="127"/>
        <v>50+</v>
      </c>
      <c r="AM606" s="10" t="str">
        <f t="shared" si="128"/>
        <v>faible</v>
      </c>
      <c r="AN606" s="10" t="s">
        <v>2837</v>
      </c>
      <c r="AO606" s="10" t="str">
        <f t="shared" si="129"/>
        <v>Elevée</v>
      </c>
    </row>
    <row r="607" spans="1:41">
      <c r="A607" t="s">
        <v>1901</v>
      </c>
      <c r="B607" s="2">
        <v>45952</v>
      </c>
      <c r="C607" t="s">
        <v>1902</v>
      </c>
      <c r="D607" t="s">
        <v>108</v>
      </c>
      <c r="E607" t="s">
        <v>207</v>
      </c>
      <c r="F607" t="s">
        <v>44</v>
      </c>
      <c r="G607">
        <v>4</v>
      </c>
      <c r="H607" s="4">
        <v>240</v>
      </c>
      <c r="I607" s="3">
        <v>0.05</v>
      </c>
      <c r="J607" t="s">
        <v>63</v>
      </c>
      <c r="K607" t="s">
        <v>46</v>
      </c>
      <c r="L607" t="s">
        <v>1903</v>
      </c>
      <c r="M607" t="s">
        <v>123</v>
      </c>
      <c r="N607" t="s">
        <v>80</v>
      </c>
      <c r="O607" t="s">
        <v>113</v>
      </c>
      <c r="P607" t="s">
        <v>82</v>
      </c>
      <c r="Q607" t="s">
        <v>114</v>
      </c>
      <c r="R607" t="s">
        <v>210</v>
      </c>
      <c r="S607" t="s">
        <v>79</v>
      </c>
      <c r="T607" t="s">
        <v>55</v>
      </c>
      <c r="U607" s="5">
        <v>59</v>
      </c>
      <c r="V607" s="5" t="s">
        <v>85</v>
      </c>
      <c r="W607" s="5">
        <v>33</v>
      </c>
      <c r="X607" s="5">
        <v>6.6</v>
      </c>
      <c r="Y607" s="5">
        <v>3</v>
      </c>
      <c r="Z607" s="5" t="s">
        <v>71</v>
      </c>
      <c r="AA607" s="6">
        <v>177.6</v>
      </c>
      <c r="AB607" s="8">
        <f t="shared" si="117"/>
        <v>960</v>
      </c>
      <c r="AC607" s="8">
        <f t="shared" si="118"/>
        <v>48</v>
      </c>
      <c r="AD607" s="8">
        <f t="shared" si="119"/>
        <v>912</v>
      </c>
      <c r="AE607" s="8">
        <f t="shared" si="120"/>
        <v>710.4</v>
      </c>
      <c r="AF607" s="8">
        <f t="shared" si="121"/>
        <v>201.60000000000002</v>
      </c>
      <c r="AG607" s="9">
        <f t="shared" si="122"/>
        <v>0.22105263157894739</v>
      </c>
      <c r="AH607" s="10">
        <f t="shared" si="123"/>
        <v>2025</v>
      </c>
      <c r="AI607" s="10">
        <f t="shared" si="124"/>
        <v>10</v>
      </c>
      <c r="AJ607" s="10" t="str">
        <f t="shared" si="125"/>
        <v>2025-10</v>
      </c>
      <c r="AK607" s="10" t="str">
        <f t="shared" si="126"/>
        <v>T4</v>
      </c>
      <c r="AL607" s="10" t="str">
        <f t="shared" si="127"/>
        <v>50+</v>
      </c>
      <c r="AM607" s="10" t="str">
        <f t="shared" si="128"/>
        <v>moyen</v>
      </c>
      <c r="AN607" s="10" t="s">
        <v>2838</v>
      </c>
      <c r="AO607" s="10" t="str">
        <f t="shared" si="129"/>
        <v>Moyenne</v>
      </c>
    </row>
    <row r="608" spans="1:41">
      <c r="A608" t="s">
        <v>1904</v>
      </c>
      <c r="B608" s="2">
        <v>45887</v>
      </c>
      <c r="C608" t="s">
        <v>1905</v>
      </c>
      <c r="D608" t="s">
        <v>74</v>
      </c>
      <c r="E608" t="s">
        <v>189</v>
      </c>
      <c r="F608" t="s">
        <v>248</v>
      </c>
      <c r="G608">
        <v>4</v>
      </c>
      <c r="H608" s="4">
        <v>95</v>
      </c>
      <c r="I608" s="3">
        <v>0</v>
      </c>
      <c r="J608" t="s">
        <v>63</v>
      </c>
      <c r="K608" t="s">
        <v>46</v>
      </c>
      <c r="L608" t="s">
        <v>1906</v>
      </c>
      <c r="M608" t="s">
        <v>48</v>
      </c>
      <c r="N608" t="s">
        <v>112</v>
      </c>
      <c r="O608" t="s">
        <v>81</v>
      </c>
      <c r="P608" t="s">
        <v>82</v>
      </c>
      <c r="Q608" t="s">
        <v>52</v>
      </c>
      <c r="R608" t="s">
        <v>193</v>
      </c>
      <c r="S608" t="s">
        <v>79</v>
      </c>
      <c r="T608" t="s">
        <v>250</v>
      </c>
      <c r="U608" s="5">
        <v>24</v>
      </c>
      <c r="V608" s="5" t="s">
        <v>56</v>
      </c>
      <c r="W608" s="5">
        <v>32</v>
      </c>
      <c r="X608" s="5">
        <v>4.0999999999999996</v>
      </c>
      <c r="Y608" s="5">
        <v>8</v>
      </c>
      <c r="Z608" s="5" t="s">
        <v>57</v>
      </c>
      <c r="AA608" s="6">
        <v>70.3</v>
      </c>
      <c r="AB608" s="8">
        <f t="shared" si="117"/>
        <v>380</v>
      </c>
      <c r="AC608" s="8">
        <f t="shared" si="118"/>
        <v>0</v>
      </c>
      <c r="AD608" s="8">
        <f t="shared" si="119"/>
        <v>380</v>
      </c>
      <c r="AE608" s="8">
        <f t="shared" si="120"/>
        <v>281.2</v>
      </c>
      <c r="AF608" s="8">
        <f t="shared" si="121"/>
        <v>98.800000000000011</v>
      </c>
      <c r="AG608" s="9">
        <f t="shared" si="122"/>
        <v>0.26</v>
      </c>
      <c r="AH608" s="10">
        <f t="shared" si="123"/>
        <v>2025</v>
      </c>
      <c r="AI608" s="10">
        <f t="shared" si="124"/>
        <v>8</v>
      </c>
      <c r="AJ608" s="10" t="str">
        <f t="shared" si="125"/>
        <v>2025-08</v>
      </c>
      <c r="AK608" s="10" t="str">
        <f t="shared" si="126"/>
        <v>T3</v>
      </c>
      <c r="AL608" s="10" t="str">
        <f t="shared" si="127"/>
        <v>22-29</v>
      </c>
      <c r="AM608" s="10" t="str">
        <f t="shared" si="128"/>
        <v>faible</v>
      </c>
      <c r="AN608" s="10" t="s">
        <v>2837</v>
      </c>
      <c r="AO608" s="10" t="str">
        <f t="shared" si="129"/>
        <v>Faible</v>
      </c>
    </row>
    <row r="609" spans="1:41">
      <c r="A609" t="s">
        <v>1907</v>
      </c>
      <c r="B609" s="2">
        <v>45909</v>
      </c>
      <c r="C609" t="s">
        <v>1908</v>
      </c>
      <c r="D609" t="s">
        <v>174</v>
      </c>
      <c r="E609" t="s">
        <v>277</v>
      </c>
      <c r="F609" t="s">
        <v>287</v>
      </c>
      <c r="G609">
        <v>1</v>
      </c>
      <c r="H609" s="4">
        <v>780</v>
      </c>
      <c r="I609" s="3">
        <v>0.05</v>
      </c>
      <c r="J609" t="s">
        <v>63</v>
      </c>
      <c r="K609" t="s">
        <v>46</v>
      </c>
      <c r="L609" t="s">
        <v>1909</v>
      </c>
      <c r="M609" t="s">
        <v>48</v>
      </c>
      <c r="N609" t="s">
        <v>80</v>
      </c>
      <c r="O609" t="s">
        <v>177</v>
      </c>
      <c r="P609" t="s">
        <v>103</v>
      </c>
      <c r="Q609" t="s">
        <v>114</v>
      </c>
      <c r="R609" t="s">
        <v>279</v>
      </c>
      <c r="S609" t="s">
        <v>54</v>
      </c>
      <c r="T609" t="s">
        <v>289</v>
      </c>
      <c r="U609" s="5">
        <v>27</v>
      </c>
      <c r="V609" s="5" t="s">
        <v>56</v>
      </c>
      <c r="W609" s="5">
        <v>3</v>
      </c>
      <c r="X609" s="5">
        <v>7</v>
      </c>
      <c r="Y609" s="5">
        <v>3</v>
      </c>
      <c r="Z609" s="5" t="s">
        <v>71</v>
      </c>
      <c r="AA609" s="6">
        <v>468</v>
      </c>
      <c r="AB609" s="8">
        <f t="shared" si="117"/>
        <v>780</v>
      </c>
      <c r="AC609" s="8">
        <f t="shared" si="118"/>
        <v>39</v>
      </c>
      <c r="AD609" s="8">
        <f t="shared" si="119"/>
        <v>741</v>
      </c>
      <c r="AE609" s="8">
        <f t="shared" si="120"/>
        <v>468</v>
      </c>
      <c r="AF609" s="8">
        <f t="shared" si="121"/>
        <v>273</v>
      </c>
      <c r="AG609" s="9">
        <f t="shared" si="122"/>
        <v>0.36842105263157893</v>
      </c>
      <c r="AH609" s="10">
        <f t="shared" si="123"/>
        <v>2025</v>
      </c>
      <c r="AI609" s="10">
        <f t="shared" si="124"/>
        <v>9</v>
      </c>
      <c r="AJ609" s="10" t="str">
        <f t="shared" si="125"/>
        <v>2025-09</v>
      </c>
      <c r="AK609" s="10" t="str">
        <f t="shared" si="126"/>
        <v>T3</v>
      </c>
      <c r="AL609" s="10" t="str">
        <f t="shared" si="127"/>
        <v>22-29</v>
      </c>
      <c r="AM609" s="10" t="str">
        <f t="shared" si="128"/>
        <v>bon</v>
      </c>
      <c r="AN609" s="10" t="s">
        <v>2838</v>
      </c>
      <c r="AO609" s="10" t="str">
        <f t="shared" si="129"/>
        <v>Moyenne</v>
      </c>
    </row>
    <row r="610" spans="1:41">
      <c r="A610" t="s">
        <v>1910</v>
      </c>
      <c r="B610" s="2">
        <v>46008</v>
      </c>
      <c r="C610" t="s">
        <v>1831</v>
      </c>
      <c r="D610" t="s">
        <v>272</v>
      </c>
      <c r="E610" t="s">
        <v>43</v>
      </c>
      <c r="F610" t="s">
        <v>253</v>
      </c>
      <c r="G610">
        <v>3</v>
      </c>
      <c r="H610" s="4">
        <v>420</v>
      </c>
      <c r="I610" s="3">
        <v>0.05</v>
      </c>
      <c r="J610" t="s">
        <v>90</v>
      </c>
      <c r="K610" t="s">
        <v>46</v>
      </c>
      <c r="L610" t="s">
        <v>1832</v>
      </c>
      <c r="M610" t="s">
        <v>79</v>
      </c>
      <c r="N610" t="s">
        <v>49</v>
      </c>
      <c r="O610" t="s">
        <v>274</v>
      </c>
      <c r="P610" t="s">
        <v>133</v>
      </c>
      <c r="Q610" t="s">
        <v>114</v>
      </c>
      <c r="R610" t="s">
        <v>53</v>
      </c>
      <c r="S610" t="s">
        <v>54</v>
      </c>
      <c r="T610" t="s">
        <v>256</v>
      </c>
      <c r="U610" s="5">
        <v>36</v>
      </c>
      <c r="V610" s="5" t="s">
        <v>85</v>
      </c>
      <c r="W610" s="5">
        <v>35</v>
      </c>
      <c r="X610" s="5">
        <v>6.8</v>
      </c>
      <c r="Y610" s="5">
        <v>5</v>
      </c>
      <c r="Z610" s="5" t="s">
        <v>94</v>
      </c>
      <c r="AA610" s="6">
        <v>273</v>
      </c>
      <c r="AB610" s="8">
        <f t="shared" si="117"/>
        <v>1260</v>
      </c>
      <c r="AC610" s="8">
        <f t="shared" si="118"/>
        <v>63</v>
      </c>
      <c r="AD610" s="8">
        <f t="shared" si="119"/>
        <v>1197</v>
      </c>
      <c r="AE610" s="8">
        <f t="shared" si="120"/>
        <v>819</v>
      </c>
      <c r="AF610" s="8">
        <f t="shared" si="121"/>
        <v>378</v>
      </c>
      <c r="AG610" s="9">
        <f t="shared" si="122"/>
        <v>0.31578947368421051</v>
      </c>
      <c r="AH610" s="10">
        <f t="shared" si="123"/>
        <v>2025</v>
      </c>
      <c r="AI610" s="10">
        <f t="shared" si="124"/>
        <v>12</v>
      </c>
      <c r="AJ610" s="10" t="str">
        <f t="shared" si="125"/>
        <v>2025-12</v>
      </c>
      <c r="AK610" s="10" t="str">
        <f t="shared" si="126"/>
        <v>T4</v>
      </c>
      <c r="AL610" s="10" t="str">
        <f t="shared" si="127"/>
        <v>30-39</v>
      </c>
      <c r="AM610" s="10" t="str">
        <f t="shared" si="128"/>
        <v>moyen</v>
      </c>
      <c r="AN610" s="10" t="s">
        <v>2839</v>
      </c>
      <c r="AO610" s="10" t="str">
        <f t="shared" si="129"/>
        <v>Elevée</v>
      </c>
    </row>
    <row r="611" spans="1:41">
      <c r="A611" t="s">
        <v>1911</v>
      </c>
      <c r="B611" s="2">
        <v>45986</v>
      </c>
      <c r="C611" t="s">
        <v>1912</v>
      </c>
      <c r="D611" t="s">
        <v>74</v>
      </c>
      <c r="E611" t="s">
        <v>61</v>
      </c>
      <c r="F611" t="s">
        <v>968</v>
      </c>
      <c r="G611">
        <v>2</v>
      </c>
      <c r="H611" s="4">
        <v>95</v>
      </c>
      <c r="I611" s="3">
        <v>0</v>
      </c>
      <c r="J611" t="s">
        <v>90</v>
      </c>
      <c r="K611" t="s">
        <v>46</v>
      </c>
      <c r="L611" t="s">
        <v>1913</v>
      </c>
      <c r="M611" t="s">
        <v>48</v>
      </c>
      <c r="N611" t="s">
        <v>112</v>
      </c>
      <c r="O611" t="s">
        <v>81</v>
      </c>
      <c r="P611" t="s">
        <v>82</v>
      </c>
      <c r="Q611" t="s">
        <v>52</v>
      </c>
      <c r="R611" t="s">
        <v>68</v>
      </c>
      <c r="S611" t="s">
        <v>69</v>
      </c>
      <c r="T611" t="s">
        <v>970</v>
      </c>
      <c r="U611" s="5">
        <v>31</v>
      </c>
      <c r="V611" s="5" t="s">
        <v>56</v>
      </c>
      <c r="W611" s="5">
        <v>58</v>
      </c>
      <c r="X611" s="5">
        <v>3.1</v>
      </c>
      <c r="Y611" s="5">
        <v>9</v>
      </c>
      <c r="Z611" s="5" t="s">
        <v>57</v>
      </c>
      <c r="AA611" s="6">
        <v>70.3</v>
      </c>
      <c r="AB611" s="8">
        <f t="shared" si="117"/>
        <v>190</v>
      </c>
      <c r="AC611" s="8">
        <f t="shared" si="118"/>
        <v>0</v>
      </c>
      <c r="AD611" s="8">
        <f t="shared" si="119"/>
        <v>190</v>
      </c>
      <c r="AE611" s="8">
        <f t="shared" si="120"/>
        <v>140.6</v>
      </c>
      <c r="AF611" s="8">
        <f t="shared" si="121"/>
        <v>49.400000000000006</v>
      </c>
      <c r="AG611" s="9">
        <f t="shared" si="122"/>
        <v>0.26</v>
      </c>
      <c r="AH611" s="10">
        <f t="shared" si="123"/>
        <v>2025</v>
      </c>
      <c r="AI611" s="10">
        <f t="shared" si="124"/>
        <v>11</v>
      </c>
      <c r="AJ611" s="10" t="str">
        <f t="shared" si="125"/>
        <v>2025-11</v>
      </c>
      <c r="AK611" s="10" t="str">
        <f t="shared" si="126"/>
        <v>T4</v>
      </c>
      <c r="AL611" s="10" t="str">
        <f t="shared" si="127"/>
        <v>30-39</v>
      </c>
      <c r="AM611" s="10" t="str">
        <f t="shared" si="128"/>
        <v>faible</v>
      </c>
      <c r="AN611" s="10" t="s">
        <v>2837</v>
      </c>
      <c r="AO611" s="10" t="str">
        <f t="shared" si="129"/>
        <v>Faible</v>
      </c>
    </row>
    <row r="612" spans="1:41">
      <c r="A612" t="s">
        <v>1914</v>
      </c>
      <c r="B612" s="2">
        <v>45933</v>
      </c>
      <c r="C612" t="s">
        <v>1156</v>
      </c>
      <c r="D612" t="s">
        <v>148</v>
      </c>
      <c r="E612" t="s">
        <v>88</v>
      </c>
      <c r="F612" t="s">
        <v>328</v>
      </c>
      <c r="G612">
        <v>1</v>
      </c>
      <c r="H612" s="4">
        <v>110</v>
      </c>
      <c r="I612" s="3">
        <v>0.1</v>
      </c>
      <c r="J612" t="s">
        <v>63</v>
      </c>
      <c r="K612" t="s">
        <v>46</v>
      </c>
      <c r="L612" t="s">
        <v>1157</v>
      </c>
      <c r="M612" t="s">
        <v>69</v>
      </c>
      <c r="N612" t="s">
        <v>101</v>
      </c>
      <c r="O612" t="s">
        <v>151</v>
      </c>
      <c r="P612" t="s">
        <v>103</v>
      </c>
      <c r="Q612" t="s">
        <v>114</v>
      </c>
      <c r="R612" t="s">
        <v>92</v>
      </c>
      <c r="S612" t="s">
        <v>48</v>
      </c>
      <c r="T612" t="s">
        <v>330</v>
      </c>
      <c r="U612" s="5">
        <v>39</v>
      </c>
      <c r="V612" s="5" t="s">
        <v>56</v>
      </c>
      <c r="W612" s="5">
        <v>49</v>
      </c>
      <c r="X612" s="5">
        <v>6</v>
      </c>
      <c r="Y612" s="5">
        <v>6</v>
      </c>
      <c r="Z612" s="5" t="s">
        <v>117</v>
      </c>
      <c r="AA612" s="6">
        <v>72.599999999999994</v>
      </c>
      <c r="AB612" s="8">
        <f t="shared" si="117"/>
        <v>110</v>
      </c>
      <c r="AC612" s="8">
        <f t="shared" si="118"/>
        <v>11</v>
      </c>
      <c r="AD612" s="8">
        <f t="shared" si="119"/>
        <v>99</v>
      </c>
      <c r="AE612" s="8">
        <f t="shared" si="120"/>
        <v>72.599999999999994</v>
      </c>
      <c r="AF612" s="8">
        <f t="shared" si="121"/>
        <v>26.400000000000006</v>
      </c>
      <c r="AG612" s="9">
        <f t="shared" si="122"/>
        <v>0.26666666666666672</v>
      </c>
      <c r="AH612" s="10">
        <f t="shared" si="123"/>
        <v>2025</v>
      </c>
      <c r="AI612" s="10">
        <f t="shared" si="124"/>
        <v>10</v>
      </c>
      <c r="AJ612" s="10" t="str">
        <f t="shared" si="125"/>
        <v>2025-10</v>
      </c>
      <c r="AK612" s="10" t="str">
        <f t="shared" si="126"/>
        <v>T4</v>
      </c>
      <c r="AL612" s="10" t="str">
        <f t="shared" si="127"/>
        <v>30-39</v>
      </c>
      <c r="AM612" s="10" t="str">
        <f t="shared" si="128"/>
        <v>moyen</v>
      </c>
      <c r="AN612" s="10" t="s">
        <v>2839</v>
      </c>
      <c r="AO612" s="10" t="str">
        <f t="shared" si="129"/>
        <v>Faible</v>
      </c>
    </row>
    <row r="613" spans="1:41">
      <c r="A613" t="s">
        <v>1915</v>
      </c>
      <c r="B613" s="2">
        <v>46006</v>
      </c>
      <c r="C613" t="s">
        <v>1916</v>
      </c>
      <c r="D613" t="s">
        <v>128</v>
      </c>
      <c r="E613" t="s">
        <v>207</v>
      </c>
      <c r="F613" t="s">
        <v>334</v>
      </c>
      <c r="G613">
        <v>3</v>
      </c>
      <c r="H613" s="4">
        <v>190</v>
      </c>
      <c r="I613" s="3">
        <v>0</v>
      </c>
      <c r="J613" t="s">
        <v>90</v>
      </c>
      <c r="K613" t="s">
        <v>46</v>
      </c>
      <c r="L613" t="s">
        <v>1917</v>
      </c>
      <c r="M613" t="s">
        <v>65</v>
      </c>
      <c r="N613" t="s">
        <v>112</v>
      </c>
      <c r="O613" t="s">
        <v>132</v>
      </c>
      <c r="P613" t="s">
        <v>133</v>
      </c>
      <c r="Q613" t="s">
        <v>52</v>
      </c>
      <c r="R613" t="s">
        <v>210</v>
      </c>
      <c r="S613" t="s">
        <v>79</v>
      </c>
      <c r="T613" t="s">
        <v>337</v>
      </c>
      <c r="U613" s="5">
        <v>26</v>
      </c>
      <c r="V613" s="5" t="s">
        <v>56</v>
      </c>
      <c r="W613" s="5">
        <v>32</v>
      </c>
      <c r="X613" s="5">
        <v>7.9</v>
      </c>
      <c r="Y613" s="5">
        <v>1</v>
      </c>
      <c r="Z613" s="5" t="s">
        <v>71</v>
      </c>
      <c r="AA613" s="6">
        <v>148.19999999999999</v>
      </c>
      <c r="AB613" s="8">
        <f t="shared" si="117"/>
        <v>570</v>
      </c>
      <c r="AC613" s="8">
        <f t="shared" si="118"/>
        <v>0</v>
      </c>
      <c r="AD613" s="8">
        <f t="shared" si="119"/>
        <v>570</v>
      </c>
      <c r="AE613" s="8">
        <f t="shared" si="120"/>
        <v>444.59999999999997</v>
      </c>
      <c r="AF613" s="8">
        <f t="shared" si="121"/>
        <v>125.40000000000003</v>
      </c>
      <c r="AG613" s="9">
        <f t="shared" si="122"/>
        <v>0.22000000000000006</v>
      </c>
      <c r="AH613" s="10">
        <f t="shared" si="123"/>
        <v>2025</v>
      </c>
      <c r="AI613" s="10">
        <f t="shared" si="124"/>
        <v>12</v>
      </c>
      <c r="AJ613" s="10" t="str">
        <f t="shared" si="125"/>
        <v>2025-12</v>
      </c>
      <c r="AK613" s="10" t="str">
        <f t="shared" si="126"/>
        <v>T4</v>
      </c>
      <c r="AL613" s="10" t="str">
        <f t="shared" si="127"/>
        <v>22-29</v>
      </c>
      <c r="AM613" s="10" t="str">
        <f t="shared" si="128"/>
        <v>bon</v>
      </c>
      <c r="AN613" s="10" t="s">
        <v>2838</v>
      </c>
      <c r="AO613" s="10" t="str">
        <f t="shared" si="129"/>
        <v>Moyenne</v>
      </c>
    </row>
    <row r="614" spans="1:41">
      <c r="A614" t="s">
        <v>1918</v>
      </c>
      <c r="B614" s="2">
        <v>45762</v>
      </c>
      <c r="C614" t="s">
        <v>1919</v>
      </c>
      <c r="D614" t="s">
        <v>162</v>
      </c>
      <c r="E614" t="s">
        <v>189</v>
      </c>
      <c r="F614" t="s">
        <v>282</v>
      </c>
      <c r="G614">
        <v>2</v>
      </c>
      <c r="H614" s="4">
        <v>35</v>
      </c>
      <c r="I614" s="3">
        <v>0.05</v>
      </c>
      <c r="J614" t="s">
        <v>90</v>
      </c>
      <c r="K614" t="s">
        <v>46</v>
      </c>
      <c r="L614" t="s">
        <v>1920</v>
      </c>
      <c r="M614" t="s">
        <v>48</v>
      </c>
      <c r="N614" t="s">
        <v>101</v>
      </c>
      <c r="O614" t="s">
        <v>166</v>
      </c>
      <c r="P614" t="s">
        <v>103</v>
      </c>
      <c r="Q614" t="s">
        <v>143</v>
      </c>
      <c r="R614" t="s">
        <v>193</v>
      </c>
      <c r="S614" t="s">
        <v>79</v>
      </c>
      <c r="T614" t="s">
        <v>284</v>
      </c>
      <c r="U614" s="5">
        <v>31</v>
      </c>
      <c r="V614" s="5" t="s">
        <v>56</v>
      </c>
      <c r="W614" s="5">
        <v>27</v>
      </c>
      <c r="X614" s="5">
        <v>3.9</v>
      </c>
      <c r="Y614" s="5">
        <v>8</v>
      </c>
      <c r="Z614" s="5" t="s">
        <v>71</v>
      </c>
      <c r="AA614" s="6">
        <v>24.15</v>
      </c>
      <c r="AB614" s="8">
        <f t="shared" si="117"/>
        <v>70</v>
      </c>
      <c r="AC614" s="8">
        <f t="shared" si="118"/>
        <v>3.5</v>
      </c>
      <c r="AD614" s="8">
        <f t="shared" si="119"/>
        <v>66.5</v>
      </c>
      <c r="AE614" s="8">
        <f t="shared" si="120"/>
        <v>48.3</v>
      </c>
      <c r="AF614" s="8">
        <f t="shared" si="121"/>
        <v>18.200000000000003</v>
      </c>
      <c r="AG614" s="9">
        <f t="shared" si="122"/>
        <v>0.27368421052631581</v>
      </c>
      <c r="AH614" s="10">
        <f t="shared" si="123"/>
        <v>2025</v>
      </c>
      <c r="AI614" s="10">
        <f t="shared" si="124"/>
        <v>4</v>
      </c>
      <c r="AJ614" s="10" t="str">
        <f t="shared" si="125"/>
        <v>2025-04</v>
      </c>
      <c r="AK614" s="10" t="str">
        <f t="shared" si="126"/>
        <v>T2</v>
      </c>
      <c r="AL614" s="10" t="str">
        <f t="shared" si="127"/>
        <v>30-39</v>
      </c>
      <c r="AM614" s="10" t="str">
        <f t="shared" si="128"/>
        <v>faible</v>
      </c>
      <c r="AN614" s="10" t="s">
        <v>2837</v>
      </c>
      <c r="AO614" s="10" t="str">
        <f t="shared" si="129"/>
        <v>Faible</v>
      </c>
    </row>
    <row r="615" spans="1:41">
      <c r="A615" t="s">
        <v>1921</v>
      </c>
      <c r="B615" s="2">
        <v>45863</v>
      </c>
      <c r="C615" t="s">
        <v>1922</v>
      </c>
      <c r="D615" t="s">
        <v>162</v>
      </c>
      <c r="E615" t="s">
        <v>315</v>
      </c>
      <c r="F615" t="s">
        <v>121</v>
      </c>
      <c r="G615">
        <v>1</v>
      </c>
      <c r="H615" s="4">
        <v>35</v>
      </c>
      <c r="I615" s="3">
        <v>0</v>
      </c>
      <c r="J615" t="s">
        <v>45</v>
      </c>
      <c r="K615" t="s">
        <v>46</v>
      </c>
      <c r="L615" t="s">
        <v>1923</v>
      </c>
      <c r="M615" t="s">
        <v>123</v>
      </c>
      <c r="N615" t="s">
        <v>49</v>
      </c>
      <c r="O615" t="s">
        <v>166</v>
      </c>
      <c r="P615" t="s">
        <v>103</v>
      </c>
      <c r="Q615" t="s">
        <v>143</v>
      </c>
      <c r="R615" t="s">
        <v>317</v>
      </c>
      <c r="S615" t="s">
        <v>69</v>
      </c>
      <c r="T615" t="s">
        <v>125</v>
      </c>
      <c r="U615" s="5">
        <v>55</v>
      </c>
      <c r="V615" s="5" t="s">
        <v>85</v>
      </c>
      <c r="W615" s="5">
        <v>65</v>
      </c>
      <c r="X615" s="5">
        <v>3.3</v>
      </c>
      <c r="Y615" s="5">
        <v>9</v>
      </c>
      <c r="Z615" s="5" t="s">
        <v>57</v>
      </c>
      <c r="AA615" s="6">
        <v>24.15</v>
      </c>
      <c r="AB615" s="8">
        <f t="shared" si="117"/>
        <v>35</v>
      </c>
      <c r="AC615" s="8">
        <f t="shared" si="118"/>
        <v>0</v>
      </c>
      <c r="AD615" s="8">
        <f t="shared" si="119"/>
        <v>35</v>
      </c>
      <c r="AE615" s="8">
        <f t="shared" si="120"/>
        <v>24.15</v>
      </c>
      <c r="AF615" s="8">
        <f t="shared" si="121"/>
        <v>10.850000000000001</v>
      </c>
      <c r="AG615" s="9">
        <f t="shared" si="122"/>
        <v>0.31000000000000005</v>
      </c>
      <c r="AH615" s="10">
        <f t="shared" si="123"/>
        <v>2025</v>
      </c>
      <c r="AI615" s="10">
        <f t="shared" si="124"/>
        <v>7</v>
      </c>
      <c r="AJ615" s="10" t="str">
        <f t="shared" si="125"/>
        <v>2025-07</v>
      </c>
      <c r="AK615" s="10" t="str">
        <f t="shared" si="126"/>
        <v>T3</v>
      </c>
      <c r="AL615" s="10" t="str">
        <f t="shared" si="127"/>
        <v>50+</v>
      </c>
      <c r="AM615" s="10" t="str">
        <f t="shared" si="128"/>
        <v>faible</v>
      </c>
      <c r="AN615" s="10" t="s">
        <v>2837</v>
      </c>
      <c r="AO615" s="10" t="str">
        <f t="shared" si="129"/>
        <v>Faible</v>
      </c>
    </row>
    <row r="616" spans="1:41">
      <c r="A616" t="s">
        <v>1924</v>
      </c>
      <c r="B616" s="2">
        <v>45992</v>
      </c>
      <c r="C616" t="s">
        <v>1925</v>
      </c>
      <c r="D616" t="s">
        <v>333</v>
      </c>
      <c r="E616" t="s">
        <v>43</v>
      </c>
      <c r="F616" t="s">
        <v>429</v>
      </c>
      <c r="G616">
        <v>4</v>
      </c>
      <c r="H616" s="4">
        <v>65</v>
      </c>
      <c r="I616" s="3">
        <v>0</v>
      </c>
      <c r="J616" t="s">
        <v>63</v>
      </c>
      <c r="K616" t="s">
        <v>46</v>
      </c>
      <c r="L616" t="s">
        <v>1926</v>
      </c>
      <c r="M616" t="s">
        <v>123</v>
      </c>
      <c r="N616" t="s">
        <v>80</v>
      </c>
      <c r="O616" t="s">
        <v>336</v>
      </c>
      <c r="P616" t="s">
        <v>51</v>
      </c>
      <c r="Q616" t="s">
        <v>52</v>
      </c>
      <c r="R616" t="s">
        <v>53</v>
      </c>
      <c r="S616" t="s">
        <v>54</v>
      </c>
      <c r="T616" t="s">
        <v>431</v>
      </c>
      <c r="U616" s="5">
        <v>26</v>
      </c>
      <c r="V616" s="5" t="s">
        <v>85</v>
      </c>
      <c r="W616" s="5">
        <v>68</v>
      </c>
      <c r="X616" s="5">
        <v>4.2</v>
      </c>
      <c r="Y616" s="5">
        <v>9</v>
      </c>
      <c r="Z616" s="5" t="s">
        <v>71</v>
      </c>
      <c r="AA616" s="6">
        <v>47.45</v>
      </c>
      <c r="AB616" s="8">
        <f t="shared" si="117"/>
        <v>260</v>
      </c>
      <c r="AC616" s="8">
        <f t="shared" si="118"/>
        <v>0</v>
      </c>
      <c r="AD616" s="8">
        <f t="shared" si="119"/>
        <v>260</v>
      </c>
      <c r="AE616" s="8">
        <f t="shared" si="120"/>
        <v>189.8</v>
      </c>
      <c r="AF616" s="8">
        <f t="shared" si="121"/>
        <v>70.199999999999989</v>
      </c>
      <c r="AG616" s="9">
        <f t="shared" si="122"/>
        <v>0.26999999999999996</v>
      </c>
      <c r="AH616" s="10">
        <f t="shared" si="123"/>
        <v>2025</v>
      </c>
      <c r="AI616" s="10">
        <f t="shared" si="124"/>
        <v>12</v>
      </c>
      <c r="AJ616" s="10" t="str">
        <f t="shared" si="125"/>
        <v>2025-12</v>
      </c>
      <c r="AK616" s="10" t="str">
        <f t="shared" si="126"/>
        <v>T4</v>
      </c>
      <c r="AL616" s="10" t="str">
        <f t="shared" si="127"/>
        <v>22-29</v>
      </c>
      <c r="AM616" s="10" t="str">
        <f t="shared" si="128"/>
        <v>faible</v>
      </c>
      <c r="AN616" s="10" t="s">
        <v>2837</v>
      </c>
      <c r="AO616" s="10" t="str">
        <f t="shared" si="129"/>
        <v>Faible</v>
      </c>
    </row>
    <row r="617" spans="1:41">
      <c r="A617" t="s">
        <v>1927</v>
      </c>
      <c r="B617" s="2">
        <v>45755</v>
      </c>
      <c r="C617" t="s">
        <v>1928</v>
      </c>
      <c r="D617" t="s">
        <v>333</v>
      </c>
      <c r="E617" t="s">
        <v>226</v>
      </c>
      <c r="F617" t="s">
        <v>467</v>
      </c>
      <c r="G617">
        <v>4</v>
      </c>
      <c r="H617" s="4">
        <v>65</v>
      </c>
      <c r="I617" s="3">
        <v>0.02</v>
      </c>
      <c r="J617" t="s">
        <v>77</v>
      </c>
      <c r="K617" t="s">
        <v>46</v>
      </c>
      <c r="L617" t="s">
        <v>1929</v>
      </c>
      <c r="M617" t="s">
        <v>123</v>
      </c>
      <c r="N617" t="s">
        <v>80</v>
      </c>
      <c r="O617" t="s">
        <v>336</v>
      </c>
      <c r="P617" t="s">
        <v>51</v>
      </c>
      <c r="Q617" t="s">
        <v>52</v>
      </c>
      <c r="R617" t="s">
        <v>229</v>
      </c>
      <c r="S617" t="s">
        <v>48</v>
      </c>
      <c r="T617" t="s">
        <v>469</v>
      </c>
      <c r="U617" s="5">
        <v>51</v>
      </c>
      <c r="V617" s="5" t="s">
        <v>85</v>
      </c>
      <c r="W617" s="5">
        <v>51</v>
      </c>
      <c r="X617" s="5">
        <v>8.1999999999999993</v>
      </c>
      <c r="Y617" s="5">
        <v>1</v>
      </c>
      <c r="Z617" s="5" t="s">
        <v>57</v>
      </c>
      <c r="AA617" s="6">
        <v>47.45</v>
      </c>
      <c r="AB617" s="8">
        <f t="shared" si="117"/>
        <v>260</v>
      </c>
      <c r="AC617" s="8">
        <f t="shared" si="118"/>
        <v>5.2</v>
      </c>
      <c r="AD617" s="8">
        <f t="shared" si="119"/>
        <v>254.8</v>
      </c>
      <c r="AE617" s="8">
        <f t="shared" si="120"/>
        <v>189.8</v>
      </c>
      <c r="AF617" s="8">
        <f t="shared" si="121"/>
        <v>65</v>
      </c>
      <c r="AG617" s="9">
        <f t="shared" si="122"/>
        <v>0.25510204081632654</v>
      </c>
      <c r="AH617" s="10">
        <f t="shared" si="123"/>
        <v>2025</v>
      </c>
      <c r="AI617" s="10">
        <f t="shared" si="124"/>
        <v>4</v>
      </c>
      <c r="AJ617" s="10" t="str">
        <f t="shared" si="125"/>
        <v>2025-04</v>
      </c>
      <c r="AK617" s="10" t="str">
        <f t="shared" si="126"/>
        <v>T2</v>
      </c>
      <c r="AL617" s="10" t="str">
        <f t="shared" si="127"/>
        <v>50+</v>
      </c>
      <c r="AM617" s="10" t="str">
        <f t="shared" si="128"/>
        <v>bon</v>
      </c>
      <c r="AN617" s="10" t="s">
        <v>2838</v>
      </c>
      <c r="AO617" s="10" t="str">
        <f t="shared" si="129"/>
        <v>Faible</v>
      </c>
    </row>
    <row r="618" spans="1:41">
      <c r="A618" t="s">
        <v>1930</v>
      </c>
      <c r="B618" s="2">
        <v>45997</v>
      </c>
      <c r="C618" t="s">
        <v>96</v>
      </c>
      <c r="D618" t="s">
        <v>188</v>
      </c>
      <c r="E618" t="s">
        <v>139</v>
      </c>
      <c r="F618" t="s">
        <v>248</v>
      </c>
      <c r="G618">
        <v>3</v>
      </c>
      <c r="H618" s="4">
        <v>350</v>
      </c>
      <c r="I618" s="3">
        <v>0</v>
      </c>
      <c r="J618" t="s">
        <v>90</v>
      </c>
      <c r="K618" t="s">
        <v>46</v>
      </c>
      <c r="L618" t="s">
        <v>100</v>
      </c>
      <c r="M618" t="s">
        <v>54</v>
      </c>
      <c r="N618" t="s">
        <v>101</v>
      </c>
      <c r="O618" t="s">
        <v>192</v>
      </c>
      <c r="P618" t="s">
        <v>51</v>
      </c>
      <c r="Q618" t="s">
        <v>114</v>
      </c>
      <c r="R618" t="s">
        <v>144</v>
      </c>
      <c r="S618" t="s">
        <v>65</v>
      </c>
      <c r="T618" t="s">
        <v>250</v>
      </c>
      <c r="U618" s="5">
        <v>25</v>
      </c>
      <c r="V618" s="5" t="s">
        <v>56</v>
      </c>
      <c r="W618" s="5">
        <v>49</v>
      </c>
      <c r="X618" s="5">
        <v>4.2</v>
      </c>
      <c r="Y618" s="5">
        <v>9</v>
      </c>
      <c r="Z618" s="5" t="s">
        <v>71</v>
      </c>
      <c r="AA618" s="6">
        <v>213.5</v>
      </c>
      <c r="AB618" s="8">
        <f t="shared" si="117"/>
        <v>1050</v>
      </c>
      <c r="AC618" s="8">
        <f t="shared" si="118"/>
        <v>0</v>
      </c>
      <c r="AD618" s="8">
        <f t="shared" si="119"/>
        <v>1050</v>
      </c>
      <c r="AE618" s="8">
        <f t="shared" si="120"/>
        <v>640.5</v>
      </c>
      <c r="AF618" s="8">
        <f t="shared" si="121"/>
        <v>409.5</v>
      </c>
      <c r="AG618" s="9">
        <f t="shared" si="122"/>
        <v>0.39</v>
      </c>
      <c r="AH618" s="10">
        <f t="shared" si="123"/>
        <v>2025</v>
      </c>
      <c r="AI618" s="10">
        <f t="shared" si="124"/>
        <v>12</v>
      </c>
      <c r="AJ618" s="10" t="str">
        <f t="shared" si="125"/>
        <v>2025-12</v>
      </c>
      <c r="AK618" s="10" t="str">
        <f t="shared" si="126"/>
        <v>T4</v>
      </c>
      <c r="AL618" s="10" t="str">
        <f t="shared" si="127"/>
        <v>22-29</v>
      </c>
      <c r="AM618" s="10" t="str">
        <f t="shared" si="128"/>
        <v>faible</v>
      </c>
      <c r="AN618" s="10" t="s">
        <v>2837</v>
      </c>
      <c r="AO618" s="10" t="str">
        <f t="shared" si="129"/>
        <v>Elevée</v>
      </c>
    </row>
    <row r="619" spans="1:41">
      <c r="A619" t="s">
        <v>1931</v>
      </c>
      <c r="B619" s="2">
        <v>45803</v>
      </c>
      <c r="C619" t="s">
        <v>1440</v>
      </c>
      <c r="D619" t="s">
        <v>74</v>
      </c>
      <c r="E619" t="s">
        <v>61</v>
      </c>
      <c r="F619" t="s">
        <v>350</v>
      </c>
      <c r="G619">
        <v>5</v>
      </c>
      <c r="H619" s="4">
        <v>95</v>
      </c>
      <c r="I619" s="3">
        <v>0</v>
      </c>
      <c r="J619" t="s">
        <v>90</v>
      </c>
      <c r="K619" t="s">
        <v>46</v>
      </c>
      <c r="L619" t="s">
        <v>1441</v>
      </c>
      <c r="M619" t="s">
        <v>123</v>
      </c>
      <c r="N619" t="s">
        <v>49</v>
      </c>
      <c r="O619" t="s">
        <v>81</v>
      </c>
      <c r="P619" t="s">
        <v>82</v>
      </c>
      <c r="Q619" t="s">
        <v>52</v>
      </c>
      <c r="R619" t="s">
        <v>68</v>
      </c>
      <c r="S619" t="s">
        <v>69</v>
      </c>
      <c r="T619" t="s">
        <v>352</v>
      </c>
      <c r="U619" s="5">
        <v>58</v>
      </c>
      <c r="V619" s="5" t="s">
        <v>85</v>
      </c>
      <c r="W619" s="5">
        <v>65</v>
      </c>
      <c r="X619" s="5">
        <v>4.8</v>
      </c>
      <c r="Y619" s="5">
        <v>6</v>
      </c>
      <c r="Z619" s="5" t="s">
        <v>71</v>
      </c>
      <c r="AA619" s="6">
        <v>70.3</v>
      </c>
      <c r="AB619" s="8">
        <f t="shared" si="117"/>
        <v>475</v>
      </c>
      <c r="AC619" s="8">
        <f t="shared" si="118"/>
        <v>0</v>
      </c>
      <c r="AD619" s="8">
        <f t="shared" si="119"/>
        <v>475</v>
      </c>
      <c r="AE619" s="8">
        <f t="shared" si="120"/>
        <v>351.5</v>
      </c>
      <c r="AF619" s="8">
        <f t="shared" si="121"/>
        <v>123.5</v>
      </c>
      <c r="AG619" s="9">
        <f t="shared" si="122"/>
        <v>0.26</v>
      </c>
      <c r="AH619" s="10">
        <f t="shared" si="123"/>
        <v>2025</v>
      </c>
      <c r="AI619" s="10">
        <f t="shared" si="124"/>
        <v>5</v>
      </c>
      <c r="AJ619" s="10" t="str">
        <f t="shared" si="125"/>
        <v>2025-05</v>
      </c>
      <c r="AK619" s="10" t="str">
        <f t="shared" si="126"/>
        <v>T2</v>
      </c>
      <c r="AL619" s="10" t="str">
        <f t="shared" si="127"/>
        <v>50+</v>
      </c>
      <c r="AM619" s="10" t="str">
        <f t="shared" si="128"/>
        <v>faible</v>
      </c>
      <c r="AN619" s="10" t="s">
        <v>2839</v>
      </c>
      <c r="AO619" s="10" t="str">
        <f t="shared" si="129"/>
        <v>Faible</v>
      </c>
    </row>
    <row r="620" spans="1:41">
      <c r="A620" t="s">
        <v>1932</v>
      </c>
      <c r="B620" s="2">
        <v>45912</v>
      </c>
      <c r="C620" t="s">
        <v>1933</v>
      </c>
      <c r="D620" t="s">
        <v>181</v>
      </c>
      <c r="E620" t="s">
        <v>214</v>
      </c>
      <c r="F620" t="s">
        <v>130</v>
      </c>
      <c r="G620">
        <v>1</v>
      </c>
      <c r="H620" s="4">
        <v>145</v>
      </c>
      <c r="I620" s="3">
        <v>0.05</v>
      </c>
      <c r="J620" t="s">
        <v>90</v>
      </c>
      <c r="K620" t="s">
        <v>46</v>
      </c>
      <c r="L620" t="s">
        <v>1934</v>
      </c>
      <c r="M620" t="s">
        <v>79</v>
      </c>
      <c r="N620" t="s">
        <v>101</v>
      </c>
      <c r="O620" t="s">
        <v>184</v>
      </c>
      <c r="P620" t="s">
        <v>103</v>
      </c>
      <c r="Q620" t="s">
        <v>52</v>
      </c>
      <c r="R620" t="s">
        <v>216</v>
      </c>
      <c r="S620" t="s">
        <v>65</v>
      </c>
      <c r="T620" t="s">
        <v>135</v>
      </c>
      <c r="U620" s="5">
        <v>34</v>
      </c>
      <c r="V620" s="5" t="s">
        <v>85</v>
      </c>
      <c r="W620" s="5">
        <v>15</v>
      </c>
      <c r="X620" s="5">
        <v>6.8</v>
      </c>
      <c r="Y620" s="5">
        <v>5</v>
      </c>
      <c r="Z620" s="5" t="s">
        <v>57</v>
      </c>
      <c r="AA620" s="6">
        <v>97.15</v>
      </c>
      <c r="AB620" s="8">
        <f t="shared" si="117"/>
        <v>145</v>
      </c>
      <c r="AC620" s="8">
        <f t="shared" si="118"/>
        <v>7.25</v>
      </c>
      <c r="AD620" s="8">
        <f t="shared" si="119"/>
        <v>137.75</v>
      </c>
      <c r="AE620" s="8">
        <f t="shared" si="120"/>
        <v>97.15</v>
      </c>
      <c r="AF620" s="8">
        <f t="shared" si="121"/>
        <v>40.599999999999994</v>
      </c>
      <c r="AG620" s="9">
        <f t="shared" si="122"/>
        <v>0.29473684210526313</v>
      </c>
      <c r="AH620" s="10">
        <f t="shared" si="123"/>
        <v>2025</v>
      </c>
      <c r="AI620" s="10">
        <f t="shared" si="124"/>
        <v>9</v>
      </c>
      <c r="AJ620" s="10" t="str">
        <f t="shared" si="125"/>
        <v>2025-09</v>
      </c>
      <c r="AK620" s="10" t="str">
        <f t="shared" si="126"/>
        <v>T3</v>
      </c>
      <c r="AL620" s="10" t="str">
        <f t="shared" si="127"/>
        <v>30-39</v>
      </c>
      <c r="AM620" s="10" t="str">
        <f t="shared" si="128"/>
        <v>moyen</v>
      </c>
      <c r="AN620" s="10" t="s">
        <v>2839</v>
      </c>
      <c r="AO620" s="10" t="str">
        <f t="shared" si="129"/>
        <v>Faible</v>
      </c>
    </row>
    <row r="621" spans="1:41">
      <c r="A621" t="s">
        <v>1935</v>
      </c>
      <c r="B621" s="2">
        <v>45856</v>
      </c>
      <c r="C621" t="s">
        <v>1936</v>
      </c>
      <c r="D621" t="s">
        <v>97</v>
      </c>
      <c r="E621" t="s">
        <v>163</v>
      </c>
      <c r="F621" t="s">
        <v>413</v>
      </c>
      <c r="G621">
        <v>1</v>
      </c>
      <c r="H621" s="4">
        <v>520</v>
      </c>
      <c r="I621" s="3">
        <v>0.1</v>
      </c>
      <c r="J621" t="s">
        <v>90</v>
      </c>
      <c r="K621" t="s">
        <v>46</v>
      </c>
      <c r="L621" t="s">
        <v>1937</v>
      </c>
      <c r="M621" t="s">
        <v>65</v>
      </c>
      <c r="N621" t="s">
        <v>49</v>
      </c>
      <c r="O621" t="s">
        <v>102</v>
      </c>
      <c r="P621" t="s">
        <v>103</v>
      </c>
      <c r="Q621" t="s">
        <v>52</v>
      </c>
      <c r="R621" t="s">
        <v>167</v>
      </c>
      <c r="S621" t="s">
        <v>123</v>
      </c>
      <c r="T621" t="s">
        <v>415</v>
      </c>
      <c r="U621" s="5">
        <v>52</v>
      </c>
      <c r="V621" s="5" t="s">
        <v>85</v>
      </c>
      <c r="W621" s="5">
        <v>72</v>
      </c>
      <c r="X621" s="5">
        <v>5.4</v>
      </c>
      <c r="Y621" s="5">
        <v>5</v>
      </c>
      <c r="Z621" s="5" t="s">
        <v>94</v>
      </c>
      <c r="AA621" s="6">
        <v>348.4</v>
      </c>
      <c r="AB621" s="8">
        <f t="shared" si="117"/>
        <v>520</v>
      </c>
      <c r="AC621" s="8">
        <f t="shared" si="118"/>
        <v>52</v>
      </c>
      <c r="AD621" s="8">
        <f t="shared" si="119"/>
        <v>468</v>
      </c>
      <c r="AE621" s="8">
        <f t="shared" si="120"/>
        <v>348.4</v>
      </c>
      <c r="AF621" s="8">
        <f t="shared" si="121"/>
        <v>119.60000000000002</v>
      </c>
      <c r="AG621" s="9">
        <f t="shared" si="122"/>
        <v>0.25555555555555559</v>
      </c>
      <c r="AH621" s="10">
        <f t="shared" si="123"/>
        <v>2025</v>
      </c>
      <c r="AI621" s="10">
        <f t="shared" si="124"/>
        <v>7</v>
      </c>
      <c r="AJ621" s="10" t="str">
        <f t="shared" si="125"/>
        <v>2025-07</v>
      </c>
      <c r="AK621" s="10" t="str">
        <f t="shared" si="126"/>
        <v>T3</v>
      </c>
      <c r="AL621" s="10" t="str">
        <f t="shared" si="127"/>
        <v>50+</v>
      </c>
      <c r="AM621" s="10" t="str">
        <f t="shared" si="128"/>
        <v>moyen</v>
      </c>
      <c r="AN621" s="10" t="s">
        <v>2839</v>
      </c>
      <c r="AO621" s="10" t="str">
        <f t="shared" si="129"/>
        <v>Faible</v>
      </c>
    </row>
    <row r="622" spans="1:41">
      <c r="A622" t="s">
        <v>1938</v>
      </c>
      <c r="B622" s="2">
        <v>45963</v>
      </c>
      <c r="C622" t="s">
        <v>1939</v>
      </c>
      <c r="D622" t="s">
        <v>155</v>
      </c>
      <c r="E622" t="s">
        <v>98</v>
      </c>
      <c r="F622" t="s">
        <v>1303</v>
      </c>
      <c r="G622">
        <v>4</v>
      </c>
      <c r="H622" s="4">
        <v>48</v>
      </c>
      <c r="I622" s="3">
        <v>0.08</v>
      </c>
      <c r="J622" t="s">
        <v>45</v>
      </c>
      <c r="K622" t="s">
        <v>46</v>
      </c>
      <c r="L622" t="s">
        <v>1940</v>
      </c>
      <c r="M622" t="s">
        <v>48</v>
      </c>
      <c r="N622" t="s">
        <v>101</v>
      </c>
      <c r="O622" t="s">
        <v>158</v>
      </c>
      <c r="P622" t="s">
        <v>51</v>
      </c>
      <c r="Q622" t="s">
        <v>143</v>
      </c>
      <c r="R622" t="s">
        <v>104</v>
      </c>
      <c r="S622" t="s">
        <v>79</v>
      </c>
      <c r="T622" t="s">
        <v>1305</v>
      </c>
      <c r="U622" s="5">
        <v>25</v>
      </c>
      <c r="V622" s="5" t="s">
        <v>56</v>
      </c>
      <c r="W622" s="5">
        <v>70</v>
      </c>
      <c r="X622" s="5">
        <v>5.8</v>
      </c>
      <c r="Y622" s="5">
        <v>6</v>
      </c>
      <c r="Z622" s="5" t="s">
        <v>117</v>
      </c>
      <c r="AA622" s="6">
        <v>37.44</v>
      </c>
      <c r="AB622" s="8">
        <f t="shared" si="117"/>
        <v>192</v>
      </c>
      <c r="AC622" s="8">
        <f t="shared" si="118"/>
        <v>15.36</v>
      </c>
      <c r="AD622" s="8">
        <f t="shared" si="119"/>
        <v>176.64</v>
      </c>
      <c r="AE622" s="8">
        <f t="shared" si="120"/>
        <v>149.76</v>
      </c>
      <c r="AF622" s="8">
        <f t="shared" si="121"/>
        <v>26.879999999999995</v>
      </c>
      <c r="AG622" s="9">
        <f t="shared" si="122"/>
        <v>0.15217391304347824</v>
      </c>
      <c r="AH622" s="10">
        <f t="shared" si="123"/>
        <v>2025</v>
      </c>
      <c r="AI622" s="10">
        <f t="shared" si="124"/>
        <v>11</v>
      </c>
      <c r="AJ622" s="10" t="str">
        <f t="shared" si="125"/>
        <v>2025-11</v>
      </c>
      <c r="AK622" s="10" t="str">
        <f t="shared" si="126"/>
        <v>T4</v>
      </c>
      <c r="AL622" s="10" t="str">
        <f t="shared" si="127"/>
        <v>22-29</v>
      </c>
      <c r="AM622" s="10" t="str">
        <f t="shared" si="128"/>
        <v>moyen</v>
      </c>
      <c r="AN622" s="10" t="s">
        <v>2839</v>
      </c>
      <c r="AO622" s="10" t="str">
        <f t="shared" si="129"/>
        <v>Faible</v>
      </c>
    </row>
    <row r="623" spans="1:41">
      <c r="A623" t="s">
        <v>1941</v>
      </c>
      <c r="B623" s="2">
        <v>45832</v>
      </c>
      <c r="C623" t="s">
        <v>1942</v>
      </c>
      <c r="D623" t="s">
        <v>188</v>
      </c>
      <c r="E623" t="s">
        <v>120</v>
      </c>
      <c r="F623" t="s">
        <v>813</v>
      </c>
      <c r="G623">
        <v>5</v>
      </c>
      <c r="H623" s="4">
        <v>350</v>
      </c>
      <c r="I623" s="3">
        <v>0</v>
      </c>
      <c r="J623" t="s">
        <v>45</v>
      </c>
      <c r="K623" t="s">
        <v>46</v>
      </c>
      <c r="L623" t="s">
        <v>1943</v>
      </c>
      <c r="M623" t="s">
        <v>65</v>
      </c>
      <c r="N623" t="s">
        <v>112</v>
      </c>
      <c r="O623" t="s">
        <v>192</v>
      </c>
      <c r="P623" t="s">
        <v>51</v>
      </c>
      <c r="Q623" t="s">
        <v>114</v>
      </c>
      <c r="R623" t="s">
        <v>124</v>
      </c>
      <c r="S623" t="s">
        <v>48</v>
      </c>
      <c r="T623" t="s">
        <v>815</v>
      </c>
      <c r="U623" s="5">
        <v>40</v>
      </c>
      <c r="V623" s="5" t="s">
        <v>85</v>
      </c>
      <c r="W623" s="5">
        <v>5</v>
      </c>
      <c r="X623" s="5">
        <v>7.1</v>
      </c>
      <c r="Y623" s="5">
        <v>4</v>
      </c>
      <c r="Z623" s="5" t="s">
        <v>71</v>
      </c>
      <c r="AA623" s="6">
        <v>213.5</v>
      </c>
      <c r="AB623" s="8">
        <f t="shared" si="117"/>
        <v>1750</v>
      </c>
      <c r="AC623" s="8">
        <f t="shared" si="118"/>
        <v>0</v>
      </c>
      <c r="AD623" s="8">
        <f t="shared" si="119"/>
        <v>1750</v>
      </c>
      <c r="AE623" s="8">
        <f t="shared" si="120"/>
        <v>1067.5</v>
      </c>
      <c r="AF623" s="8">
        <f t="shared" si="121"/>
        <v>682.5</v>
      </c>
      <c r="AG623" s="9">
        <f t="shared" si="122"/>
        <v>0.39</v>
      </c>
      <c r="AH623" s="10">
        <f t="shared" si="123"/>
        <v>2025</v>
      </c>
      <c r="AI623" s="10">
        <f t="shared" si="124"/>
        <v>6</v>
      </c>
      <c r="AJ623" s="10" t="str">
        <f t="shared" si="125"/>
        <v>2025-06</v>
      </c>
      <c r="AK623" s="10" t="str">
        <f t="shared" si="126"/>
        <v>T2</v>
      </c>
      <c r="AL623" s="10" t="str">
        <f t="shared" si="127"/>
        <v>40-49</v>
      </c>
      <c r="AM623" s="10" t="str">
        <f t="shared" si="128"/>
        <v>bon</v>
      </c>
      <c r="AN623" s="10" t="s">
        <v>2839</v>
      </c>
      <c r="AO623" s="10" t="str">
        <f t="shared" si="129"/>
        <v>Elevée</v>
      </c>
    </row>
    <row r="624" spans="1:41">
      <c r="A624" t="s">
        <v>1944</v>
      </c>
      <c r="B624" s="2">
        <v>45736</v>
      </c>
      <c r="C624" t="s">
        <v>1945</v>
      </c>
      <c r="D624" t="s">
        <v>188</v>
      </c>
      <c r="E624" t="s">
        <v>226</v>
      </c>
      <c r="F624" t="s">
        <v>310</v>
      </c>
      <c r="G624">
        <v>10</v>
      </c>
      <c r="H624" s="4">
        <v>350</v>
      </c>
      <c r="I624" s="3">
        <v>0.05</v>
      </c>
      <c r="J624" t="s">
        <v>90</v>
      </c>
      <c r="K624" t="s">
        <v>46</v>
      </c>
      <c r="L624" t="s">
        <v>1946</v>
      </c>
      <c r="M624" t="s">
        <v>69</v>
      </c>
      <c r="N624" t="s">
        <v>101</v>
      </c>
      <c r="O624" t="s">
        <v>192</v>
      </c>
      <c r="P624" t="s">
        <v>51</v>
      </c>
      <c r="Q624" t="s">
        <v>114</v>
      </c>
      <c r="R624" t="s">
        <v>229</v>
      </c>
      <c r="S624" t="s">
        <v>48</v>
      </c>
      <c r="T624" t="s">
        <v>312</v>
      </c>
      <c r="U624" s="5">
        <v>23</v>
      </c>
      <c r="V624" s="5" t="s">
        <v>85</v>
      </c>
      <c r="W624" s="5">
        <v>56</v>
      </c>
      <c r="X624" s="5">
        <v>4.4000000000000004</v>
      </c>
      <c r="Y624" s="5">
        <v>8</v>
      </c>
      <c r="Z624" s="5" t="s">
        <v>71</v>
      </c>
      <c r="AA624" s="6">
        <v>213.5</v>
      </c>
      <c r="AB624" s="8">
        <f t="shared" si="117"/>
        <v>3500</v>
      </c>
      <c r="AC624" s="8">
        <f t="shared" si="118"/>
        <v>175</v>
      </c>
      <c r="AD624" s="8">
        <f t="shared" si="119"/>
        <v>3325</v>
      </c>
      <c r="AE624" s="8">
        <f t="shared" si="120"/>
        <v>2135</v>
      </c>
      <c r="AF624" s="8">
        <f t="shared" si="121"/>
        <v>1190</v>
      </c>
      <c r="AG624" s="9">
        <f t="shared" si="122"/>
        <v>0.35789473684210527</v>
      </c>
      <c r="AH624" s="10">
        <f t="shared" si="123"/>
        <v>2025</v>
      </c>
      <c r="AI624" s="10">
        <f t="shared" si="124"/>
        <v>3</v>
      </c>
      <c r="AJ624" s="10" t="str">
        <f t="shared" si="125"/>
        <v>2025-03</v>
      </c>
      <c r="AK624" s="10" t="str">
        <f t="shared" si="126"/>
        <v>T1</v>
      </c>
      <c r="AL624" s="10" t="str">
        <f t="shared" si="127"/>
        <v>22-29</v>
      </c>
      <c r="AM624" s="10" t="str">
        <f t="shared" si="128"/>
        <v>faible</v>
      </c>
      <c r="AN624" s="10" t="s">
        <v>2837</v>
      </c>
      <c r="AO624" s="10" t="str">
        <f t="shared" si="129"/>
        <v>Elevée</v>
      </c>
    </row>
    <row r="625" spans="1:41">
      <c r="A625" t="s">
        <v>1947</v>
      </c>
      <c r="B625" s="2">
        <v>45883</v>
      </c>
      <c r="C625" t="s">
        <v>286</v>
      </c>
      <c r="D625" t="s">
        <v>108</v>
      </c>
      <c r="E625" t="s">
        <v>139</v>
      </c>
      <c r="F625" t="s">
        <v>287</v>
      </c>
      <c r="G625">
        <v>1</v>
      </c>
      <c r="H625" s="4">
        <v>240</v>
      </c>
      <c r="I625" s="3">
        <v>0</v>
      </c>
      <c r="J625" t="s">
        <v>77</v>
      </c>
      <c r="K625" t="s">
        <v>46</v>
      </c>
      <c r="L625" t="s">
        <v>288</v>
      </c>
      <c r="M625" t="s">
        <v>48</v>
      </c>
      <c r="N625" t="s">
        <v>112</v>
      </c>
      <c r="O625" t="s">
        <v>113</v>
      </c>
      <c r="P625" t="s">
        <v>82</v>
      </c>
      <c r="Q625" t="s">
        <v>114</v>
      </c>
      <c r="R625" t="s">
        <v>144</v>
      </c>
      <c r="S625" t="s">
        <v>65</v>
      </c>
      <c r="T625" t="s">
        <v>289</v>
      </c>
      <c r="U625" s="5">
        <v>54</v>
      </c>
      <c r="V625" s="5" t="s">
        <v>56</v>
      </c>
      <c r="W625" s="5">
        <v>15</v>
      </c>
      <c r="X625" s="5">
        <v>5.7</v>
      </c>
      <c r="Y625" s="5">
        <v>6</v>
      </c>
      <c r="Z625" s="5" t="s">
        <v>71</v>
      </c>
      <c r="AA625" s="6">
        <v>177.6</v>
      </c>
      <c r="AB625" s="8">
        <f t="shared" si="117"/>
        <v>240</v>
      </c>
      <c r="AC625" s="8">
        <f t="shared" si="118"/>
        <v>0</v>
      </c>
      <c r="AD625" s="8">
        <f t="shared" si="119"/>
        <v>240</v>
      </c>
      <c r="AE625" s="8">
        <f t="shared" si="120"/>
        <v>177.6</v>
      </c>
      <c r="AF625" s="8">
        <f t="shared" si="121"/>
        <v>62.400000000000006</v>
      </c>
      <c r="AG625" s="9">
        <f t="shared" si="122"/>
        <v>0.26</v>
      </c>
      <c r="AH625" s="10">
        <f t="shared" si="123"/>
        <v>2025</v>
      </c>
      <c r="AI625" s="10">
        <f t="shared" si="124"/>
        <v>8</v>
      </c>
      <c r="AJ625" s="10" t="str">
        <f t="shared" si="125"/>
        <v>2025-08</v>
      </c>
      <c r="AK625" s="10" t="str">
        <f t="shared" si="126"/>
        <v>T3</v>
      </c>
      <c r="AL625" s="10" t="str">
        <f t="shared" si="127"/>
        <v>50+</v>
      </c>
      <c r="AM625" s="10" t="str">
        <f t="shared" si="128"/>
        <v>moyen</v>
      </c>
      <c r="AN625" s="10" t="s">
        <v>2839</v>
      </c>
      <c r="AO625" s="10" t="str">
        <f t="shared" si="129"/>
        <v>Faible</v>
      </c>
    </row>
    <row r="626" spans="1:41">
      <c r="A626" t="s">
        <v>1948</v>
      </c>
      <c r="B626" s="2">
        <v>46008</v>
      </c>
      <c r="C626" t="s">
        <v>1949</v>
      </c>
      <c r="D626" t="s">
        <v>108</v>
      </c>
      <c r="E626" t="s">
        <v>219</v>
      </c>
      <c r="F626" t="s">
        <v>388</v>
      </c>
      <c r="G626">
        <v>1</v>
      </c>
      <c r="H626" s="4">
        <v>240</v>
      </c>
      <c r="I626" s="3">
        <v>0.05</v>
      </c>
      <c r="J626" t="s">
        <v>90</v>
      </c>
      <c r="K626" t="s">
        <v>46</v>
      </c>
      <c r="L626" t="s">
        <v>1950</v>
      </c>
      <c r="M626" t="s">
        <v>48</v>
      </c>
      <c r="N626" t="s">
        <v>49</v>
      </c>
      <c r="O626" t="s">
        <v>113</v>
      </c>
      <c r="P626" t="s">
        <v>82</v>
      </c>
      <c r="Q626" t="s">
        <v>114</v>
      </c>
      <c r="R626" t="s">
        <v>222</v>
      </c>
      <c r="S626" t="s">
        <v>123</v>
      </c>
      <c r="T626" t="s">
        <v>390</v>
      </c>
      <c r="U626" s="5">
        <v>26</v>
      </c>
      <c r="V626" s="5" t="s">
        <v>85</v>
      </c>
      <c r="W626" s="5">
        <v>14</v>
      </c>
      <c r="X626" s="5">
        <v>5.4</v>
      </c>
      <c r="Y626" s="5">
        <v>5</v>
      </c>
      <c r="Z626" s="5" t="s">
        <v>57</v>
      </c>
      <c r="AA626" s="6">
        <v>177.6</v>
      </c>
      <c r="AB626" s="8">
        <f t="shared" si="117"/>
        <v>240</v>
      </c>
      <c r="AC626" s="8">
        <f t="shared" si="118"/>
        <v>12</v>
      </c>
      <c r="AD626" s="8">
        <f t="shared" si="119"/>
        <v>228</v>
      </c>
      <c r="AE626" s="8">
        <f t="shared" si="120"/>
        <v>177.6</v>
      </c>
      <c r="AF626" s="8">
        <f t="shared" si="121"/>
        <v>50.400000000000006</v>
      </c>
      <c r="AG626" s="9">
        <f t="shared" si="122"/>
        <v>0.22105263157894739</v>
      </c>
      <c r="AH626" s="10">
        <f t="shared" si="123"/>
        <v>2025</v>
      </c>
      <c r="AI626" s="10">
        <f t="shared" si="124"/>
        <v>12</v>
      </c>
      <c r="AJ626" s="10" t="str">
        <f t="shared" si="125"/>
        <v>2025-12</v>
      </c>
      <c r="AK626" s="10" t="str">
        <f t="shared" si="126"/>
        <v>T4</v>
      </c>
      <c r="AL626" s="10" t="str">
        <f t="shared" si="127"/>
        <v>22-29</v>
      </c>
      <c r="AM626" s="10" t="str">
        <f t="shared" si="128"/>
        <v>moyen</v>
      </c>
      <c r="AN626" s="10" t="s">
        <v>2839</v>
      </c>
      <c r="AO626" s="10" t="str">
        <f t="shared" si="129"/>
        <v>Faible</v>
      </c>
    </row>
    <row r="627" spans="1:41">
      <c r="A627" t="s">
        <v>1951</v>
      </c>
      <c r="B627" s="2">
        <v>45731</v>
      </c>
      <c r="C627" t="s">
        <v>1952</v>
      </c>
      <c r="D627" t="s">
        <v>108</v>
      </c>
      <c r="E627" t="s">
        <v>315</v>
      </c>
      <c r="F627" t="s">
        <v>413</v>
      </c>
      <c r="G627">
        <v>6</v>
      </c>
      <c r="H627" s="4">
        <v>240</v>
      </c>
      <c r="I627" s="3">
        <v>0.08</v>
      </c>
      <c r="J627" t="s">
        <v>45</v>
      </c>
      <c r="K627" t="s">
        <v>46</v>
      </c>
      <c r="L627" t="s">
        <v>1953</v>
      </c>
      <c r="M627" t="s">
        <v>54</v>
      </c>
      <c r="N627" t="s">
        <v>101</v>
      </c>
      <c r="O627" t="s">
        <v>113</v>
      </c>
      <c r="P627" t="s">
        <v>82</v>
      </c>
      <c r="Q627" t="s">
        <v>114</v>
      </c>
      <c r="R627" t="s">
        <v>317</v>
      </c>
      <c r="S627" t="s">
        <v>69</v>
      </c>
      <c r="T627" t="s">
        <v>415</v>
      </c>
      <c r="U627" s="5">
        <v>29</v>
      </c>
      <c r="V627" s="5" t="s">
        <v>85</v>
      </c>
      <c r="W627" s="5">
        <v>63</v>
      </c>
      <c r="X627" s="5">
        <v>6.5</v>
      </c>
      <c r="Y627" s="5">
        <v>4</v>
      </c>
      <c r="Z627" s="5" t="s">
        <v>57</v>
      </c>
      <c r="AA627" s="6">
        <v>177.6</v>
      </c>
      <c r="AB627" s="8">
        <f t="shared" si="117"/>
        <v>1440</v>
      </c>
      <c r="AC627" s="8">
        <f t="shared" si="118"/>
        <v>115.2</v>
      </c>
      <c r="AD627" s="8">
        <f t="shared" si="119"/>
        <v>1324.8</v>
      </c>
      <c r="AE627" s="8">
        <f t="shared" si="120"/>
        <v>1065.5999999999999</v>
      </c>
      <c r="AF627" s="8">
        <f t="shared" si="121"/>
        <v>259.20000000000005</v>
      </c>
      <c r="AG627" s="9">
        <f t="shared" si="122"/>
        <v>0.19565217391304351</v>
      </c>
      <c r="AH627" s="10">
        <f t="shared" si="123"/>
        <v>2025</v>
      </c>
      <c r="AI627" s="10">
        <f t="shared" si="124"/>
        <v>3</v>
      </c>
      <c r="AJ627" s="10" t="str">
        <f t="shared" si="125"/>
        <v>2025-03</v>
      </c>
      <c r="AK627" s="10" t="str">
        <f t="shared" si="126"/>
        <v>T1</v>
      </c>
      <c r="AL627" s="10" t="str">
        <f t="shared" si="127"/>
        <v>22-29</v>
      </c>
      <c r="AM627" s="10" t="str">
        <f t="shared" si="128"/>
        <v>moyen</v>
      </c>
      <c r="AN627" s="10" t="s">
        <v>2839</v>
      </c>
      <c r="AO627" s="10" t="str">
        <f t="shared" si="129"/>
        <v>Elevée</v>
      </c>
    </row>
    <row r="628" spans="1:41">
      <c r="A628" t="s">
        <v>1954</v>
      </c>
      <c r="B628" s="2">
        <v>45948</v>
      </c>
      <c r="C628" t="s">
        <v>1955</v>
      </c>
      <c r="D628" t="s">
        <v>188</v>
      </c>
      <c r="E628" t="s">
        <v>226</v>
      </c>
      <c r="F628" t="s">
        <v>253</v>
      </c>
      <c r="G628">
        <v>1</v>
      </c>
      <c r="H628" s="4">
        <v>350</v>
      </c>
      <c r="I628" s="3">
        <v>0</v>
      </c>
      <c r="J628" t="s">
        <v>90</v>
      </c>
      <c r="K628" t="s">
        <v>46</v>
      </c>
      <c r="L628" t="s">
        <v>1956</v>
      </c>
      <c r="M628" t="s">
        <v>69</v>
      </c>
      <c r="N628" t="s">
        <v>101</v>
      </c>
      <c r="O628" t="s">
        <v>192</v>
      </c>
      <c r="P628" t="s">
        <v>51</v>
      </c>
      <c r="Q628" t="s">
        <v>114</v>
      </c>
      <c r="R628" t="s">
        <v>229</v>
      </c>
      <c r="S628" t="s">
        <v>48</v>
      </c>
      <c r="T628" t="s">
        <v>256</v>
      </c>
      <c r="U628" s="5">
        <v>52</v>
      </c>
      <c r="V628" s="5" t="s">
        <v>56</v>
      </c>
      <c r="W628" s="5">
        <v>43</v>
      </c>
      <c r="X628" s="5">
        <v>8.8000000000000007</v>
      </c>
      <c r="Y628" s="5">
        <v>1</v>
      </c>
      <c r="Z628" s="5" t="s">
        <v>117</v>
      </c>
      <c r="AA628" s="6">
        <v>213.5</v>
      </c>
      <c r="AB628" s="8">
        <f t="shared" si="117"/>
        <v>350</v>
      </c>
      <c r="AC628" s="8">
        <f t="shared" si="118"/>
        <v>0</v>
      </c>
      <c r="AD628" s="8">
        <f t="shared" si="119"/>
        <v>350</v>
      </c>
      <c r="AE628" s="8">
        <f t="shared" si="120"/>
        <v>213.5</v>
      </c>
      <c r="AF628" s="8">
        <f t="shared" si="121"/>
        <v>136.5</v>
      </c>
      <c r="AG628" s="9">
        <f t="shared" si="122"/>
        <v>0.39</v>
      </c>
      <c r="AH628" s="10">
        <f t="shared" si="123"/>
        <v>2025</v>
      </c>
      <c r="AI628" s="10">
        <f t="shared" si="124"/>
        <v>10</v>
      </c>
      <c r="AJ628" s="10" t="str">
        <f t="shared" si="125"/>
        <v>2025-10</v>
      </c>
      <c r="AK628" s="10" t="str">
        <f t="shared" si="126"/>
        <v>T4</v>
      </c>
      <c r="AL628" s="10" t="str">
        <f t="shared" si="127"/>
        <v>50+</v>
      </c>
      <c r="AM628" s="10" t="str">
        <f t="shared" si="128"/>
        <v>bon</v>
      </c>
      <c r="AN628" s="10" t="s">
        <v>2838</v>
      </c>
      <c r="AO628" s="10" t="str">
        <f t="shared" si="129"/>
        <v>Faible</v>
      </c>
    </row>
    <row r="629" spans="1:41">
      <c r="A629" t="s">
        <v>1957</v>
      </c>
      <c r="B629" s="2">
        <v>45950</v>
      </c>
      <c r="C629" t="s">
        <v>835</v>
      </c>
      <c r="D629" t="s">
        <v>138</v>
      </c>
      <c r="E629" t="s">
        <v>277</v>
      </c>
      <c r="F629" t="s">
        <v>323</v>
      </c>
      <c r="G629">
        <v>3</v>
      </c>
      <c r="H629" s="4">
        <v>120</v>
      </c>
      <c r="I629" s="3">
        <v>0</v>
      </c>
      <c r="J629" t="s">
        <v>63</v>
      </c>
      <c r="K629" t="s">
        <v>46</v>
      </c>
      <c r="L629" t="s">
        <v>836</v>
      </c>
      <c r="M629" t="s">
        <v>123</v>
      </c>
      <c r="N629" t="s">
        <v>255</v>
      </c>
      <c r="O629" t="s">
        <v>142</v>
      </c>
      <c r="P629" t="s">
        <v>51</v>
      </c>
      <c r="Q629" t="s">
        <v>143</v>
      </c>
      <c r="R629" t="s">
        <v>279</v>
      </c>
      <c r="S629" t="s">
        <v>54</v>
      </c>
      <c r="T629" t="s">
        <v>325</v>
      </c>
      <c r="U629" s="5">
        <v>33</v>
      </c>
      <c r="V629" s="5" t="s">
        <v>85</v>
      </c>
      <c r="W629" s="5">
        <v>6</v>
      </c>
      <c r="X629" s="5">
        <v>7.2</v>
      </c>
      <c r="Y629" s="5">
        <v>2</v>
      </c>
      <c r="Z629" s="5" t="s">
        <v>117</v>
      </c>
      <c r="AA629" s="6">
        <v>73.2</v>
      </c>
      <c r="AB629" s="8">
        <f t="shared" si="117"/>
        <v>360</v>
      </c>
      <c r="AC629" s="8">
        <f t="shared" si="118"/>
        <v>0</v>
      </c>
      <c r="AD629" s="8">
        <f t="shared" si="119"/>
        <v>360</v>
      </c>
      <c r="AE629" s="8">
        <f t="shared" si="120"/>
        <v>219.60000000000002</v>
      </c>
      <c r="AF629" s="8">
        <f t="shared" si="121"/>
        <v>140.39999999999998</v>
      </c>
      <c r="AG629" s="9">
        <f t="shared" si="122"/>
        <v>0.38999999999999996</v>
      </c>
      <c r="AH629" s="10">
        <f t="shared" si="123"/>
        <v>2025</v>
      </c>
      <c r="AI629" s="10">
        <f t="shared" si="124"/>
        <v>10</v>
      </c>
      <c r="AJ629" s="10" t="str">
        <f t="shared" si="125"/>
        <v>2025-10</v>
      </c>
      <c r="AK629" s="10" t="str">
        <f t="shared" si="126"/>
        <v>T4</v>
      </c>
      <c r="AL629" s="10" t="str">
        <f t="shared" si="127"/>
        <v>30-39</v>
      </c>
      <c r="AM629" s="10" t="str">
        <f t="shared" si="128"/>
        <v>bon</v>
      </c>
      <c r="AN629" s="10" t="s">
        <v>2838</v>
      </c>
      <c r="AO629" s="10" t="str">
        <f t="shared" si="129"/>
        <v>Faible</v>
      </c>
    </row>
    <row r="630" spans="1:41">
      <c r="A630" t="s">
        <v>1958</v>
      </c>
      <c r="B630" s="2">
        <v>45983</v>
      </c>
      <c r="C630" t="s">
        <v>1959</v>
      </c>
      <c r="D630" t="s">
        <v>272</v>
      </c>
      <c r="E630" t="s">
        <v>109</v>
      </c>
      <c r="F630" t="s">
        <v>328</v>
      </c>
      <c r="G630">
        <v>2</v>
      </c>
      <c r="H630" s="4">
        <v>420</v>
      </c>
      <c r="I630" s="3">
        <v>0</v>
      </c>
      <c r="J630" t="s">
        <v>63</v>
      </c>
      <c r="K630" t="s">
        <v>46</v>
      </c>
      <c r="L630" t="s">
        <v>1960</v>
      </c>
      <c r="M630" t="s">
        <v>65</v>
      </c>
      <c r="N630" t="s">
        <v>49</v>
      </c>
      <c r="O630" t="s">
        <v>274</v>
      </c>
      <c r="P630" t="s">
        <v>133</v>
      </c>
      <c r="Q630" t="s">
        <v>114</v>
      </c>
      <c r="R630" t="s">
        <v>115</v>
      </c>
      <c r="S630" t="s">
        <v>65</v>
      </c>
      <c r="T630" t="s">
        <v>330</v>
      </c>
      <c r="U630" s="5">
        <v>34</v>
      </c>
      <c r="V630" s="5" t="s">
        <v>56</v>
      </c>
      <c r="W630" s="5">
        <v>22</v>
      </c>
      <c r="X630" s="5">
        <v>6.5</v>
      </c>
      <c r="Y630" s="5">
        <v>4</v>
      </c>
      <c r="Z630" s="5" t="s">
        <v>71</v>
      </c>
      <c r="AA630" s="6">
        <v>273</v>
      </c>
      <c r="AB630" s="8">
        <f t="shared" si="117"/>
        <v>840</v>
      </c>
      <c r="AC630" s="8">
        <f t="shared" si="118"/>
        <v>0</v>
      </c>
      <c r="AD630" s="8">
        <f t="shared" si="119"/>
        <v>840</v>
      </c>
      <c r="AE630" s="8">
        <f t="shared" si="120"/>
        <v>546</v>
      </c>
      <c r="AF630" s="8">
        <f t="shared" si="121"/>
        <v>294</v>
      </c>
      <c r="AG630" s="9">
        <f t="shared" si="122"/>
        <v>0.35</v>
      </c>
      <c r="AH630" s="10">
        <f t="shared" si="123"/>
        <v>2025</v>
      </c>
      <c r="AI630" s="10">
        <f t="shared" si="124"/>
        <v>11</v>
      </c>
      <c r="AJ630" s="10" t="str">
        <f t="shared" si="125"/>
        <v>2025-11</v>
      </c>
      <c r="AK630" s="10" t="str">
        <f t="shared" si="126"/>
        <v>T4</v>
      </c>
      <c r="AL630" s="10" t="str">
        <f t="shared" si="127"/>
        <v>30-39</v>
      </c>
      <c r="AM630" s="10" t="str">
        <f t="shared" si="128"/>
        <v>moyen</v>
      </c>
      <c r="AN630" s="10" t="s">
        <v>2839</v>
      </c>
      <c r="AO630" s="10" t="str">
        <f t="shared" si="129"/>
        <v>Moyenne</v>
      </c>
    </row>
    <row r="631" spans="1:41">
      <c r="A631" t="s">
        <v>1961</v>
      </c>
      <c r="B631" s="2">
        <v>45811</v>
      </c>
      <c r="C631" t="s">
        <v>1962</v>
      </c>
      <c r="D631" t="s">
        <v>138</v>
      </c>
      <c r="E631" t="s">
        <v>129</v>
      </c>
      <c r="F631" t="s">
        <v>439</v>
      </c>
      <c r="G631">
        <v>1</v>
      </c>
      <c r="H631" s="4">
        <v>120</v>
      </c>
      <c r="I631" s="3">
        <v>0.02</v>
      </c>
      <c r="J631" t="s">
        <v>63</v>
      </c>
      <c r="K631" t="s">
        <v>46</v>
      </c>
      <c r="L631" t="s">
        <v>1963</v>
      </c>
      <c r="M631" t="s">
        <v>54</v>
      </c>
      <c r="N631" t="s">
        <v>49</v>
      </c>
      <c r="O631" t="s">
        <v>142</v>
      </c>
      <c r="P631" t="s">
        <v>51</v>
      </c>
      <c r="Q631" t="s">
        <v>143</v>
      </c>
      <c r="R631" t="s">
        <v>134</v>
      </c>
      <c r="S631" t="s">
        <v>123</v>
      </c>
      <c r="T631" t="s">
        <v>441</v>
      </c>
      <c r="U631" s="5">
        <v>35</v>
      </c>
      <c r="V631" s="5" t="s">
        <v>56</v>
      </c>
      <c r="W631" s="5">
        <v>10</v>
      </c>
      <c r="X631" s="5">
        <v>6.7</v>
      </c>
      <c r="Y631" s="5">
        <v>4</v>
      </c>
      <c r="Z631" s="5" t="s">
        <v>71</v>
      </c>
      <c r="AA631" s="6">
        <v>73.2</v>
      </c>
      <c r="AB631" s="8">
        <f t="shared" si="117"/>
        <v>120</v>
      </c>
      <c r="AC631" s="8">
        <f t="shared" si="118"/>
        <v>2.4</v>
      </c>
      <c r="AD631" s="8">
        <f t="shared" si="119"/>
        <v>117.6</v>
      </c>
      <c r="AE631" s="8">
        <f t="shared" si="120"/>
        <v>73.2</v>
      </c>
      <c r="AF631" s="8">
        <f t="shared" si="121"/>
        <v>44.399999999999991</v>
      </c>
      <c r="AG631" s="9">
        <f t="shared" si="122"/>
        <v>0.37755102040816318</v>
      </c>
      <c r="AH631" s="10">
        <f t="shared" si="123"/>
        <v>2025</v>
      </c>
      <c r="AI631" s="10">
        <f t="shared" si="124"/>
        <v>6</v>
      </c>
      <c r="AJ631" s="10" t="str">
        <f t="shared" si="125"/>
        <v>2025-06</v>
      </c>
      <c r="AK631" s="10" t="str">
        <f t="shared" si="126"/>
        <v>T2</v>
      </c>
      <c r="AL631" s="10" t="str">
        <f t="shared" si="127"/>
        <v>30-39</v>
      </c>
      <c r="AM631" s="10" t="str">
        <f t="shared" si="128"/>
        <v>moyen</v>
      </c>
      <c r="AN631" s="10" t="s">
        <v>2839</v>
      </c>
      <c r="AO631" s="10" t="str">
        <f t="shared" si="129"/>
        <v>Faible</v>
      </c>
    </row>
    <row r="632" spans="1:41">
      <c r="A632" t="s">
        <v>1964</v>
      </c>
      <c r="B632" s="2">
        <v>45978</v>
      </c>
      <c r="C632" t="s">
        <v>1965</v>
      </c>
      <c r="D632" t="s">
        <v>148</v>
      </c>
      <c r="E632" t="s">
        <v>98</v>
      </c>
      <c r="F632" t="s">
        <v>149</v>
      </c>
      <c r="G632">
        <v>2</v>
      </c>
      <c r="H632" s="4">
        <v>110</v>
      </c>
      <c r="I632" s="3">
        <v>0.02</v>
      </c>
      <c r="J632" t="s">
        <v>63</v>
      </c>
      <c r="K632" t="s">
        <v>46</v>
      </c>
      <c r="L632" t="s">
        <v>1966</v>
      </c>
      <c r="M632" t="s">
        <v>79</v>
      </c>
      <c r="N632" t="s">
        <v>255</v>
      </c>
      <c r="O632" t="s">
        <v>151</v>
      </c>
      <c r="P632" t="s">
        <v>103</v>
      </c>
      <c r="Q632" t="s">
        <v>114</v>
      </c>
      <c r="R632" t="s">
        <v>104</v>
      </c>
      <c r="S632" t="s">
        <v>79</v>
      </c>
      <c r="T632" t="s">
        <v>152</v>
      </c>
      <c r="U632" s="5">
        <v>60</v>
      </c>
      <c r="V632" s="5" t="s">
        <v>56</v>
      </c>
      <c r="W632" s="5">
        <v>21</v>
      </c>
      <c r="X632" s="5">
        <v>6.3</v>
      </c>
      <c r="Y632" s="5">
        <v>5</v>
      </c>
      <c r="Z632" s="5" t="s">
        <v>117</v>
      </c>
      <c r="AA632" s="6">
        <v>72.599999999999994</v>
      </c>
      <c r="AB632" s="8">
        <f t="shared" si="117"/>
        <v>220</v>
      </c>
      <c r="AC632" s="8">
        <f t="shared" si="118"/>
        <v>4.4000000000000004</v>
      </c>
      <c r="AD632" s="8">
        <f t="shared" si="119"/>
        <v>215.6</v>
      </c>
      <c r="AE632" s="8">
        <f t="shared" si="120"/>
        <v>145.19999999999999</v>
      </c>
      <c r="AF632" s="8">
        <f t="shared" si="121"/>
        <v>70.400000000000006</v>
      </c>
      <c r="AG632" s="9">
        <f t="shared" si="122"/>
        <v>0.32653061224489799</v>
      </c>
      <c r="AH632" s="10">
        <f t="shared" si="123"/>
        <v>2025</v>
      </c>
      <c r="AI632" s="10">
        <f t="shared" si="124"/>
        <v>11</v>
      </c>
      <c r="AJ632" s="10" t="str">
        <f t="shared" si="125"/>
        <v>2025-11</v>
      </c>
      <c r="AK632" s="10" t="str">
        <f t="shared" si="126"/>
        <v>T4</v>
      </c>
      <c r="AL632" s="10" t="str">
        <f t="shared" si="127"/>
        <v>50+</v>
      </c>
      <c r="AM632" s="10" t="str">
        <f t="shared" si="128"/>
        <v>moyen</v>
      </c>
      <c r="AN632" s="10" t="s">
        <v>2839</v>
      </c>
      <c r="AO632" s="10" t="str">
        <f t="shared" si="129"/>
        <v>Faible</v>
      </c>
    </row>
    <row r="633" spans="1:41">
      <c r="A633" t="s">
        <v>1967</v>
      </c>
      <c r="B633" s="2">
        <v>45895</v>
      </c>
      <c r="C633" t="s">
        <v>1968</v>
      </c>
      <c r="D633" t="s">
        <v>155</v>
      </c>
      <c r="E633" t="s">
        <v>139</v>
      </c>
      <c r="F633" t="s">
        <v>310</v>
      </c>
      <c r="G633">
        <v>2</v>
      </c>
      <c r="H633" s="4">
        <v>48</v>
      </c>
      <c r="I633" s="3">
        <v>0</v>
      </c>
      <c r="J633" t="s">
        <v>63</v>
      </c>
      <c r="K633" t="s">
        <v>46</v>
      </c>
      <c r="L633" t="s">
        <v>1969</v>
      </c>
      <c r="M633" t="s">
        <v>69</v>
      </c>
      <c r="N633" t="s">
        <v>80</v>
      </c>
      <c r="O633" t="s">
        <v>158</v>
      </c>
      <c r="P633" t="s">
        <v>51</v>
      </c>
      <c r="Q633" t="s">
        <v>143</v>
      </c>
      <c r="R633" t="s">
        <v>144</v>
      </c>
      <c r="S633" t="s">
        <v>65</v>
      </c>
      <c r="T633" t="s">
        <v>312</v>
      </c>
      <c r="U633" s="5">
        <v>60</v>
      </c>
      <c r="V633" s="5" t="s">
        <v>85</v>
      </c>
      <c r="W633" s="5">
        <v>18</v>
      </c>
      <c r="X633" s="5">
        <v>3.1</v>
      </c>
      <c r="Y633" s="5">
        <v>9</v>
      </c>
      <c r="Z633" s="5" t="s">
        <v>57</v>
      </c>
      <c r="AA633" s="6">
        <v>37.44</v>
      </c>
      <c r="AB633" s="8">
        <f t="shared" si="117"/>
        <v>96</v>
      </c>
      <c r="AC633" s="8">
        <f t="shared" si="118"/>
        <v>0</v>
      </c>
      <c r="AD633" s="8">
        <f t="shared" si="119"/>
        <v>96</v>
      </c>
      <c r="AE633" s="8">
        <f t="shared" si="120"/>
        <v>74.88</v>
      </c>
      <c r="AF633" s="8">
        <f t="shared" si="121"/>
        <v>21.120000000000005</v>
      </c>
      <c r="AG633" s="9">
        <f t="shared" si="122"/>
        <v>0.22000000000000006</v>
      </c>
      <c r="AH633" s="10">
        <f t="shared" si="123"/>
        <v>2025</v>
      </c>
      <c r="AI633" s="10">
        <f t="shared" si="124"/>
        <v>8</v>
      </c>
      <c r="AJ633" s="10" t="str">
        <f t="shared" si="125"/>
        <v>2025-08</v>
      </c>
      <c r="AK633" s="10" t="str">
        <f t="shared" si="126"/>
        <v>T3</v>
      </c>
      <c r="AL633" s="10" t="str">
        <f t="shared" si="127"/>
        <v>50+</v>
      </c>
      <c r="AM633" s="10" t="str">
        <f t="shared" si="128"/>
        <v>faible</v>
      </c>
      <c r="AN633" s="10" t="s">
        <v>2837</v>
      </c>
      <c r="AO633" s="10" t="str">
        <f t="shared" si="129"/>
        <v>Faible</v>
      </c>
    </row>
    <row r="634" spans="1:41">
      <c r="A634" t="s">
        <v>1970</v>
      </c>
      <c r="B634" s="2">
        <v>46022</v>
      </c>
      <c r="C634" t="s">
        <v>1971</v>
      </c>
      <c r="D634" t="s">
        <v>181</v>
      </c>
      <c r="E634" t="s">
        <v>163</v>
      </c>
      <c r="F634" t="s">
        <v>429</v>
      </c>
      <c r="G634">
        <v>1</v>
      </c>
      <c r="H634" s="4">
        <v>145</v>
      </c>
      <c r="I634" s="3">
        <v>0</v>
      </c>
      <c r="J634" t="s">
        <v>77</v>
      </c>
      <c r="K634" t="s">
        <v>46</v>
      </c>
      <c r="L634" t="s">
        <v>1972</v>
      </c>
      <c r="M634" t="s">
        <v>65</v>
      </c>
      <c r="N634" t="s">
        <v>255</v>
      </c>
      <c r="O634" t="s">
        <v>184</v>
      </c>
      <c r="P634" t="s">
        <v>103</v>
      </c>
      <c r="Q634" t="s">
        <v>52</v>
      </c>
      <c r="R634" t="s">
        <v>167</v>
      </c>
      <c r="S634" t="s">
        <v>123</v>
      </c>
      <c r="T634" t="s">
        <v>431</v>
      </c>
      <c r="U634" s="5">
        <v>27</v>
      </c>
      <c r="V634" s="5" t="s">
        <v>56</v>
      </c>
      <c r="W634" s="5">
        <v>27</v>
      </c>
      <c r="X634" s="5">
        <v>6.5</v>
      </c>
      <c r="Y634" s="5">
        <v>4</v>
      </c>
      <c r="Z634" s="5" t="s">
        <v>71</v>
      </c>
      <c r="AA634" s="6">
        <v>97.15</v>
      </c>
      <c r="AB634" s="8">
        <f t="shared" si="117"/>
        <v>145</v>
      </c>
      <c r="AC634" s="8">
        <f t="shared" si="118"/>
        <v>0</v>
      </c>
      <c r="AD634" s="8">
        <f t="shared" si="119"/>
        <v>145</v>
      </c>
      <c r="AE634" s="8">
        <f t="shared" si="120"/>
        <v>97.15</v>
      </c>
      <c r="AF634" s="8">
        <f t="shared" si="121"/>
        <v>47.849999999999994</v>
      </c>
      <c r="AG634" s="9">
        <f t="shared" si="122"/>
        <v>0.32999999999999996</v>
      </c>
      <c r="AH634" s="10">
        <f t="shared" si="123"/>
        <v>2025</v>
      </c>
      <c r="AI634" s="10">
        <f t="shared" si="124"/>
        <v>12</v>
      </c>
      <c r="AJ634" s="10" t="str">
        <f t="shared" si="125"/>
        <v>2025-12</v>
      </c>
      <c r="AK634" s="10" t="str">
        <f t="shared" si="126"/>
        <v>T4</v>
      </c>
      <c r="AL634" s="10" t="str">
        <f t="shared" si="127"/>
        <v>22-29</v>
      </c>
      <c r="AM634" s="10" t="str">
        <f t="shared" si="128"/>
        <v>moyen</v>
      </c>
      <c r="AN634" s="10" t="s">
        <v>2839</v>
      </c>
      <c r="AO634" s="10" t="str">
        <f t="shared" si="129"/>
        <v>Faible</v>
      </c>
    </row>
    <row r="635" spans="1:41">
      <c r="A635" t="s">
        <v>1973</v>
      </c>
      <c r="B635" s="2">
        <v>45859</v>
      </c>
      <c r="C635" t="s">
        <v>765</v>
      </c>
      <c r="D635" t="s">
        <v>60</v>
      </c>
      <c r="E635" t="s">
        <v>43</v>
      </c>
      <c r="F635" t="s">
        <v>429</v>
      </c>
      <c r="G635">
        <v>1</v>
      </c>
      <c r="H635" s="4">
        <v>180</v>
      </c>
      <c r="I635" s="3">
        <v>0</v>
      </c>
      <c r="J635" t="s">
        <v>63</v>
      </c>
      <c r="K635" t="s">
        <v>46</v>
      </c>
      <c r="L635" t="s">
        <v>766</v>
      </c>
      <c r="M635" t="s">
        <v>123</v>
      </c>
      <c r="N635" t="s">
        <v>80</v>
      </c>
      <c r="O635" t="s">
        <v>66</v>
      </c>
      <c r="P635" t="s">
        <v>67</v>
      </c>
      <c r="Q635" t="s">
        <v>52</v>
      </c>
      <c r="R635" t="s">
        <v>53</v>
      </c>
      <c r="S635" t="s">
        <v>54</v>
      </c>
      <c r="T635" t="s">
        <v>431</v>
      </c>
      <c r="U635" s="5">
        <v>37</v>
      </c>
      <c r="V635" s="5" t="s">
        <v>85</v>
      </c>
      <c r="W635" s="5">
        <v>53</v>
      </c>
      <c r="X635" s="5">
        <v>3.4</v>
      </c>
      <c r="Y635" s="5">
        <v>9</v>
      </c>
      <c r="Z635" s="5" t="s">
        <v>117</v>
      </c>
      <c r="AA635" s="6">
        <v>129.6</v>
      </c>
      <c r="AB635" s="8">
        <f t="shared" si="117"/>
        <v>180</v>
      </c>
      <c r="AC635" s="8">
        <f t="shared" si="118"/>
        <v>0</v>
      </c>
      <c r="AD635" s="8">
        <f t="shared" si="119"/>
        <v>180</v>
      </c>
      <c r="AE635" s="8">
        <f t="shared" si="120"/>
        <v>129.6</v>
      </c>
      <c r="AF635" s="8">
        <f t="shared" si="121"/>
        <v>50.400000000000006</v>
      </c>
      <c r="AG635" s="9">
        <f t="shared" si="122"/>
        <v>0.28000000000000003</v>
      </c>
      <c r="AH635" s="10">
        <f t="shared" si="123"/>
        <v>2025</v>
      </c>
      <c r="AI635" s="10">
        <f t="shared" si="124"/>
        <v>7</v>
      </c>
      <c r="AJ635" s="10" t="str">
        <f t="shared" si="125"/>
        <v>2025-07</v>
      </c>
      <c r="AK635" s="10" t="str">
        <f t="shared" si="126"/>
        <v>T3</v>
      </c>
      <c r="AL635" s="10" t="str">
        <f t="shared" si="127"/>
        <v>30-39</v>
      </c>
      <c r="AM635" s="10" t="str">
        <f t="shared" si="128"/>
        <v>faible</v>
      </c>
      <c r="AN635" s="10" t="s">
        <v>2837</v>
      </c>
      <c r="AO635" s="10" t="str">
        <f t="shared" si="129"/>
        <v>Faible</v>
      </c>
    </row>
    <row r="636" spans="1:41">
      <c r="A636" t="s">
        <v>1974</v>
      </c>
      <c r="B636" s="2">
        <v>46013</v>
      </c>
      <c r="C636" t="s">
        <v>1818</v>
      </c>
      <c r="D636" t="s">
        <v>128</v>
      </c>
      <c r="E636" t="s">
        <v>139</v>
      </c>
      <c r="F636" t="s">
        <v>287</v>
      </c>
      <c r="G636">
        <v>1</v>
      </c>
      <c r="H636" s="4">
        <v>190</v>
      </c>
      <c r="I636" s="3">
        <v>0.05</v>
      </c>
      <c r="J636" t="s">
        <v>45</v>
      </c>
      <c r="K636" t="s">
        <v>46</v>
      </c>
      <c r="L636" t="s">
        <v>1819</v>
      </c>
      <c r="M636" t="s">
        <v>69</v>
      </c>
      <c r="N636" t="s">
        <v>49</v>
      </c>
      <c r="O636" t="s">
        <v>132</v>
      </c>
      <c r="P636" t="s">
        <v>133</v>
      </c>
      <c r="Q636" t="s">
        <v>52</v>
      </c>
      <c r="R636" t="s">
        <v>144</v>
      </c>
      <c r="S636" t="s">
        <v>65</v>
      </c>
      <c r="T636" t="s">
        <v>289</v>
      </c>
      <c r="U636" s="5">
        <v>60</v>
      </c>
      <c r="V636" s="5" t="s">
        <v>85</v>
      </c>
      <c r="W636" s="5">
        <v>55</v>
      </c>
      <c r="X636" s="5">
        <v>6.8</v>
      </c>
      <c r="Y636" s="5">
        <v>5</v>
      </c>
      <c r="Z636" s="5" t="s">
        <v>117</v>
      </c>
      <c r="AA636" s="6">
        <v>148.19999999999999</v>
      </c>
      <c r="AB636" s="8">
        <f t="shared" si="117"/>
        <v>190</v>
      </c>
      <c r="AC636" s="8">
        <f t="shared" si="118"/>
        <v>9.5</v>
      </c>
      <c r="AD636" s="8">
        <f t="shared" si="119"/>
        <v>180.5</v>
      </c>
      <c r="AE636" s="8">
        <f t="shared" si="120"/>
        <v>148.19999999999999</v>
      </c>
      <c r="AF636" s="8">
        <f t="shared" si="121"/>
        <v>32.300000000000011</v>
      </c>
      <c r="AG636" s="9">
        <f t="shared" si="122"/>
        <v>0.17894736842105269</v>
      </c>
      <c r="AH636" s="10">
        <f t="shared" si="123"/>
        <v>2025</v>
      </c>
      <c r="AI636" s="10">
        <f t="shared" si="124"/>
        <v>12</v>
      </c>
      <c r="AJ636" s="10" t="str">
        <f t="shared" si="125"/>
        <v>2025-12</v>
      </c>
      <c r="AK636" s="10" t="str">
        <f t="shared" si="126"/>
        <v>T4</v>
      </c>
      <c r="AL636" s="10" t="str">
        <f t="shared" si="127"/>
        <v>50+</v>
      </c>
      <c r="AM636" s="10" t="str">
        <f t="shared" si="128"/>
        <v>moyen</v>
      </c>
      <c r="AN636" s="10" t="s">
        <v>2839</v>
      </c>
      <c r="AO636" s="10" t="str">
        <f t="shared" si="129"/>
        <v>Faible</v>
      </c>
    </row>
    <row r="637" spans="1:41">
      <c r="A637" t="s">
        <v>1975</v>
      </c>
      <c r="B637" s="2">
        <v>45868</v>
      </c>
      <c r="C637" t="s">
        <v>1976</v>
      </c>
      <c r="D637" t="s">
        <v>148</v>
      </c>
      <c r="E637" t="s">
        <v>88</v>
      </c>
      <c r="F637" t="s">
        <v>813</v>
      </c>
      <c r="G637">
        <v>2</v>
      </c>
      <c r="H637" s="4">
        <v>110</v>
      </c>
      <c r="I637" s="3">
        <v>0</v>
      </c>
      <c r="J637" t="s">
        <v>45</v>
      </c>
      <c r="K637" t="s">
        <v>46</v>
      </c>
      <c r="L637" t="s">
        <v>1977</v>
      </c>
      <c r="M637" t="s">
        <v>54</v>
      </c>
      <c r="N637" t="s">
        <v>80</v>
      </c>
      <c r="O637" t="s">
        <v>151</v>
      </c>
      <c r="P637" t="s">
        <v>103</v>
      </c>
      <c r="Q637" t="s">
        <v>114</v>
      </c>
      <c r="R637" t="s">
        <v>92</v>
      </c>
      <c r="S637" t="s">
        <v>48</v>
      </c>
      <c r="T637" t="s">
        <v>815</v>
      </c>
      <c r="U637" s="5">
        <v>29</v>
      </c>
      <c r="V637" s="5" t="s">
        <v>85</v>
      </c>
      <c r="W637" s="5">
        <v>11</v>
      </c>
      <c r="X637" s="5">
        <v>7.6</v>
      </c>
      <c r="Y637" s="5">
        <v>2</v>
      </c>
      <c r="Z637" s="5" t="s">
        <v>94</v>
      </c>
      <c r="AA637" s="6">
        <v>72.599999999999994</v>
      </c>
      <c r="AB637" s="8">
        <f t="shared" si="117"/>
        <v>220</v>
      </c>
      <c r="AC637" s="8">
        <f t="shared" si="118"/>
        <v>0</v>
      </c>
      <c r="AD637" s="8">
        <f t="shared" si="119"/>
        <v>220</v>
      </c>
      <c r="AE637" s="8">
        <f t="shared" si="120"/>
        <v>145.19999999999999</v>
      </c>
      <c r="AF637" s="8">
        <f t="shared" si="121"/>
        <v>74.800000000000011</v>
      </c>
      <c r="AG637" s="9">
        <f t="shared" si="122"/>
        <v>0.34</v>
      </c>
      <c r="AH637" s="10">
        <f t="shared" si="123"/>
        <v>2025</v>
      </c>
      <c r="AI637" s="10">
        <f t="shared" si="124"/>
        <v>7</v>
      </c>
      <c r="AJ637" s="10" t="str">
        <f t="shared" si="125"/>
        <v>2025-07</v>
      </c>
      <c r="AK637" s="10" t="str">
        <f t="shared" si="126"/>
        <v>T3</v>
      </c>
      <c r="AL637" s="10" t="str">
        <f t="shared" si="127"/>
        <v>22-29</v>
      </c>
      <c r="AM637" s="10" t="str">
        <f t="shared" si="128"/>
        <v>bon</v>
      </c>
      <c r="AN637" s="10" t="s">
        <v>2838</v>
      </c>
      <c r="AO637" s="10" t="str">
        <f t="shared" si="129"/>
        <v>Faible</v>
      </c>
    </row>
    <row r="638" spans="1:41">
      <c r="A638" t="s">
        <v>1978</v>
      </c>
      <c r="B638" s="2">
        <v>45979</v>
      </c>
      <c r="C638" t="s">
        <v>1979</v>
      </c>
      <c r="D638" t="s">
        <v>108</v>
      </c>
      <c r="E638" t="s">
        <v>207</v>
      </c>
      <c r="F638" t="s">
        <v>175</v>
      </c>
      <c r="G638">
        <v>5</v>
      </c>
      <c r="H638" s="4">
        <v>240</v>
      </c>
      <c r="I638" s="3">
        <v>0.08</v>
      </c>
      <c r="J638" t="s">
        <v>90</v>
      </c>
      <c r="K638" t="s">
        <v>46</v>
      </c>
      <c r="L638" t="s">
        <v>1980</v>
      </c>
      <c r="M638" t="s">
        <v>48</v>
      </c>
      <c r="N638" t="s">
        <v>255</v>
      </c>
      <c r="O638" t="s">
        <v>113</v>
      </c>
      <c r="P638" t="s">
        <v>82</v>
      </c>
      <c r="Q638" t="s">
        <v>114</v>
      </c>
      <c r="R638" t="s">
        <v>210</v>
      </c>
      <c r="S638" t="s">
        <v>79</v>
      </c>
      <c r="T638" t="s">
        <v>178</v>
      </c>
      <c r="U638" s="5">
        <v>26</v>
      </c>
      <c r="V638" s="5" t="s">
        <v>56</v>
      </c>
      <c r="W638" s="5">
        <v>60</v>
      </c>
      <c r="X638" s="5">
        <v>4.2</v>
      </c>
      <c r="Y638" s="5">
        <v>8</v>
      </c>
      <c r="Z638" s="5" t="s">
        <v>117</v>
      </c>
      <c r="AA638" s="6">
        <v>177.6</v>
      </c>
      <c r="AB638" s="8">
        <f t="shared" si="117"/>
        <v>1200</v>
      </c>
      <c r="AC638" s="8">
        <f t="shared" si="118"/>
        <v>96</v>
      </c>
      <c r="AD638" s="8">
        <f t="shared" si="119"/>
        <v>1104</v>
      </c>
      <c r="AE638" s="8">
        <f t="shared" si="120"/>
        <v>888</v>
      </c>
      <c r="AF638" s="8">
        <f t="shared" si="121"/>
        <v>216</v>
      </c>
      <c r="AG638" s="9">
        <f t="shared" si="122"/>
        <v>0.19565217391304349</v>
      </c>
      <c r="AH638" s="10">
        <f t="shared" si="123"/>
        <v>2025</v>
      </c>
      <c r="AI638" s="10">
        <f t="shared" si="124"/>
        <v>11</v>
      </c>
      <c r="AJ638" s="10" t="str">
        <f t="shared" si="125"/>
        <v>2025-11</v>
      </c>
      <c r="AK638" s="10" t="str">
        <f t="shared" si="126"/>
        <v>T4</v>
      </c>
      <c r="AL638" s="10" t="str">
        <f t="shared" si="127"/>
        <v>22-29</v>
      </c>
      <c r="AM638" s="10" t="str">
        <f t="shared" si="128"/>
        <v>faible</v>
      </c>
      <c r="AN638" s="10" t="s">
        <v>2837</v>
      </c>
      <c r="AO638" s="10" t="str">
        <f t="shared" si="129"/>
        <v>Elevée</v>
      </c>
    </row>
    <row r="639" spans="1:41">
      <c r="A639" t="s">
        <v>1981</v>
      </c>
      <c r="B639" s="2">
        <v>45815</v>
      </c>
      <c r="C639" t="s">
        <v>1982</v>
      </c>
      <c r="D639" t="s">
        <v>181</v>
      </c>
      <c r="E639" t="s">
        <v>98</v>
      </c>
      <c r="F639" t="s">
        <v>429</v>
      </c>
      <c r="G639">
        <v>5</v>
      </c>
      <c r="H639" s="4">
        <v>145</v>
      </c>
      <c r="I639" s="3">
        <v>0</v>
      </c>
      <c r="J639" t="s">
        <v>77</v>
      </c>
      <c r="K639" t="s">
        <v>46</v>
      </c>
      <c r="L639" t="s">
        <v>1983</v>
      </c>
      <c r="M639" t="s">
        <v>69</v>
      </c>
      <c r="N639" t="s">
        <v>112</v>
      </c>
      <c r="O639" t="s">
        <v>184</v>
      </c>
      <c r="P639" t="s">
        <v>103</v>
      </c>
      <c r="Q639" t="s">
        <v>52</v>
      </c>
      <c r="R639" t="s">
        <v>104</v>
      </c>
      <c r="S639" t="s">
        <v>79</v>
      </c>
      <c r="T639" t="s">
        <v>431</v>
      </c>
      <c r="U639" s="5">
        <v>23</v>
      </c>
      <c r="V639" s="5" t="s">
        <v>56</v>
      </c>
      <c r="W639" s="5">
        <v>16</v>
      </c>
      <c r="X639" s="5">
        <v>3.3</v>
      </c>
      <c r="Y639" s="5">
        <v>9</v>
      </c>
      <c r="Z639" s="5" t="s">
        <v>71</v>
      </c>
      <c r="AA639" s="6">
        <v>97.15</v>
      </c>
      <c r="AB639" s="8">
        <f t="shared" si="117"/>
        <v>725</v>
      </c>
      <c r="AC639" s="8">
        <f t="shared" si="118"/>
        <v>0</v>
      </c>
      <c r="AD639" s="8">
        <f t="shared" si="119"/>
        <v>725</v>
      </c>
      <c r="AE639" s="8">
        <f t="shared" si="120"/>
        <v>485.75</v>
      </c>
      <c r="AF639" s="8">
        <f t="shared" si="121"/>
        <v>239.25</v>
      </c>
      <c r="AG639" s="9">
        <f t="shared" si="122"/>
        <v>0.33</v>
      </c>
      <c r="AH639" s="10">
        <f t="shared" si="123"/>
        <v>2025</v>
      </c>
      <c r="AI639" s="10">
        <f t="shared" si="124"/>
        <v>6</v>
      </c>
      <c r="AJ639" s="10" t="str">
        <f t="shared" si="125"/>
        <v>2025-06</v>
      </c>
      <c r="AK639" s="10" t="str">
        <f t="shared" si="126"/>
        <v>T2</v>
      </c>
      <c r="AL639" s="10" t="str">
        <f t="shared" si="127"/>
        <v>22-29</v>
      </c>
      <c r="AM639" s="10" t="str">
        <f t="shared" si="128"/>
        <v>faible</v>
      </c>
      <c r="AN639" s="10" t="s">
        <v>2837</v>
      </c>
      <c r="AO639" s="10" t="str">
        <f t="shared" si="129"/>
        <v>Moyenne</v>
      </c>
    </row>
    <row r="640" spans="1:41">
      <c r="A640" t="s">
        <v>1984</v>
      </c>
      <c r="B640" s="2">
        <v>45747</v>
      </c>
      <c r="C640" t="s">
        <v>1985</v>
      </c>
      <c r="D640" t="s">
        <v>272</v>
      </c>
      <c r="E640" t="s">
        <v>189</v>
      </c>
      <c r="F640" t="s">
        <v>502</v>
      </c>
      <c r="G640">
        <v>2</v>
      </c>
      <c r="H640" s="4">
        <v>420</v>
      </c>
      <c r="I640" s="3">
        <v>0</v>
      </c>
      <c r="J640" t="s">
        <v>45</v>
      </c>
      <c r="K640" t="s">
        <v>46</v>
      </c>
      <c r="L640" t="s">
        <v>1986</v>
      </c>
      <c r="M640" t="s">
        <v>54</v>
      </c>
      <c r="N640" t="s">
        <v>101</v>
      </c>
      <c r="O640" t="s">
        <v>274</v>
      </c>
      <c r="P640" t="s">
        <v>133</v>
      </c>
      <c r="Q640" t="s">
        <v>114</v>
      </c>
      <c r="R640" t="s">
        <v>193</v>
      </c>
      <c r="S640" t="s">
        <v>79</v>
      </c>
      <c r="T640" t="s">
        <v>504</v>
      </c>
      <c r="U640" s="5">
        <v>42</v>
      </c>
      <c r="V640" s="5" t="s">
        <v>85</v>
      </c>
      <c r="W640" s="5">
        <v>25</v>
      </c>
      <c r="X640" s="5">
        <v>6.2</v>
      </c>
      <c r="Y640" s="5">
        <v>6</v>
      </c>
      <c r="Z640" s="5" t="s">
        <v>94</v>
      </c>
      <c r="AA640" s="6">
        <v>273</v>
      </c>
      <c r="AB640" s="8">
        <f t="shared" si="117"/>
        <v>840</v>
      </c>
      <c r="AC640" s="8">
        <f t="shared" si="118"/>
        <v>0</v>
      </c>
      <c r="AD640" s="8">
        <f t="shared" si="119"/>
        <v>840</v>
      </c>
      <c r="AE640" s="8">
        <f t="shared" si="120"/>
        <v>546</v>
      </c>
      <c r="AF640" s="8">
        <f t="shared" si="121"/>
        <v>294</v>
      </c>
      <c r="AG640" s="9">
        <f t="shared" si="122"/>
        <v>0.35</v>
      </c>
      <c r="AH640" s="10">
        <f t="shared" si="123"/>
        <v>2025</v>
      </c>
      <c r="AI640" s="10">
        <f t="shared" si="124"/>
        <v>3</v>
      </c>
      <c r="AJ640" s="10" t="str">
        <f t="shared" si="125"/>
        <v>2025-03</v>
      </c>
      <c r="AK640" s="10" t="str">
        <f t="shared" si="126"/>
        <v>T1</v>
      </c>
      <c r="AL640" s="10" t="str">
        <f t="shared" si="127"/>
        <v>40-49</v>
      </c>
      <c r="AM640" s="10" t="str">
        <f t="shared" si="128"/>
        <v>moyen</v>
      </c>
      <c r="AN640" s="10" t="s">
        <v>2839</v>
      </c>
      <c r="AO640" s="10" t="str">
        <f t="shared" si="129"/>
        <v>Moyenne</v>
      </c>
    </row>
    <row r="641" spans="1:41">
      <c r="A641" t="s">
        <v>1987</v>
      </c>
      <c r="B641" s="2">
        <v>45930</v>
      </c>
      <c r="C641" t="s">
        <v>1988</v>
      </c>
      <c r="D641" t="s">
        <v>128</v>
      </c>
      <c r="E641" t="s">
        <v>129</v>
      </c>
      <c r="F641" t="s">
        <v>388</v>
      </c>
      <c r="G641">
        <v>6</v>
      </c>
      <c r="H641" s="4">
        <v>190</v>
      </c>
      <c r="I641" s="3">
        <v>0.02</v>
      </c>
      <c r="J641" t="s">
        <v>45</v>
      </c>
      <c r="K641" t="s">
        <v>46</v>
      </c>
      <c r="L641" t="s">
        <v>1989</v>
      </c>
      <c r="M641" t="s">
        <v>54</v>
      </c>
      <c r="N641" t="s">
        <v>101</v>
      </c>
      <c r="O641" t="s">
        <v>132</v>
      </c>
      <c r="P641" t="s">
        <v>133</v>
      </c>
      <c r="Q641" t="s">
        <v>52</v>
      </c>
      <c r="R641" t="s">
        <v>134</v>
      </c>
      <c r="S641" t="s">
        <v>123</v>
      </c>
      <c r="T641" t="s">
        <v>390</v>
      </c>
      <c r="U641" s="5">
        <v>48</v>
      </c>
      <c r="V641" s="5" t="s">
        <v>85</v>
      </c>
      <c r="W641" s="5">
        <v>58</v>
      </c>
      <c r="X641" s="5">
        <v>4.5999999999999996</v>
      </c>
      <c r="Y641" s="5">
        <v>8</v>
      </c>
      <c r="Z641" s="5" t="s">
        <v>57</v>
      </c>
      <c r="AA641" s="6">
        <v>148.19999999999999</v>
      </c>
      <c r="AB641" s="8">
        <f t="shared" si="117"/>
        <v>1140</v>
      </c>
      <c r="AC641" s="8">
        <f t="shared" si="118"/>
        <v>22.8</v>
      </c>
      <c r="AD641" s="8">
        <f t="shared" si="119"/>
        <v>1117.2</v>
      </c>
      <c r="AE641" s="8">
        <f t="shared" si="120"/>
        <v>889.19999999999993</v>
      </c>
      <c r="AF641" s="8">
        <f t="shared" si="121"/>
        <v>228.00000000000011</v>
      </c>
      <c r="AG641" s="9">
        <f t="shared" si="122"/>
        <v>0.20408163265306131</v>
      </c>
      <c r="AH641" s="10">
        <f t="shared" si="123"/>
        <v>2025</v>
      </c>
      <c r="AI641" s="10">
        <f t="shared" si="124"/>
        <v>9</v>
      </c>
      <c r="AJ641" s="10" t="str">
        <f t="shared" si="125"/>
        <v>2025-09</v>
      </c>
      <c r="AK641" s="10" t="str">
        <f t="shared" si="126"/>
        <v>T3</v>
      </c>
      <c r="AL641" s="10" t="str">
        <f t="shared" si="127"/>
        <v>40-49</v>
      </c>
      <c r="AM641" s="10" t="str">
        <f t="shared" si="128"/>
        <v>faible</v>
      </c>
      <c r="AN641" s="10" t="s">
        <v>2837</v>
      </c>
      <c r="AO641" s="10" t="str">
        <f t="shared" si="129"/>
        <v>Elevée</v>
      </c>
    </row>
    <row r="642" spans="1:41">
      <c r="A642" t="s">
        <v>1990</v>
      </c>
      <c r="B642" s="2">
        <v>45997</v>
      </c>
      <c r="C642" t="s">
        <v>1991</v>
      </c>
      <c r="D642" t="s">
        <v>340</v>
      </c>
      <c r="E642" t="s">
        <v>163</v>
      </c>
      <c r="F642" t="s">
        <v>388</v>
      </c>
      <c r="G642">
        <v>10</v>
      </c>
      <c r="H642" s="4">
        <v>22</v>
      </c>
      <c r="I642" s="3">
        <v>0.02</v>
      </c>
      <c r="J642" t="s">
        <v>90</v>
      </c>
      <c r="K642" t="s">
        <v>46</v>
      </c>
      <c r="L642" t="s">
        <v>1992</v>
      </c>
      <c r="M642" t="s">
        <v>48</v>
      </c>
      <c r="N642" t="s">
        <v>255</v>
      </c>
      <c r="O642" t="s">
        <v>342</v>
      </c>
      <c r="P642" t="s">
        <v>103</v>
      </c>
      <c r="Q642" t="s">
        <v>143</v>
      </c>
      <c r="R642" t="s">
        <v>167</v>
      </c>
      <c r="S642" t="s">
        <v>123</v>
      </c>
      <c r="T642" t="s">
        <v>390</v>
      </c>
      <c r="U642" s="5">
        <v>22</v>
      </c>
      <c r="V642" s="5" t="s">
        <v>85</v>
      </c>
      <c r="W642" s="5">
        <v>52</v>
      </c>
      <c r="X642" s="5">
        <v>5.6</v>
      </c>
      <c r="Y642" s="5">
        <v>5</v>
      </c>
      <c r="Z642" s="5" t="s">
        <v>117</v>
      </c>
      <c r="AA642" s="6">
        <v>14.96</v>
      </c>
      <c r="AB642" s="8">
        <f t="shared" si="117"/>
        <v>220</v>
      </c>
      <c r="AC642" s="8">
        <f t="shared" si="118"/>
        <v>4.4000000000000004</v>
      </c>
      <c r="AD642" s="8">
        <f t="shared" si="119"/>
        <v>215.6</v>
      </c>
      <c r="AE642" s="8">
        <f t="shared" si="120"/>
        <v>149.60000000000002</v>
      </c>
      <c r="AF642" s="8">
        <f t="shared" si="121"/>
        <v>65.999999999999972</v>
      </c>
      <c r="AG642" s="9">
        <f t="shared" si="122"/>
        <v>0.30612244897959173</v>
      </c>
      <c r="AH642" s="10">
        <f t="shared" si="123"/>
        <v>2025</v>
      </c>
      <c r="AI642" s="10">
        <f t="shared" si="124"/>
        <v>12</v>
      </c>
      <c r="AJ642" s="10" t="str">
        <f t="shared" si="125"/>
        <v>2025-12</v>
      </c>
      <c r="AK642" s="10" t="str">
        <f t="shared" si="126"/>
        <v>T4</v>
      </c>
      <c r="AL642" s="10" t="str">
        <f t="shared" si="127"/>
        <v>22-29</v>
      </c>
      <c r="AM642" s="10" t="str">
        <f t="shared" si="128"/>
        <v>moyen</v>
      </c>
      <c r="AN642" s="10" t="s">
        <v>2839</v>
      </c>
      <c r="AO642" s="10" t="str">
        <f t="shared" si="129"/>
        <v>Faible</v>
      </c>
    </row>
    <row r="643" spans="1:41">
      <c r="A643" t="s">
        <v>1993</v>
      </c>
      <c r="B643" s="2">
        <v>46001</v>
      </c>
      <c r="C643" t="s">
        <v>1994</v>
      </c>
      <c r="D643" t="s">
        <v>155</v>
      </c>
      <c r="E643" t="s">
        <v>120</v>
      </c>
      <c r="F643" t="s">
        <v>164</v>
      </c>
      <c r="G643">
        <v>3</v>
      </c>
      <c r="H643" s="4">
        <v>48</v>
      </c>
      <c r="I643" s="3">
        <v>0</v>
      </c>
      <c r="J643" t="s">
        <v>90</v>
      </c>
      <c r="K643" t="s">
        <v>46</v>
      </c>
      <c r="L643" t="s">
        <v>1995</v>
      </c>
      <c r="M643" t="s">
        <v>123</v>
      </c>
      <c r="N643" t="s">
        <v>112</v>
      </c>
      <c r="O643" t="s">
        <v>158</v>
      </c>
      <c r="P643" t="s">
        <v>51</v>
      </c>
      <c r="Q643" t="s">
        <v>143</v>
      </c>
      <c r="R643" t="s">
        <v>124</v>
      </c>
      <c r="S643" t="s">
        <v>48</v>
      </c>
      <c r="T643" t="s">
        <v>168</v>
      </c>
      <c r="U643" s="5">
        <v>55</v>
      </c>
      <c r="V643" s="5" t="s">
        <v>56</v>
      </c>
      <c r="W643" s="5">
        <v>53</v>
      </c>
      <c r="X643" s="5">
        <v>4.8</v>
      </c>
      <c r="Y643" s="5">
        <v>8</v>
      </c>
      <c r="Z643" s="5" t="s">
        <v>94</v>
      </c>
      <c r="AA643" s="6">
        <v>37.44</v>
      </c>
      <c r="AB643" s="8">
        <f t="shared" ref="AB643:AB706" si="130">G643*H643</f>
        <v>144</v>
      </c>
      <c r="AC643" s="8">
        <f t="shared" ref="AC643:AC706" si="131">I643*AB643</f>
        <v>0</v>
      </c>
      <c r="AD643" s="8">
        <f t="shared" ref="AD643:AD706" si="132">AB643-AC643</f>
        <v>144</v>
      </c>
      <c r="AE643" s="8">
        <f t="shared" ref="AE643:AE706" si="133">G643*AA643</f>
        <v>112.32</v>
      </c>
      <c r="AF643" s="8">
        <f t="shared" ref="AF643:AF706" si="134">AD643-AE643</f>
        <v>31.680000000000007</v>
      </c>
      <c r="AG643" s="9">
        <f t="shared" ref="AG643:AG706" si="135">IFERROR(AF643/AD643,)</f>
        <v>0.22000000000000006</v>
      </c>
      <c r="AH643" s="10">
        <f t="shared" ref="AH643:AH706" si="136">YEAR(B643)</f>
        <v>2025</v>
      </c>
      <c r="AI643" s="10">
        <f t="shared" ref="AI643:AI706" si="137">MONTH(B643)</f>
        <v>12</v>
      </c>
      <c r="AJ643" s="10" t="str">
        <f t="shared" ref="AJ643:AJ706" si="138">TEXT(B643,"yyyy-mm")</f>
        <v>2025-12</v>
      </c>
      <c r="AK643" s="10" t="str">
        <f t="shared" ref="AK643:AK706" si="139">"T"&amp;ROUNDUP(MONTH(B643)/3,0)</f>
        <v>T4</v>
      </c>
      <c r="AL643" s="10" t="str">
        <f t="shared" ref="AL643:AL706" si="140">IF(U643&lt;30,"22-29",IF(U643&lt;40,"30-39",IF(U643&lt;50,"40-49","50+")))</f>
        <v>50+</v>
      </c>
      <c r="AM643" s="10" t="str">
        <f t="shared" ref="AM643:AM706" si="141">IF(X643&lt;5,"faible",IF(X643&lt;7,"moyen",IF(X643&lt;9,"bon","excellent")))</f>
        <v>faible</v>
      </c>
      <c r="AN643" s="10" t="s">
        <v>2837</v>
      </c>
      <c r="AO643" s="10" t="str">
        <f t="shared" ref="AO643:AO706" si="142">IF(AD643&gt;=1000,"Elevée",IF(AD643&gt;=500,"Moyenne","Faible"))</f>
        <v>Faible</v>
      </c>
    </row>
    <row r="644" spans="1:41">
      <c r="A644" t="s">
        <v>1996</v>
      </c>
      <c r="B644" s="2">
        <v>45700</v>
      </c>
      <c r="C644" t="s">
        <v>1997</v>
      </c>
      <c r="D644" t="s">
        <v>108</v>
      </c>
      <c r="E644" t="s">
        <v>43</v>
      </c>
      <c r="F644" t="s">
        <v>502</v>
      </c>
      <c r="G644">
        <v>2</v>
      </c>
      <c r="H644" s="4">
        <v>240</v>
      </c>
      <c r="I644" s="3">
        <v>0.1</v>
      </c>
      <c r="J644" t="s">
        <v>63</v>
      </c>
      <c r="K644" t="s">
        <v>46</v>
      </c>
      <c r="L644" t="s">
        <v>1998</v>
      </c>
      <c r="M644" t="s">
        <v>123</v>
      </c>
      <c r="N644" t="s">
        <v>49</v>
      </c>
      <c r="O644" t="s">
        <v>113</v>
      </c>
      <c r="P644" t="s">
        <v>82</v>
      </c>
      <c r="Q644" t="s">
        <v>114</v>
      </c>
      <c r="R644" t="s">
        <v>53</v>
      </c>
      <c r="S644" t="s">
        <v>54</v>
      </c>
      <c r="T644" t="s">
        <v>504</v>
      </c>
      <c r="U644" s="5">
        <v>46</v>
      </c>
      <c r="V644" s="5" t="s">
        <v>85</v>
      </c>
      <c r="W644" s="5">
        <v>50</v>
      </c>
      <c r="X644" s="5">
        <v>8.1</v>
      </c>
      <c r="Y644" s="5">
        <v>2</v>
      </c>
      <c r="Z644" s="5" t="s">
        <v>57</v>
      </c>
      <c r="AA644" s="6">
        <v>177.6</v>
      </c>
      <c r="AB644" s="8">
        <f t="shared" si="130"/>
        <v>480</v>
      </c>
      <c r="AC644" s="8">
        <f t="shared" si="131"/>
        <v>48</v>
      </c>
      <c r="AD644" s="8">
        <f t="shared" si="132"/>
        <v>432</v>
      </c>
      <c r="AE644" s="8">
        <f t="shared" si="133"/>
        <v>355.2</v>
      </c>
      <c r="AF644" s="8">
        <f t="shared" si="134"/>
        <v>76.800000000000011</v>
      </c>
      <c r="AG644" s="9">
        <f t="shared" si="135"/>
        <v>0.17777777777777781</v>
      </c>
      <c r="AH644" s="10">
        <f t="shared" si="136"/>
        <v>2025</v>
      </c>
      <c r="AI644" s="10">
        <f t="shared" si="137"/>
        <v>2</v>
      </c>
      <c r="AJ644" s="10" t="str">
        <f t="shared" si="138"/>
        <v>2025-02</v>
      </c>
      <c r="AK644" s="10" t="str">
        <f t="shared" si="139"/>
        <v>T1</v>
      </c>
      <c r="AL644" s="10" t="str">
        <f t="shared" si="140"/>
        <v>40-49</v>
      </c>
      <c r="AM644" s="10" t="str">
        <f t="shared" si="141"/>
        <v>bon</v>
      </c>
      <c r="AN644" s="10" t="s">
        <v>2838</v>
      </c>
      <c r="AO644" s="10" t="str">
        <f t="shared" si="142"/>
        <v>Faible</v>
      </c>
    </row>
    <row r="645" spans="1:41">
      <c r="A645" t="s">
        <v>1999</v>
      </c>
      <c r="B645" s="2">
        <v>45787</v>
      </c>
      <c r="C645" t="s">
        <v>515</v>
      </c>
      <c r="D645" t="s">
        <v>128</v>
      </c>
      <c r="E645" t="s">
        <v>315</v>
      </c>
      <c r="F645" t="s">
        <v>302</v>
      </c>
      <c r="G645">
        <v>1</v>
      </c>
      <c r="H645" s="4">
        <v>190</v>
      </c>
      <c r="I645" s="3">
        <v>0</v>
      </c>
      <c r="J645" t="s">
        <v>90</v>
      </c>
      <c r="K645" t="s">
        <v>46</v>
      </c>
      <c r="L645" t="s">
        <v>516</v>
      </c>
      <c r="M645" t="s">
        <v>65</v>
      </c>
      <c r="N645" t="s">
        <v>80</v>
      </c>
      <c r="O645" t="s">
        <v>132</v>
      </c>
      <c r="P645" t="s">
        <v>133</v>
      </c>
      <c r="Q645" t="s">
        <v>52</v>
      </c>
      <c r="R645" t="s">
        <v>317</v>
      </c>
      <c r="S645" t="s">
        <v>69</v>
      </c>
      <c r="T645" t="s">
        <v>304</v>
      </c>
      <c r="U645" s="5">
        <v>33</v>
      </c>
      <c r="V645" s="5" t="s">
        <v>85</v>
      </c>
      <c r="W645" s="5">
        <v>41</v>
      </c>
      <c r="X645" s="5">
        <v>5.6</v>
      </c>
      <c r="Y645" s="5">
        <v>7</v>
      </c>
      <c r="Z645" s="5" t="s">
        <v>94</v>
      </c>
      <c r="AA645" s="6">
        <v>148.19999999999999</v>
      </c>
      <c r="AB645" s="8">
        <f t="shared" si="130"/>
        <v>190</v>
      </c>
      <c r="AC645" s="8">
        <f t="shared" si="131"/>
        <v>0</v>
      </c>
      <c r="AD645" s="8">
        <f t="shared" si="132"/>
        <v>190</v>
      </c>
      <c r="AE645" s="8">
        <f t="shared" si="133"/>
        <v>148.19999999999999</v>
      </c>
      <c r="AF645" s="8">
        <f t="shared" si="134"/>
        <v>41.800000000000011</v>
      </c>
      <c r="AG645" s="9">
        <f t="shared" si="135"/>
        <v>0.22000000000000006</v>
      </c>
      <c r="AH645" s="10">
        <f t="shared" si="136"/>
        <v>2025</v>
      </c>
      <c r="AI645" s="10">
        <f t="shared" si="137"/>
        <v>5</v>
      </c>
      <c r="AJ645" s="10" t="str">
        <f t="shared" si="138"/>
        <v>2025-05</v>
      </c>
      <c r="AK645" s="10" t="str">
        <f t="shared" si="139"/>
        <v>T2</v>
      </c>
      <c r="AL645" s="10" t="str">
        <f t="shared" si="140"/>
        <v>30-39</v>
      </c>
      <c r="AM645" s="10" t="str">
        <f t="shared" si="141"/>
        <v>moyen</v>
      </c>
      <c r="AN645" s="10" t="s">
        <v>2837</v>
      </c>
      <c r="AO645" s="10" t="str">
        <f t="shared" si="142"/>
        <v>Faible</v>
      </c>
    </row>
    <row r="646" spans="1:41">
      <c r="A646" t="s">
        <v>2000</v>
      </c>
      <c r="B646" s="2">
        <v>45814</v>
      </c>
      <c r="C646" t="s">
        <v>2001</v>
      </c>
      <c r="D646" t="s">
        <v>188</v>
      </c>
      <c r="E646" t="s">
        <v>163</v>
      </c>
      <c r="F646" t="s">
        <v>182</v>
      </c>
      <c r="G646">
        <v>1</v>
      </c>
      <c r="H646" s="4">
        <v>350</v>
      </c>
      <c r="I646" s="3">
        <v>0.02</v>
      </c>
      <c r="J646" t="s">
        <v>77</v>
      </c>
      <c r="K646" t="s">
        <v>46</v>
      </c>
      <c r="L646" t="s">
        <v>2002</v>
      </c>
      <c r="M646" t="s">
        <v>65</v>
      </c>
      <c r="N646" t="s">
        <v>101</v>
      </c>
      <c r="O646" t="s">
        <v>192</v>
      </c>
      <c r="P646" t="s">
        <v>51</v>
      </c>
      <c r="Q646" t="s">
        <v>114</v>
      </c>
      <c r="R646" t="s">
        <v>167</v>
      </c>
      <c r="S646" t="s">
        <v>123</v>
      </c>
      <c r="T646" t="s">
        <v>185</v>
      </c>
      <c r="U646" s="5">
        <v>60</v>
      </c>
      <c r="V646" s="5" t="s">
        <v>56</v>
      </c>
      <c r="W646" s="5">
        <v>64</v>
      </c>
      <c r="X646" s="5">
        <v>6.3</v>
      </c>
      <c r="Y646" s="5">
        <v>5</v>
      </c>
      <c r="Z646" s="5" t="s">
        <v>117</v>
      </c>
      <c r="AA646" s="6">
        <v>213.5</v>
      </c>
      <c r="AB646" s="8">
        <f t="shared" si="130"/>
        <v>350</v>
      </c>
      <c r="AC646" s="8">
        <f t="shared" si="131"/>
        <v>7</v>
      </c>
      <c r="AD646" s="8">
        <f t="shared" si="132"/>
        <v>343</v>
      </c>
      <c r="AE646" s="8">
        <f t="shared" si="133"/>
        <v>213.5</v>
      </c>
      <c r="AF646" s="8">
        <f t="shared" si="134"/>
        <v>129.5</v>
      </c>
      <c r="AG646" s="9">
        <f t="shared" si="135"/>
        <v>0.37755102040816324</v>
      </c>
      <c r="AH646" s="10">
        <f t="shared" si="136"/>
        <v>2025</v>
      </c>
      <c r="AI646" s="10">
        <f t="shared" si="137"/>
        <v>6</v>
      </c>
      <c r="AJ646" s="10" t="str">
        <f t="shared" si="138"/>
        <v>2025-06</v>
      </c>
      <c r="AK646" s="10" t="str">
        <f t="shared" si="139"/>
        <v>T2</v>
      </c>
      <c r="AL646" s="10" t="str">
        <f t="shared" si="140"/>
        <v>50+</v>
      </c>
      <c r="AM646" s="10" t="str">
        <f t="shared" si="141"/>
        <v>moyen</v>
      </c>
      <c r="AN646" s="10" t="s">
        <v>2839</v>
      </c>
      <c r="AO646" s="10" t="str">
        <f t="shared" si="142"/>
        <v>Faible</v>
      </c>
    </row>
    <row r="647" spans="1:41">
      <c r="A647" t="s">
        <v>2003</v>
      </c>
      <c r="B647" s="2">
        <v>45674</v>
      </c>
      <c r="C647" t="s">
        <v>2004</v>
      </c>
      <c r="D647" t="s">
        <v>174</v>
      </c>
      <c r="E647" t="s">
        <v>189</v>
      </c>
      <c r="F647" t="s">
        <v>130</v>
      </c>
      <c r="G647">
        <v>1</v>
      </c>
      <c r="H647" s="4">
        <v>780</v>
      </c>
      <c r="I647" s="3">
        <v>0.05</v>
      </c>
      <c r="J647" t="s">
        <v>90</v>
      </c>
      <c r="K647" t="s">
        <v>46</v>
      </c>
      <c r="L647" t="s">
        <v>2005</v>
      </c>
      <c r="M647" t="s">
        <v>123</v>
      </c>
      <c r="N647" t="s">
        <v>112</v>
      </c>
      <c r="O647" t="s">
        <v>177</v>
      </c>
      <c r="P647" t="s">
        <v>103</v>
      </c>
      <c r="Q647" t="s">
        <v>114</v>
      </c>
      <c r="R647" t="s">
        <v>193</v>
      </c>
      <c r="S647" t="s">
        <v>79</v>
      </c>
      <c r="T647" t="s">
        <v>135</v>
      </c>
      <c r="U647" s="5">
        <v>31</v>
      </c>
      <c r="V647" s="5" t="s">
        <v>85</v>
      </c>
      <c r="W647" s="5">
        <v>12</v>
      </c>
      <c r="X647" s="5">
        <v>8.1999999999999993</v>
      </c>
      <c r="Y647" s="5">
        <v>1</v>
      </c>
      <c r="Z647" s="5" t="s">
        <v>57</v>
      </c>
      <c r="AA647" s="6">
        <v>468</v>
      </c>
      <c r="AB647" s="8">
        <f t="shared" si="130"/>
        <v>780</v>
      </c>
      <c r="AC647" s="8">
        <f t="shared" si="131"/>
        <v>39</v>
      </c>
      <c r="AD647" s="8">
        <f t="shared" si="132"/>
        <v>741</v>
      </c>
      <c r="AE647" s="8">
        <f t="shared" si="133"/>
        <v>468</v>
      </c>
      <c r="AF647" s="8">
        <f t="shared" si="134"/>
        <v>273</v>
      </c>
      <c r="AG647" s="9">
        <f t="shared" si="135"/>
        <v>0.36842105263157893</v>
      </c>
      <c r="AH647" s="10">
        <f t="shared" si="136"/>
        <v>2025</v>
      </c>
      <c r="AI647" s="10">
        <f t="shared" si="137"/>
        <v>1</v>
      </c>
      <c r="AJ647" s="10" t="str">
        <f t="shared" si="138"/>
        <v>2025-01</v>
      </c>
      <c r="AK647" s="10" t="str">
        <f t="shared" si="139"/>
        <v>T1</v>
      </c>
      <c r="AL647" s="10" t="str">
        <f t="shared" si="140"/>
        <v>30-39</v>
      </c>
      <c r="AM647" s="10" t="str">
        <f t="shared" si="141"/>
        <v>bon</v>
      </c>
      <c r="AN647" s="10" t="s">
        <v>2838</v>
      </c>
      <c r="AO647" s="10" t="str">
        <f t="shared" si="142"/>
        <v>Moyenne</v>
      </c>
    </row>
    <row r="648" spans="1:41">
      <c r="A648" t="s">
        <v>2006</v>
      </c>
      <c r="B648" s="2">
        <v>45898</v>
      </c>
      <c r="C648" t="s">
        <v>2007</v>
      </c>
      <c r="D648" t="s">
        <v>74</v>
      </c>
      <c r="E648" t="s">
        <v>226</v>
      </c>
      <c r="F648" t="s">
        <v>202</v>
      </c>
      <c r="G648">
        <v>2</v>
      </c>
      <c r="H648" s="4">
        <v>95</v>
      </c>
      <c r="I648" s="3">
        <v>0</v>
      </c>
      <c r="J648" t="s">
        <v>77</v>
      </c>
      <c r="K648" t="s">
        <v>46</v>
      </c>
      <c r="L648" t="s">
        <v>2008</v>
      </c>
      <c r="M648" t="s">
        <v>48</v>
      </c>
      <c r="N648" t="s">
        <v>80</v>
      </c>
      <c r="O648" t="s">
        <v>81</v>
      </c>
      <c r="P648" t="s">
        <v>82</v>
      </c>
      <c r="Q648" t="s">
        <v>52</v>
      </c>
      <c r="R648" t="s">
        <v>229</v>
      </c>
      <c r="S648" t="s">
        <v>48</v>
      </c>
      <c r="T648" t="s">
        <v>204</v>
      </c>
      <c r="U648" s="5">
        <v>26</v>
      </c>
      <c r="V648" s="5" t="s">
        <v>85</v>
      </c>
      <c r="W648" s="5">
        <v>20</v>
      </c>
      <c r="X648" s="5">
        <v>8.3000000000000007</v>
      </c>
      <c r="Y648" s="5">
        <v>2</v>
      </c>
      <c r="Z648" s="5" t="s">
        <v>57</v>
      </c>
      <c r="AA648" s="6">
        <v>70.3</v>
      </c>
      <c r="AB648" s="8">
        <f t="shared" si="130"/>
        <v>190</v>
      </c>
      <c r="AC648" s="8">
        <f t="shared" si="131"/>
        <v>0</v>
      </c>
      <c r="AD648" s="8">
        <f t="shared" si="132"/>
        <v>190</v>
      </c>
      <c r="AE648" s="8">
        <f t="shared" si="133"/>
        <v>140.6</v>
      </c>
      <c r="AF648" s="8">
        <f t="shared" si="134"/>
        <v>49.400000000000006</v>
      </c>
      <c r="AG648" s="9">
        <f t="shared" si="135"/>
        <v>0.26</v>
      </c>
      <c r="AH648" s="10">
        <f t="shared" si="136"/>
        <v>2025</v>
      </c>
      <c r="AI648" s="10">
        <f t="shared" si="137"/>
        <v>8</v>
      </c>
      <c r="AJ648" s="10" t="str">
        <f t="shared" si="138"/>
        <v>2025-08</v>
      </c>
      <c r="AK648" s="10" t="str">
        <f t="shared" si="139"/>
        <v>T3</v>
      </c>
      <c r="AL648" s="10" t="str">
        <f t="shared" si="140"/>
        <v>22-29</v>
      </c>
      <c r="AM648" s="10" t="str">
        <f t="shared" si="141"/>
        <v>bon</v>
      </c>
      <c r="AN648" s="10" t="s">
        <v>2838</v>
      </c>
      <c r="AO648" s="10" t="str">
        <f t="shared" si="142"/>
        <v>Faible</v>
      </c>
    </row>
    <row r="649" spans="1:41">
      <c r="A649" t="s">
        <v>2009</v>
      </c>
      <c r="B649" s="2">
        <v>45794</v>
      </c>
      <c r="C649" t="s">
        <v>2010</v>
      </c>
      <c r="D649" t="s">
        <v>181</v>
      </c>
      <c r="E649" t="s">
        <v>277</v>
      </c>
      <c r="F649" t="s">
        <v>350</v>
      </c>
      <c r="G649">
        <v>1</v>
      </c>
      <c r="H649" s="4">
        <v>145</v>
      </c>
      <c r="I649" s="3">
        <v>0.02</v>
      </c>
      <c r="J649" t="s">
        <v>90</v>
      </c>
      <c r="K649" t="s">
        <v>46</v>
      </c>
      <c r="L649" t="s">
        <v>2011</v>
      </c>
      <c r="M649" t="s">
        <v>65</v>
      </c>
      <c r="N649" t="s">
        <v>80</v>
      </c>
      <c r="O649" t="s">
        <v>184</v>
      </c>
      <c r="P649" t="s">
        <v>103</v>
      </c>
      <c r="Q649" t="s">
        <v>52</v>
      </c>
      <c r="R649" t="s">
        <v>279</v>
      </c>
      <c r="S649" t="s">
        <v>54</v>
      </c>
      <c r="T649" t="s">
        <v>352</v>
      </c>
      <c r="U649" s="5">
        <v>26</v>
      </c>
      <c r="V649" s="5" t="s">
        <v>85</v>
      </c>
      <c r="W649" s="5">
        <v>8</v>
      </c>
      <c r="X649" s="5">
        <v>3.7</v>
      </c>
      <c r="Y649" s="5">
        <v>8</v>
      </c>
      <c r="Z649" s="5" t="s">
        <v>117</v>
      </c>
      <c r="AA649" s="6">
        <v>97.15</v>
      </c>
      <c r="AB649" s="8">
        <f t="shared" si="130"/>
        <v>145</v>
      </c>
      <c r="AC649" s="8">
        <f t="shared" si="131"/>
        <v>2.9</v>
      </c>
      <c r="AD649" s="8">
        <f t="shared" si="132"/>
        <v>142.1</v>
      </c>
      <c r="AE649" s="8">
        <f t="shared" si="133"/>
        <v>97.15</v>
      </c>
      <c r="AF649" s="8">
        <f t="shared" si="134"/>
        <v>44.949999999999989</v>
      </c>
      <c r="AG649" s="9">
        <f t="shared" si="135"/>
        <v>0.31632653061224481</v>
      </c>
      <c r="AH649" s="10">
        <f t="shared" si="136"/>
        <v>2025</v>
      </c>
      <c r="AI649" s="10">
        <f t="shared" si="137"/>
        <v>5</v>
      </c>
      <c r="AJ649" s="10" t="str">
        <f t="shared" si="138"/>
        <v>2025-05</v>
      </c>
      <c r="AK649" s="10" t="str">
        <f t="shared" si="139"/>
        <v>T2</v>
      </c>
      <c r="AL649" s="10" t="str">
        <f t="shared" si="140"/>
        <v>22-29</v>
      </c>
      <c r="AM649" s="10" t="str">
        <f t="shared" si="141"/>
        <v>faible</v>
      </c>
      <c r="AN649" s="10" t="s">
        <v>2837</v>
      </c>
      <c r="AO649" s="10" t="str">
        <f t="shared" si="142"/>
        <v>Faible</v>
      </c>
    </row>
    <row r="650" spans="1:41">
      <c r="A650" t="s">
        <v>2012</v>
      </c>
      <c r="B650" s="2">
        <v>45723</v>
      </c>
      <c r="C650" t="s">
        <v>2013</v>
      </c>
      <c r="D650" t="s">
        <v>97</v>
      </c>
      <c r="E650" t="s">
        <v>120</v>
      </c>
      <c r="F650" t="s">
        <v>439</v>
      </c>
      <c r="G650">
        <v>4</v>
      </c>
      <c r="H650" s="4">
        <v>520</v>
      </c>
      <c r="I650" s="3">
        <v>0</v>
      </c>
      <c r="J650" t="s">
        <v>45</v>
      </c>
      <c r="K650" t="s">
        <v>46</v>
      </c>
      <c r="L650" t="s">
        <v>2014</v>
      </c>
      <c r="M650" t="s">
        <v>69</v>
      </c>
      <c r="N650" t="s">
        <v>49</v>
      </c>
      <c r="O650" t="s">
        <v>102</v>
      </c>
      <c r="P650" t="s">
        <v>103</v>
      </c>
      <c r="Q650" t="s">
        <v>52</v>
      </c>
      <c r="R650" t="s">
        <v>124</v>
      </c>
      <c r="S650" t="s">
        <v>48</v>
      </c>
      <c r="T650" t="s">
        <v>441</v>
      </c>
      <c r="U650" s="5">
        <v>49</v>
      </c>
      <c r="V650" s="5" t="s">
        <v>85</v>
      </c>
      <c r="W650" s="5">
        <v>23</v>
      </c>
      <c r="X650" s="5">
        <v>4.3</v>
      </c>
      <c r="Y650" s="5">
        <v>9</v>
      </c>
      <c r="Z650" s="5" t="s">
        <v>57</v>
      </c>
      <c r="AA650" s="6">
        <v>348.4</v>
      </c>
      <c r="AB650" s="8">
        <f t="shared" si="130"/>
        <v>2080</v>
      </c>
      <c r="AC650" s="8">
        <f t="shared" si="131"/>
        <v>0</v>
      </c>
      <c r="AD650" s="8">
        <f t="shared" si="132"/>
        <v>2080</v>
      </c>
      <c r="AE650" s="8">
        <f t="shared" si="133"/>
        <v>1393.6</v>
      </c>
      <c r="AF650" s="8">
        <f t="shared" si="134"/>
        <v>686.40000000000009</v>
      </c>
      <c r="AG650" s="9">
        <f t="shared" si="135"/>
        <v>0.33000000000000007</v>
      </c>
      <c r="AH650" s="10">
        <f t="shared" si="136"/>
        <v>2025</v>
      </c>
      <c r="AI650" s="10">
        <f t="shared" si="137"/>
        <v>3</v>
      </c>
      <c r="AJ650" s="10" t="str">
        <f t="shared" si="138"/>
        <v>2025-03</v>
      </c>
      <c r="AK650" s="10" t="str">
        <f t="shared" si="139"/>
        <v>T1</v>
      </c>
      <c r="AL650" s="10" t="str">
        <f t="shared" si="140"/>
        <v>40-49</v>
      </c>
      <c r="AM650" s="10" t="str">
        <f t="shared" si="141"/>
        <v>faible</v>
      </c>
      <c r="AN650" s="10" t="s">
        <v>2837</v>
      </c>
      <c r="AO650" s="10" t="str">
        <f t="shared" si="142"/>
        <v>Elevée</v>
      </c>
    </row>
    <row r="651" spans="1:41">
      <c r="A651" t="s">
        <v>2015</v>
      </c>
      <c r="B651" s="2">
        <v>45779</v>
      </c>
      <c r="C651" t="s">
        <v>2016</v>
      </c>
      <c r="D651" t="s">
        <v>174</v>
      </c>
      <c r="E651" t="s">
        <v>98</v>
      </c>
      <c r="F651" t="s">
        <v>44</v>
      </c>
      <c r="G651">
        <v>4</v>
      </c>
      <c r="H651" s="4">
        <v>780</v>
      </c>
      <c r="I651" s="3">
        <v>0.1</v>
      </c>
      <c r="J651" t="s">
        <v>90</v>
      </c>
      <c r="K651" t="s">
        <v>46</v>
      </c>
      <c r="L651" t="s">
        <v>2017</v>
      </c>
      <c r="M651" t="s">
        <v>65</v>
      </c>
      <c r="N651" t="s">
        <v>49</v>
      </c>
      <c r="O651" t="s">
        <v>177</v>
      </c>
      <c r="P651" t="s">
        <v>103</v>
      </c>
      <c r="Q651" t="s">
        <v>114</v>
      </c>
      <c r="R651" t="s">
        <v>104</v>
      </c>
      <c r="S651" t="s">
        <v>79</v>
      </c>
      <c r="T651" t="s">
        <v>55</v>
      </c>
      <c r="U651" s="5">
        <v>34</v>
      </c>
      <c r="V651" s="5" t="s">
        <v>85</v>
      </c>
      <c r="W651" s="5">
        <v>49</v>
      </c>
      <c r="X651" s="5">
        <v>6.8</v>
      </c>
      <c r="Y651" s="5">
        <v>3</v>
      </c>
      <c r="Z651" s="5" t="s">
        <v>71</v>
      </c>
      <c r="AA651" s="6">
        <v>468</v>
      </c>
      <c r="AB651" s="8">
        <f t="shared" si="130"/>
        <v>3120</v>
      </c>
      <c r="AC651" s="8">
        <f t="shared" si="131"/>
        <v>312</v>
      </c>
      <c r="AD651" s="8">
        <f t="shared" si="132"/>
        <v>2808</v>
      </c>
      <c r="AE651" s="8">
        <f t="shared" si="133"/>
        <v>1872</v>
      </c>
      <c r="AF651" s="8">
        <f t="shared" si="134"/>
        <v>936</v>
      </c>
      <c r="AG651" s="9">
        <f t="shared" si="135"/>
        <v>0.33333333333333331</v>
      </c>
      <c r="AH651" s="10">
        <f t="shared" si="136"/>
        <v>2025</v>
      </c>
      <c r="AI651" s="10">
        <f t="shared" si="137"/>
        <v>5</v>
      </c>
      <c r="AJ651" s="10" t="str">
        <f t="shared" si="138"/>
        <v>2025-05</v>
      </c>
      <c r="AK651" s="10" t="str">
        <f t="shared" si="139"/>
        <v>T2</v>
      </c>
      <c r="AL651" s="10" t="str">
        <f t="shared" si="140"/>
        <v>30-39</v>
      </c>
      <c r="AM651" s="10" t="str">
        <f t="shared" si="141"/>
        <v>moyen</v>
      </c>
      <c r="AN651" s="10" t="s">
        <v>2838</v>
      </c>
      <c r="AO651" s="10" t="str">
        <f t="shared" si="142"/>
        <v>Elevée</v>
      </c>
    </row>
    <row r="652" spans="1:41">
      <c r="A652" t="s">
        <v>2018</v>
      </c>
      <c r="B652" s="2">
        <v>45956</v>
      </c>
      <c r="C652" t="s">
        <v>704</v>
      </c>
      <c r="D652" t="s">
        <v>108</v>
      </c>
      <c r="E652" t="s">
        <v>214</v>
      </c>
      <c r="F652" t="s">
        <v>813</v>
      </c>
      <c r="G652">
        <v>3</v>
      </c>
      <c r="H652" s="4">
        <v>240</v>
      </c>
      <c r="I652" s="3">
        <v>0.1</v>
      </c>
      <c r="J652" t="s">
        <v>63</v>
      </c>
      <c r="K652" t="s">
        <v>46</v>
      </c>
      <c r="L652" t="s">
        <v>705</v>
      </c>
      <c r="M652" t="s">
        <v>48</v>
      </c>
      <c r="N652" t="s">
        <v>255</v>
      </c>
      <c r="O652" t="s">
        <v>113</v>
      </c>
      <c r="P652" t="s">
        <v>82</v>
      </c>
      <c r="Q652" t="s">
        <v>114</v>
      </c>
      <c r="R652" t="s">
        <v>216</v>
      </c>
      <c r="S652" t="s">
        <v>65</v>
      </c>
      <c r="T652" t="s">
        <v>815</v>
      </c>
      <c r="U652" s="5">
        <v>41</v>
      </c>
      <c r="V652" s="5" t="s">
        <v>56</v>
      </c>
      <c r="W652" s="5">
        <v>12</v>
      </c>
      <c r="X652" s="5">
        <v>5.7</v>
      </c>
      <c r="Y652" s="5">
        <v>6</v>
      </c>
      <c r="Z652" s="5" t="s">
        <v>117</v>
      </c>
      <c r="AA652" s="6">
        <v>177.6</v>
      </c>
      <c r="AB652" s="8">
        <f t="shared" si="130"/>
        <v>720</v>
      </c>
      <c r="AC652" s="8">
        <f t="shared" si="131"/>
        <v>72</v>
      </c>
      <c r="AD652" s="8">
        <f t="shared" si="132"/>
        <v>648</v>
      </c>
      <c r="AE652" s="8">
        <f t="shared" si="133"/>
        <v>532.79999999999995</v>
      </c>
      <c r="AF652" s="8">
        <f t="shared" si="134"/>
        <v>115.20000000000005</v>
      </c>
      <c r="AG652" s="9">
        <f t="shared" si="135"/>
        <v>0.17777777777777784</v>
      </c>
      <c r="AH652" s="10">
        <f t="shared" si="136"/>
        <v>2025</v>
      </c>
      <c r="AI652" s="10">
        <f t="shared" si="137"/>
        <v>10</v>
      </c>
      <c r="AJ652" s="10" t="str">
        <f t="shared" si="138"/>
        <v>2025-10</v>
      </c>
      <c r="AK652" s="10" t="str">
        <f t="shared" si="139"/>
        <v>T4</v>
      </c>
      <c r="AL652" s="10" t="str">
        <f t="shared" si="140"/>
        <v>40-49</v>
      </c>
      <c r="AM652" s="10" t="str">
        <f t="shared" si="141"/>
        <v>moyen</v>
      </c>
      <c r="AN652" s="10" t="s">
        <v>2839</v>
      </c>
      <c r="AO652" s="10" t="str">
        <f t="shared" si="142"/>
        <v>Moyenne</v>
      </c>
    </row>
    <row r="653" spans="1:41">
      <c r="A653" t="s">
        <v>2019</v>
      </c>
      <c r="B653" s="2">
        <v>46018</v>
      </c>
      <c r="C653" t="s">
        <v>2020</v>
      </c>
      <c r="D653" t="s">
        <v>97</v>
      </c>
      <c r="E653" t="s">
        <v>345</v>
      </c>
      <c r="F653" t="s">
        <v>197</v>
      </c>
      <c r="G653">
        <v>1</v>
      </c>
      <c r="H653" s="4">
        <v>520</v>
      </c>
      <c r="I653" s="3">
        <v>0.08</v>
      </c>
      <c r="J653" t="s">
        <v>90</v>
      </c>
      <c r="K653" t="s">
        <v>46</v>
      </c>
      <c r="L653" t="s">
        <v>2021</v>
      </c>
      <c r="M653" t="s">
        <v>123</v>
      </c>
      <c r="N653" t="s">
        <v>255</v>
      </c>
      <c r="O653" t="s">
        <v>102</v>
      </c>
      <c r="P653" t="s">
        <v>103</v>
      </c>
      <c r="Q653" t="s">
        <v>52</v>
      </c>
      <c r="R653" t="s">
        <v>347</v>
      </c>
      <c r="S653" t="s">
        <v>54</v>
      </c>
      <c r="T653" t="s">
        <v>199</v>
      </c>
      <c r="U653" s="5">
        <v>33</v>
      </c>
      <c r="V653" s="5" t="s">
        <v>56</v>
      </c>
      <c r="W653" s="5">
        <v>5</v>
      </c>
      <c r="X653" s="5">
        <v>4.5</v>
      </c>
      <c r="Y653" s="5">
        <v>7</v>
      </c>
      <c r="Z653" s="5" t="s">
        <v>57</v>
      </c>
      <c r="AA653" s="6">
        <v>348.4</v>
      </c>
      <c r="AB653" s="8">
        <f t="shared" si="130"/>
        <v>520</v>
      </c>
      <c r="AC653" s="8">
        <f t="shared" si="131"/>
        <v>41.6</v>
      </c>
      <c r="AD653" s="8">
        <f t="shared" si="132"/>
        <v>478.4</v>
      </c>
      <c r="AE653" s="8">
        <f t="shared" si="133"/>
        <v>348.4</v>
      </c>
      <c r="AF653" s="8">
        <f t="shared" si="134"/>
        <v>130</v>
      </c>
      <c r="AG653" s="9">
        <f t="shared" si="135"/>
        <v>0.27173913043478259</v>
      </c>
      <c r="AH653" s="10">
        <f t="shared" si="136"/>
        <v>2025</v>
      </c>
      <c r="AI653" s="10">
        <f t="shared" si="137"/>
        <v>12</v>
      </c>
      <c r="AJ653" s="10" t="str">
        <f t="shared" si="138"/>
        <v>2025-12</v>
      </c>
      <c r="AK653" s="10" t="str">
        <f t="shared" si="139"/>
        <v>T4</v>
      </c>
      <c r="AL653" s="10" t="str">
        <f t="shared" si="140"/>
        <v>30-39</v>
      </c>
      <c r="AM653" s="10" t="str">
        <f t="shared" si="141"/>
        <v>faible</v>
      </c>
      <c r="AN653" s="10" t="s">
        <v>2837</v>
      </c>
      <c r="AO653" s="10" t="str">
        <f t="shared" si="142"/>
        <v>Faible</v>
      </c>
    </row>
    <row r="654" spans="1:41">
      <c r="A654" t="s">
        <v>2022</v>
      </c>
      <c r="B654" s="2">
        <v>46009</v>
      </c>
      <c r="C654" t="s">
        <v>2023</v>
      </c>
      <c r="D654" t="s">
        <v>138</v>
      </c>
      <c r="E654" t="s">
        <v>129</v>
      </c>
      <c r="F654" t="s">
        <v>208</v>
      </c>
      <c r="G654">
        <v>1</v>
      </c>
      <c r="H654" s="4">
        <v>120</v>
      </c>
      <c r="I654" s="3">
        <v>0</v>
      </c>
      <c r="J654" t="s">
        <v>90</v>
      </c>
      <c r="K654" t="s">
        <v>46</v>
      </c>
      <c r="L654" t="s">
        <v>2024</v>
      </c>
      <c r="M654" t="s">
        <v>79</v>
      </c>
      <c r="N654" t="s">
        <v>255</v>
      </c>
      <c r="O654" t="s">
        <v>142</v>
      </c>
      <c r="P654" t="s">
        <v>51</v>
      </c>
      <c r="Q654" t="s">
        <v>143</v>
      </c>
      <c r="R654" t="s">
        <v>134</v>
      </c>
      <c r="S654" t="s">
        <v>123</v>
      </c>
      <c r="T654" t="s">
        <v>211</v>
      </c>
      <c r="U654" s="5">
        <v>32</v>
      </c>
      <c r="V654" s="5" t="s">
        <v>56</v>
      </c>
      <c r="W654" s="5">
        <v>54</v>
      </c>
      <c r="X654" s="5">
        <v>7.8</v>
      </c>
      <c r="Y654" s="5">
        <v>2</v>
      </c>
      <c r="Z654" s="5" t="s">
        <v>57</v>
      </c>
      <c r="AA654" s="6">
        <v>73.2</v>
      </c>
      <c r="AB654" s="8">
        <f t="shared" si="130"/>
        <v>120</v>
      </c>
      <c r="AC654" s="8">
        <f t="shared" si="131"/>
        <v>0</v>
      </c>
      <c r="AD654" s="8">
        <f t="shared" si="132"/>
        <v>120</v>
      </c>
      <c r="AE654" s="8">
        <f t="shared" si="133"/>
        <v>73.2</v>
      </c>
      <c r="AF654" s="8">
        <f t="shared" si="134"/>
        <v>46.8</v>
      </c>
      <c r="AG654" s="9">
        <f t="shared" si="135"/>
        <v>0.38999999999999996</v>
      </c>
      <c r="AH654" s="10">
        <f t="shared" si="136"/>
        <v>2025</v>
      </c>
      <c r="AI654" s="10">
        <f t="shared" si="137"/>
        <v>12</v>
      </c>
      <c r="AJ654" s="10" t="str">
        <f t="shared" si="138"/>
        <v>2025-12</v>
      </c>
      <c r="AK654" s="10" t="str">
        <f t="shared" si="139"/>
        <v>T4</v>
      </c>
      <c r="AL654" s="10" t="str">
        <f t="shared" si="140"/>
        <v>30-39</v>
      </c>
      <c r="AM654" s="10" t="str">
        <f t="shared" si="141"/>
        <v>bon</v>
      </c>
      <c r="AN654" s="10" t="s">
        <v>2838</v>
      </c>
      <c r="AO654" s="10" t="str">
        <f t="shared" si="142"/>
        <v>Faible</v>
      </c>
    </row>
    <row r="655" spans="1:41">
      <c r="A655" t="s">
        <v>2025</v>
      </c>
      <c r="B655" s="2">
        <v>45759</v>
      </c>
      <c r="C655" t="s">
        <v>2026</v>
      </c>
      <c r="D655" t="s">
        <v>181</v>
      </c>
      <c r="E655" t="s">
        <v>277</v>
      </c>
      <c r="F655" t="s">
        <v>487</v>
      </c>
      <c r="G655">
        <v>4</v>
      </c>
      <c r="H655" s="4">
        <v>145</v>
      </c>
      <c r="I655" s="3">
        <v>0.02</v>
      </c>
      <c r="J655" t="s">
        <v>45</v>
      </c>
      <c r="K655" t="s">
        <v>46</v>
      </c>
      <c r="L655" t="s">
        <v>2027</v>
      </c>
      <c r="M655" t="s">
        <v>65</v>
      </c>
      <c r="N655" t="s">
        <v>80</v>
      </c>
      <c r="O655" t="s">
        <v>184</v>
      </c>
      <c r="P655" t="s">
        <v>103</v>
      </c>
      <c r="Q655" t="s">
        <v>52</v>
      </c>
      <c r="R655" t="s">
        <v>279</v>
      </c>
      <c r="S655" t="s">
        <v>54</v>
      </c>
      <c r="T655" t="s">
        <v>489</v>
      </c>
      <c r="U655" s="5">
        <v>30</v>
      </c>
      <c r="V655" s="5" t="s">
        <v>56</v>
      </c>
      <c r="W655" s="5">
        <v>41</v>
      </c>
      <c r="X655" s="5">
        <v>7.3</v>
      </c>
      <c r="Y655" s="5">
        <v>4</v>
      </c>
      <c r="Z655" s="5" t="s">
        <v>57</v>
      </c>
      <c r="AA655" s="6">
        <v>97.15</v>
      </c>
      <c r="AB655" s="8">
        <f t="shared" si="130"/>
        <v>580</v>
      </c>
      <c r="AC655" s="8">
        <f t="shared" si="131"/>
        <v>11.6</v>
      </c>
      <c r="AD655" s="8">
        <f t="shared" si="132"/>
        <v>568.4</v>
      </c>
      <c r="AE655" s="8">
        <f t="shared" si="133"/>
        <v>388.6</v>
      </c>
      <c r="AF655" s="8">
        <f t="shared" si="134"/>
        <v>179.79999999999995</v>
      </c>
      <c r="AG655" s="9">
        <f t="shared" si="135"/>
        <v>0.31632653061224481</v>
      </c>
      <c r="AH655" s="10">
        <f t="shared" si="136"/>
        <v>2025</v>
      </c>
      <c r="AI655" s="10">
        <f t="shared" si="137"/>
        <v>4</v>
      </c>
      <c r="AJ655" s="10" t="str">
        <f t="shared" si="138"/>
        <v>2025-04</v>
      </c>
      <c r="AK655" s="10" t="str">
        <f t="shared" si="139"/>
        <v>T2</v>
      </c>
      <c r="AL655" s="10" t="str">
        <f t="shared" si="140"/>
        <v>30-39</v>
      </c>
      <c r="AM655" s="10" t="str">
        <f t="shared" si="141"/>
        <v>bon</v>
      </c>
      <c r="AN655" s="10" t="s">
        <v>2839</v>
      </c>
      <c r="AO655" s="10" t="str">
        <f t="shared" si="142"/>
        <v>Moyenne</v>
      </c>
    </row>
    <row r="656" spans="1:41">
      <c r="A656" t="s">
        <v>2028</v>
      </c>
      <c r="B656" s="2">
        <v>45661</v>
      </c>
      <c r="C656" t="s">
        <v>1414</v>
      </c>
      <c r="D656" t="s">
        <v>155</v>
      </c>
      <c r="E656" t="s">
        <v>75</v>
      </c>
      <c r="F656" t="s">
        <v>458</v>
      </c>
      <c r="G656">
        <v>1</v>
      </c>
      <c r="H656" s="4">
        <v>48</v>
      </c>
      <c r="I656" s="3">
        <v>0</v>
      </c>
      <c r="J656" t="s">
        <v>77</v>
      </c>
      <c r="K656" t="s">
        <v>46</v>
      </c>
      <c r="L656" t="s">
        <v>1415</v>
      </c>
      <c r="M656" t="s">
        <v>54</v>
      </c>
      <c r="N656" t="s">
        <v>80</v>
      </c>
      <c r="O656" t="s">
        <v>158</v>
      </c>
      <c r="P656" t="s">
        <v>51</v>
      </c>
      <c r="Q656" t="s">
        <v>143</v>
      </c>
      <c r="R656" t="s">
        <v>83</v>
      </c>
      <c r="S656" t="s">
        <v>69</v>
      </c>
      <c r="T656" t="s">
        <v>460</v>
      </c>
      <c r="U656" s="5">
        <v>41</v>
      </c>
      <c r="V656" s="5" t="s">
        <v>56</v>
      </c>
      <c r="W656" s="5">
        <v>50</v>
      </c>
      <c r="X656" s="5">
        <v>2.9</v>
      </c>
      <c r="Y656" s="5">
        <v>9</v>
      </c>
      <c r="Z656" s="5" t="s">
        <v>117</v>
      </c>
      <c r="AA656" s="6">
        <v>37.44</v>
      </c>
      <c r="AB656" s="8">
        <f t="shared" si="130"/>
        <v>48</v>
      </c>
      <c r="AC656" s="8">
        <f t="shared" si="131"/>
        <v>0</v>
      </c>
      <c r="AD656" s="8">
        <f t="shared" si="132"/>
        <v>48</v>
      </c>
      <c r="AE656" s="8">
        <f t="shared" si="133"/>
        <v>37.44</v>
      </c>
      <c r="AF656" s="8">
        <f t="shared" si="134"/>
        <v>10.560000000000002</v>
      </c>
      <c r="AG656" s="9">
        <f t="shared" si="135"/>
        <v>0.22000000000000006</v>
      </c>
      <c r="AH656" s="10">
        <f t="shared" si="136"/>
        <v>2025</v>
      </c>
      <c r="AI656" s="10">
        <f t="shared" si="137"/>
        <v>1</v>
      </c>
      <c r="AJ656" s="10" t="str">
        <f t="shared" si="138"/>
        <v>2025-01</v>
      </c>
      <c r="AK656" s="10" t="str">
        <f t="shared" si="139"/>
        <v>T1</v>
      </c>
      <c r="AL656" s="10" t="str">
        <f t="shared" si="140"/>
        <v>40-49</v>
      </c>
      <c r="AM656" s="10" t="str">
        <f t="shared" si="141"/>
        <v>faible</v>
      </c>
      <c r="AN656" s="10" t="s">
        <v>2837</v>
      </c>
      <c r="AO656" s="10" t="str">
        <f t="shared" si="142"/>
        <v>Faible</v>
      </c>
    </row>
    <row r="657" spans="1:41">
      <c r="A657" t="s">
        <v>2029</v>
      </c>
      <c r="B657" s="2">
        <v>45753</v>
      </c>
      <c r="C657" t="s">
        <v>2030</v>
      </c>
      <c r="D657" t="s">
        <v>97</v>
      </c>
      <c r="E657" t="s">
        <v>214</v>
      </c>
      <c r="F657" t="s">
        <v>202</v>
      </c>
      <c r="G657">
        <v>5</v>
      </c>
      <c r="H657" s="4">
        <v>520</v>
      </c>
      <c r="I657" s="3">
        <v>0.1</v>
      </c>
      <c r="J657" t="s">
        <v>45</v>
      </c>
      <c r="K657" t="s">
        <v>46</v>
      </c>
      <c r="L657" t="s">
        <v>2031</v>
      </c>
      <c r="M657" t="s">
        <v>54</v>
      </c>
      <c r="N657" t="s">
        <v>49</v>
      </c>
      <c r="O657" t="s">
        <v>102</v>
      </c>
      <c r="P657" t="s">
        <v>103</v>
      </c>
      <c r="Q657" t="s">
        <v>52</v>
      </c>
      <c r="R657" t="s">
        <v>216</v>
      </c>
      <c r="S657" t="s">
        <v>65</v>
      </c>
      <c r="T657" t="s">
        <v>204</v>
      </c>
      <c r="U657" s="5">
        <v>49</v>
      </c>
      <c r="V657" s="5" t="s">
        <v>85</v>
      </c>
      <c r="W657" s="5">
        <v>54</v>
      </c>
      <c r="X657" s="5">
        <v>6.9</v>
      </c>
      <c r="Y657" s="5">
        <v>4</v>
      </c>
      <c r="Z657" s="5" t="s">
        <v>94</v>
      </c>
      <c r="AA657" s="6">
        <v>348.4</v>
      </c>
      <c r="AB657" s="8">
        <f t="shared" si="130"/>
        <v>2600</v>
      </c>
      <c r="AC657" s="8">
        <f t="shared" si="131"/>
        <v>260</v>
      </c>
      <c r="AD657" s="8">
        <f t="shared" si="132"/>
        <v>2340</v>
      </c>
      <c r="AE657" s="8">
        <f t="shared" si="133"/>
        <v>1742</v>
      </c>
      <c r="AF657" s="8">
        <f t="shared" si="134"/>
        <v>598</v>
      </c>
      <c r="AG657" s="9">
        <f t="shared" si="135"/>
        <v>0.25555555555555554</v>
      </c>
      <c r="AH657" s="10">
        <f t="shared" si="136"/>
        <v>2025</v>
      </c>
      <c r="AI657" s="10">
        <f t="shared" si="137"/>
        <v>4</v>
      </c>
      <c r="AJ657" s="10" t="str">
        <f t="shared" si="138"/>
        <v>2025-04</v>
      </c>
      <c r="AK657" s="10" t="str">
        <f t="shared" si="139"/>
        <v>T2</v>
      </c>
      <c r="AL657" s="10" t="str">
        <f t="shared" si="140"/>
        <v>40-49</v>
      </c>
      <c r="AM657" s="10" t="str">
        <f t="shared" si="141"/>
        <v>moyen</v>
      </c>
      <c r="AN657" s="10" t="s">
        <v>2839</v>
      </c>
      <c r="AO657" s="10" t="str">
        <f t="shared" si="142"/>
        <v>Elevée</v>
      </c>
    </row>
    <row r="658" spans="1:41">
      <c r="A658" t="s">
        <v>2032</v>
      </c>
      <c r="B658" s="2">
        <v>45804</v>
      </c>
      <c r="C658" t="s">
        <v>575</v>
      </c>
      <c r="D658" t="s">
        <v>333</v>
      </c>
      <c r="E658" t="s">
        <v>207</v>
      </c>
      <c r="F658" t="s">
        <v>243</v>
      </c>
      <c r="G658">
        <v>1</v>
      </c>
      <c r="H658" s="4">
        <v>65</v>
      </c>
      <c r="I658" s="3">
        <v>0</v>
      </c>
      <c r="J658" t="s">
        <v>77</v>
      </c>
      <c r="K658" t="s">
        <v>46</v>
      </c>
      <c r="L658" t="s">
        <v>576</v>
      </c>
      <c r="M658" t="s">
        <v>79</v>
      </c>
      <c r="N658" t="s">
        <v>101</v>
      </c>
      <c r="O658" t="s">
        <v>336</v>
      </c>
      <c r="P658" t="s">
        <v>51</v>
      </c>
      <c r="Q658" t="s">
        <v>52</v>
      </c>
      <c r="R658" t="s">
        <v>210</v>
      </c>
      <c r="S658" t="s">
        <v>79</v>
      </c>
      <c r="T658" t="s">
        <v>245</v>
      </c>
      <c r="U658" s="5">
        <v>55</v>
      </c>
      <c r="V658" s="5" t="s">
        <v>56</v>
      </c>
      <c r="W658" s="5">
        <v>52</v>
      </c>
      <c r="X658" s="5">
        <v>4.8</v>
      </c>
      <c r="Y658" s="5">
        <v>8</v>
      </c>
      <c r="Z658" s="5" t="s">
        <v>117</v>
      </c>
      <c r="AA658" s="6">
        <v>47.45</v>
      </c>
      <c r="AB658" s="8">
        <f t="shared" si="130"/>
        <v>65</v>
      </c>
      <c r="AC658" s="8">
        <f t="shared" si="131"/>
        <v>0</v>
      </c>
      <c r="AD658" s="8">
        <f t="shared" si="132"/>
        <v>65</v>
      </c>
      <c r="AE658" s="8">
        <f t="shared" si="133"/>
        <v>47.45</v>
      </c>
      <c r="AF658" s="8">
        <f t="shared" si="134"/>
        <v>17.549999999999997</v>
      </c>
      <c r="AG658" s="9">
        <f t="shared" si="135"/>
        <v>0.26999999999999996</v>
      </c>
      <c r="AH658" s="10">
        <f t="shared" si="136"/>
        <v>2025</v>
      </c>
      <c r="AI658" s="10">
        <f t="shared" si="137"/>
        <v>5</v>
      </c>
      <c r="AJ658" s="10" t="str">
        <f t="shared" si="138"/>
        <v>2025-05</v>
      </c>
      <c r="AK658" s="10" t="str">
        <f t="shared" si="139"/>
        <v>T2</v>
      </c>
      <c r="AL658" s="10" t="str">
        <f t="shared" si="140"/>
        <v>50+</v>
      </c>
      <c r="AM658" s="10" t="str">
        <f t="shared" si="141"/>
        <v>faible</v>
      </c>
      <c r="AN658" s="10" t="s">
        <v>2837</v>
      </c>
      <c r="AO658" s="10" t="str">
        <f t="shared" si="142"/>
        <v>Faible</v>
      </c>
    </row>
    <row r="659" spans="1:41">
      <c r="A659" t="s">
        <v>2033</v>
      </c>
      <c r="B659" s="2">
        <v>45740</v>
      </c>
      <c r="C659" t="s">
        <v>1772</v>
      </c>
      <c r="D659" t="s">
        <v>138</v>
      </c>
      <c r="E659" t="s">
        <v>109</v>
      </c>
      <c r="F659" t="s">
        <v>350</v>
      </c>
      <c r="G659">
        <v>1</v>
      </c>
      <c r="H659" s="4">
        <v>120</v>
      </c>
      <c r="I659" s="3">
        <v>0</v>
      </c>
      <c r="J659" t="s">
        <v>63</v>
      </c>
      <c r="K659" t="s">
        <v>46</v>
      </c>
      <c r="L659" t="s">
        <v>1773</v>
      </c>
      <c r="M659" t="s">
        <v>48</v>
      </c>
      <c r="N659" t="s">
        <v>49</v>
      </c>
      <c r="O659" t="s">
        <v>142</v>
      </c>
      <c r="P659" t="s">
        <v>51</v>
      </c>
      <c r="Q659" t="s">
        <v>143</v>
      </c>
      <c r="R659" t="s">
        <v>115</v>
      </c>
      <c r="S659" t="s">
        <v>65</v>
      </c>
      <c r="T659" t="s">
        <v>352</v>
      </c>
      <c r="U659" s="5">
        <v>24</v>
      </c>
      <c r="V659" s="5" t="s">
        <v>85</v>
      </c>
      <c r="W659" s="5">
        <v>23</v>
      </c>
      <c r="X659" s="5">
        <v>5.7</v>
      </c>
      <c r="Y659" s="5">
        <v>5</v>
      </c>
      <c r="Z659" s="5" t="s">
        <v>117</v>
      </c>
      <c r="AA659" s="6">
        <v>73.2</v>
      </c>
      <c r="AB659" s="8">
        <f t="shared" si="130"/>
        <v>120</v>
      </c>
      <c r="AC659" s="8">
        <f t="shared" si="131"/>
        <v>0</v>
      </c>
      <c r="AD659" s="8">
        <f t="shared" si="132"/>
        <v>120</v>
      </c>
      <c r="AE659" s="8">
        <f t="shared" si="133"/>
        <v>73.2</v>
      </c>
      <c r="AF659" s="8">
        <f t="shared" si="134"/>
        <v>46.8</v>
      </c>
      <c r="AG659" s="9">
        <f t="shared" si="135"/>
        <v>0.38999999999999996</v>
      </c>
      <c r="AH659" s="10">
        <f t="shared" si="136"/>
        <v>2025</v>
      </c>
      <c r="AI659" s="10">
        <f t="shared" si="137"/>
        <v>3</v>
      </c>
      <c r="AJ659" s="10" t="str">
        <f t="shared" si="138"/>
        <v>2025-03</v>
      </c>
      <c r="AK659" s="10" t="str">
        <f t="shared" si="139"/>
        <v>T1</v>
      </c>
      <c r="AL659" s="10" t="str">
        <f t="shared" si="140"/>
        <v>22-29</v>
      </c>
      <c r="AM659" s="10" t="str">
        <f t="shared" si="141"/>
        <v>moyen</v>
      </c>
      <c r="AN659" s="10" t="s">
        <v>2839</v>
      </c>
      <c r="AO659" s="10" t="str">
        <f t="shared" si="142"/>
        <v>Faible</v>
      </c>
    </row>
    <row r="660" spans="1:41">
      <c r="A660" t="s">
        <v>2034</v>
      </c>
      <c r="B660" s="2">
        <v>45886</v>
      </c>
      <c r="C660" t="s">
        <v>2035</v>
      </c>
      <c r="D660" t="s">
        <v>333</v>
      </c>
      <c r="E660" t="s">
        <v>214</v>
      </c>
      <c r="F660" t="s">
        <v>140</v>
      </c>
      <c r="G660">
        <v>1</v>
      </c>
      <c r="H660" s="4">
        <v>65</v>
      </c>
      <c r="I660" s="3">
        <v>0.08</v>
      </c>
      <c r="J660" t="s">
        <v>90</v>
      </c>
      <c r="K660" t="s">
        <v>46</v>
      </c>
      <c r="L660" t="s">
        <v>2036</v>
      </c>
      <c r="M660" t="s">
        <v>79</v>
      </c>
      <c r="N660" t="s">
        <v>255</v>
      </c>
      <c r="O660" t="s">
        <v>336</v>
      </c>
      <c r="P660" t="s">
        <v>51</v>
      </c>
      <c r="Q660" t="s">
        <v>52</v>
      </c>
      <c r="R660" t="s">
        <v>216</v>
      </c>
      <c r="S660" t="s">
        <v>65</v>
      </c>
      <c r="T660" t="s">
        <v>145</v>
      </c>
      <c r="U660" s="5">
        <v>48</v>
      </c>
      <c r="V660" s="5" t="s">
        <v>85</v>
      </c>
      <c r="W660" s="5">
        <v>12</v>
      </c>
      <c r="X660" s="5">
        <v>7.2</v>
      </c>
      <c r="Y660" s="5">
        <v>2</v>
      </c>
      <c r="Z660" s="5" t="s">
        <v>94</v>
      </c>
      <c r="AA660" s="6">
        <v>47.45</v>
      </c>
      <c r="AB660" s="8">
        <f t="shared" si="130"/>
        <v>65</v>
      </c>
      <c r="AC660" s="8">
        <f t="shared" si="131"/>
        <v>5.2</v>
      </c>
      <c r="AD660" s="8">
        <f t="shared" si="132"/>
        <v>59.8</v>
      </c>
      <c r="AE660" s="8">
        <f t="shared" si="133"/>
        <v>47.45</v>
      </c>
      <c r="AF660" s="8">
        <f t="shared" si="134"/>
        <v>12.349999999999994</v>
      </c>
      <c r="AG660" s="9">
        <f t="shared" si="135"/>
        <v>0.2065217391304347</v>
      </c>
      <c r="AH660" s="10">
        <f t="shared" si="136"/>
        <v>2025</v>
      </c>
      <c r="AI660" s="10">
        <f t="shared" si="137"/>
        <v>8</v>
      </c>
      <c r="AJ660" s="10" t="str">
        <f t="shared" si="138"/>
        <v>2025-08</v>
      </c>
      <c r="AK660" s="10" t="str">
        <f t="shared" si="139"/>
        <v>T3</v>
      </c>
      <c r="AL660" s="10" t="str">
        <f t="shared" si="140"/>
        <v>40-49</v>
      </c>
      <c r="AM660" s="10" t="str">
        <f t="shared" si="141"/>
        <v>bon</v>
      </c>
      <c r="AN660" s="10" t="s">
        <v>2838</v>
      </c>
      <c r="AO660" s="10" t="str">
        <f t="shared" si="142"/>
        <v>Faible</v>
      </c>
    </row>
    <row r="661" spans="1:41">
      <c r="A661" t="s">
        <v>2037</v>
      </c>
      <c r="B661" s="2">
        <v>45821</v>
      </c>
      <c r="C661" t="s">
        <v>734</v>
      </c>
      <c r="D661" t="s">
        <v>174</v>
      </c>
      <c r="E661" t="s">
        <v>109</v>
      </c>
      <c r="F661" t="s">
        <v>99</v>
      </c>
      <c r="G661">
        <v>2</v>
      </c>
      <c r="H661" s="4">
        <v>780</v>
      </c>
      <c r="I661" s="3">
        <v>0.08</v>
      </c>
      <c r="J661" t="s">
        <v>63</v>
      </c>
      <c r="K661" t="s">
        <v>46</v>
      </c>
      <c r="L661" t="s">
        <v>735</v>
      </c>
      <c r="M661" t="s">
        <v>123</v>
      </c>
      <c r="N661" t="s">
        <v>80</v>
      </c>
      <c r="O661" t="s">
        <v>177</v>
      </c>
      <c r="P661" t="s">
        <v>103</v>
      </c>
      <c r="Q661" t="s">
        <v>114</v>
      </c>
      <c r="R661" t="s">
        <v>115</v>
      </c>
      <c r="S661" t="s">
        <v>65</v>
      </c>
      <c r="T661" t="s">
        <v>105</v>
      </c>
      <c r="U661" s="5">
        <v>53</v>
      </c>
      <c r="V661" s="5" t="s">
        <v>85</v>
      </c>
      <c r="W661" s="5">
        <v>30</v>
      </c>
      <c r="X661" s="5">
        <v>8.6999999999999993</v>
      </c>
      <c r="Y661" s="5">
        <v>2</v>
      </c>
      <c r="Z661" s="5" t="s">
        <v>117</v>
      </c>
      <c r="AA661" s="6">
        <v>468</v>
      </c>
      <c r="AB661" s="8">
        <f t="shared" si="130"/>
        <v>1560</v>
      </c>
      <c r="AC661" s="8">
        <f t="shared" si="131"/>
        <v>124.8</v>
      </c>
      <c r="AD661" s="8">
        <f t="shared" si="132"/>
        <v>1435.2</v>
      </c>
      <c r="AE661" s="8">
        <f t="shared" si="133"/>
        <v>936</v>
      </c>
      <c r="AF661" s="8">
        <f t="shared" si="134"/>
        <v>499.20000000000005</v>
      </c>
      <c r="AG661" s="9">
        <f t="shared" si="135"/>
        <v>0.34782608695652178</v>
      </c>
      <c r="AH661" s="10">
        <f t="shared" si="136"/>
        <v>2025</v>
      </c>
      <c r="AI661" s="10">
        <f t="shared" si="137"/>
        <v>6</v>
      </c>
      <c r="AJ661" s="10" t="str">
        <f t="shared" si="138"/>
        <v>2025-06</v>
      </c>
      <c r="AK661" s="10" t="str">
        <f t="shared" si="139"/>
        <v>T2</v>
      </c>
      <c r="AL661" s="10" t="str">
        <f t="shared" si="140"/>
        <v>50+</v>
      </c>
      <c r="AM661" s="10" t="str">
        <f t="shared" si="141"/>
        <v>bon</v>
      </c>
      <c r="AN661" s="10" t="s">
        <v>2838</v>
      </c>
      <c r="AO661" s="10" t="str">
        <f t="shared" si="142"/>
        <v>Elevée</v>
      </c>
    </row>
    <row r="662" spans="1:41">
      <c r="A662" t="s">
        <v>2038</v>
      </c>
      <c r="B662" s="2">
        <v>45755</v>
      </c>
      <c r="C662" t="s">
        <v>491</v>
      </c>
      <c r="D662" t="s">
        <v>272</v>
      </c>
      <c r="E662" t="s">
        <v>189</v>
      </c>
      <c r="F662" t="s">
        <v>374</v>
      </c>
      <c r="G662">
        <v>1</v>
      </c>
      <c r="H662" s="4">
        <v>420</v>
      </c>
      <c r="I662" s="3">
        <v>0</v>
      </c>
      <c r="J662" t="s">
        <v>90</v>
      </c>
      <c r="K662" t="s">
        <v>46</v>
      </c>
      <c r="L662" t="s">
        <v>492</v>
      </c>
      <c r="M662" t="s">
        <v>123</v>
      </c>
      <c r="N662" t="s">
        <v>80</v>
      </c>
      <c r="O662" t="s">
        <v>274</v>
      </c>
      <c r="P662" t="s">
        <v>133</v>
      </c>
      <c r="Q662" t="s">
        <v>114</v>
      </c>
      <c r="R662" t="s">
        <v>193</v>
      </c>
      <c r="S662" t="s">
        <v>79</v>
      </c>
      <c r="T662" t="s">
        <v>376</v>
      </c>
      <c r="U662" s="5">
        <v>26</v>
      </c>
      <c r="V662" s="5" t="s">
        <v>56</v>
      </c>
      <c r="W662" s="5">
        <v>50</v>
      </c>
      <c r="X662" s="5">
        <v>4.5</v>
      </c>
      <c r="Y662" s="5">
        <v>7</v>
      </c>
      <c r="Z662" s="5" t="s">
        <v>57</v>
      </c>
      <c r="AA662" s="6">
        <v>273</v>
      </c>
      <c r="AB662" s="8">
        <f t="shared" si="130"/>
        <v>420</v>
      </c>
      <c r="AC662" s="8">
        <f t="shared" si="131"/>
        <v>0</v>
      </c>
      <c r="AD662" s="8">
        <f t="shared" si="132"/>
        <v>420</v>
      </c>
      <c r="AE662" s="8">
        <f t="shared" si="133"/>
        <v>273</v>
      </c>
      <c r="AF662" s="8">
        <f t="shared" si="134"/>
        <v>147</v>
      </c>
      <c r="AG662" s="9">
        <f t="shared" si="135"/>
        <v>0.35</v>
      </c>
      <c r="AH662" s="10">
        <f t="shared" si="136"/>
        <v>2025</v>
      </c>
      <c r="AI662" s="10">
        <f t="shared" si="137"/>
        <v>4</v>
      </c>
      <c r="AJ662" s="10" t="str">
        <f t="shared" si="138"/>
        <v>2025-04</v>
      </c>
      <c r="AK662" s="10" t="str">
        <f t="shared" si="139"/>
        <v>T2</v>
      </c>
      <c r="AL662" s="10" t="str">
        <f t="shared" si="140"/>
        <v>22-29</v>
      </c>
      <c r="AM662" s="10" t="str">
        <f t="shared" si="141"/>
        <v>faible</v>
      </c>
      <c r="AN662" s="10" t="s">
        <v>2837</v>
      </c>
      <c r="AO662" s="10" t="str">
        <f t="shared" si="142"/>
        <v>Faible</v>
      </c>
    </row>
    <row r="663" spans="1:41">
      <c r="A663" t="s">
        <v>2039</v>
      </c>
      <c r="B663" s="2">
        <v>45864</v>
      </c>
      <c r="C663" t="s">
        <v>1354</v>
      </c>
      <c r="D663" t="s">
        <v>155</v>
      </c>
      <c r="E663" t="s">
        <v>139</v>
      </c>
      <c r="F663" t="s">
        <v>361</v>
      </c>
      <c r="G663">
        <v>2</v>
      </c>
      <c r="H663" s="4">
        <v>48</v>
      </c>
      <c r="I663" s="3">
        <v>0.02</v>
      </c>
      <c r="J663" t="s">
        <v>63</v>
      </c>
      <c r="K663" t="s">
        <v>46</v>
      </c>
      <c r="L663" t="s">
        <v>1355</v>
      </c>
      <c r="M663" t="s">
        <v>123</v>
      </c>
      <c r="N663" t="s">
        <v>255</v>
      </c>
      <c r="O663" t="s">
        <v>158</v>
      </c>
      <c r="P663" t="s">
        <v>51</v>
      </c>
      <c r="Q663" t="s">
        <v>143</v>
      </c>
      <c r="R663" t="s">
        <v>144</v>
      </c>
      <c r="S663" t="s">
        <v>65</v>
      </c>
      <c r="T663" t="s">
        <v>363</v>
      </c>
      <c r="U663" s="5">
        <v>51</v>
      </c>
      <c r="V663" s="5" t="s">
        <v>85</v>
      </c>
      <c r="W663" s="5">
        <v>16</v>
      </c>
      <c r="X663" s="5">
        <v>6.2</v>
      </c>
      <c r="Y663" s="5">
        <v>4</v>
      </c>
      <c r="Z663" s="5" t="s">
        <v>57</v>
      </c>
      <c r="AA663" s="6">
        <v>37.44</v>
      </c>
      <c r="AB663" s="8">
        <f t="shared" si="130"/>
        <v>96</v>
      </c>
      <c r="AC663" s="8">
        <f t="shared" si="131"/>
        <v>1.92</v>
      </c>
      <c r="AD663" s="8">
        <f t="shared" si="132"/>
        <v>94.08</v>
      </c>
      <c r="AE663" s="8">
        <f t="shared" si="133"/>
        <v>74.88</v>
      </c>
      <c r="AF663" s="8">
        <f t="shared" si="134"/>
        <v>19.200000000000003</v>
      </c>
      <c r="AG663" s="9">
        <f t="shared" si="135"/>
        <v>0.20408163265306126</v>
      </c>
      <c r="AH663" s="10">
        <f t="shared" si="136"/>
        <v>2025</v>
      </c>
      <c r="AI663" s="10">
        <f t="shared" si="137"/>
        <v>7</v>
      </c>
      <c r="AJ663" s="10" t="str">
        <f t="shared" si="138"/>
        <v>2025-07</v>
      </c>
      <c r="AK663" s="10" t="str">
        <f t="shared" si="139"/>
        <v>T3</v>
      </c>
      <c r="AL663" s="10" t="str">
        <f t="shared" si="140"/>
        <v>50+</v>
      </c>
      <c r="AM663" s="10" t="str">
        <f t="shared" si="141"/>
        <v>moyen</v>
      </c>
      <c r="AN663" s="10" t="s">
        <v>2839</v>
      </c>
      <c r="AO663" s="10" t="str">
        <f t="shared" si="142"/>
        <v>Faible</v>
      </c>
    </row>
    <row r="664" spans="1:41">
      <c r="A664" t="s">
        <v>2040</v>
      </c>
      <c r="B664" s="2">
        <v>45729</v>
      </c>
      <c r="C664" t="s">
        <v>993</v>
      </c>
      <c r="D664" t="s">
        <v>333</v>
      </c>
      <c r="E664" t="s">
        <v>120</v>
      </c>
      <c r="F664" t="s">
        <v>548</v>
      </c>
      <c r="G664">
        <v>4</v>
      </c>
      <c r="H664" s="4">
        <v>65</v>
      </c>
      <c r="I664" s="3">
        <v>0.02</v>
      </c>
      <c r="J664" t="s">
        <v>45</v>
      </c>
      <c r="K664" t="s">
        <v>46</v>
      </c>
      <c r="L664" t="s">
        <v>994</v>
      </c>
      <c r="M664" t="s">
        <v>123</v>
      </c>
      <c r="N664" t="s">
        <v>80</v>
      </c>
      <c r="O664" t="s">
        <v>336</v>
      </c>
      <c r="P664" t="s">
        <v>51</v>
      </c>
      <c r="Q664" t="s">
        <v>52</v>
      </c>
      <c r="R664" t="s">
        <v>124</v>
      </c>
      <c r="S664" t="s">
        <v>48</v>
      </c>
      <c r="T664" t="s">
        <v>550</v>
      </c>
      <c r="U664" s="5">
        <v>46</v>
      </c>
      <c r="V664" s="5" t="s">
        <v>56</v>
      </c>
      <c r="W664" s="5">
        <v>22</v>
      </c>
      <c r="X664" s="5">
        <v>7.9</v>
      </c>
      <c r="Y664" s="5">
        <v>3</v>
      </c>
      <c r="Z664" s="5" t="s">
        <v>94</v>
      </c>
      <c r="AA664" s="6">
        <v>47.45</v>
      </c>
      <c r="AB664" s="8">
        <f t="shared" si="130"/>
        <v>260</v>
      </c>
      <c r="AC664" s="8">
        <f t="shared" si="131"/>
        <v>5.2</v>
      </c>
      <c r="AD664" s="8">
        <f t="shared" si="132"/>
        <v>254.8</v>
      </c>
      <c r="AE664" s="8">
        <f t="shared" si="133"/>
        <v>189.8</v>
      </c>
      <c r="AF664" s="8">
        <f t="shared" si="134"/>
        <v>65</v>
      </c>
      <c r="AG664" s="9">
        <f t="shared" si="135"/>
        <v>0.25510204081632654</v>
      </c>
      <c r="AH664" s="10">
        <f t="shared" si="136"/>
        <v>2025</v>
      </c>
      <c r="AI664" s="10">
        <f t="shared" si="137"/>
        <v>3</v>
      </c>
      <c r="AJ664" s="10" t="str">
        <f t="shared" si="138"/>
        <v>2025-03</v>
      </c>
      <c r="AK664" s="10" t="str">
        <f t="shared" si="139"/>
        <v>T1</v>
      </c>
      <c r="AL664" s="10" t="str">
        <f t="shared" si="140"/>
        <v>40-49</v>
      </c>
      <c r="AM664" s="10" t="str">
        <f t="shared" si="141"/>
        <v>bon</v>
      </c>
      <c r="AN664" s="10" t="s">
        <v>2838</v>
      </c>
      <c r="AO664" s="10" t="str">
        <f t="shared" si="142"/>
        <v>Faible</v>
      </c>
    </row>
    <row r="665" spans="1:41">
      <c r="A665" t="s">
        <v>2041</v>
      </c>
      <c r="B665" s="2">
        <v>45961</v>
      </c>
      <c r="C665" t="s">
        <v>2042</v>
      </c>
      <c r="D665" t="s">
        <v>333</v>
      </c>
      <c r="E665" t="s">
        <v>75</v>
      </c>
      <c r="F665" t="s">
        <v>813</v>
      </c>
      <c r="G665">
        <v>10</v>
      </c>
      <c r="H665" s="4">
        <v>65</v>
      </c>
      <c r="I665" s="3">
        <v>0</v>
      </c>
      <c r="J665" t="s">
        <v>90</v>
      </c>
      <c r="K665" t="s">
        <v>46</v>
      </c>
      <c r="L665" t="s">
        <v>2043</v>
      </c>
      <c r="M665" t="s">
        <v>123</v>
      </c>
      <c r="N665" t="s">
        <v>255</v>
      </c>
      <c r="O665" t="s">
        <v>336</v>
      </c>
      <c r="P665" t="s">
        <v>51</v>
      </c>
      <c r="Q665" t="s">
        <v>52</v>
      </c>
      <c r="R665" t="s">
        <v>83</v>
      </c>
      <c r="S665" t="s">
        <v>69</v>
      </c>
      <c r="T665" t="s">
        <v>815</v>
      </c>
      <c r="U665" s="5">
        <v>32</v>
      </c>
      <c r="V665" s="5" t="s">
        <v>85</v>
      </c>
      <c r="W665" s="5">
        <v>16</v>
      </c>
      <c r="X665" s="5">
        <v>5.4</v>
      </c>
      <c r="Y665" s="5">
        <v>5</v>
      </c>
      <c r="Z665" s="5" t="s">
        <v>57</v>
      </c>
      <c r="AA665" s="6">
        <v>47.45</v>
      </c>
      <c r="AB665" s="8">
        <f t="shared" si="130"/>
        <v>650</v>
      </c>
      <c r="AC665" s="8">
        <f t="shared" si="131"/>
        <v>0</v>
      </c>
      <c r="AD665" s="8">
        <f t="shared" si="132"/>
        <v>650</v>
      </c>
      <c r="AE665" s="8">
        <f t="shared" si="133"/>
        <v>474.5</v>
      </c>
      <c r="AF665" s="8">
        <f t="shared" si="134"/>
        <v>175.5</v>
      </c>
      <c r="AG665" s="9">
        <f t="shared" si="135"/>
        <v>0.27</v>
      </c>
      <c r="AH665" s="10">
        <f t="shared" si="136"/>
        <v>2025</v>
      </c>
      <c r="AI665" s="10">
        <f t="shared" si="137"/>
        <v>10</v>
      </c>
      <c r="AJ665" s="10" t="str">
        <f t="shared" si="138"/>
        <v>2025-10</v>
      </c>
      <c r="AK665" s="10" t="str">
        <f t="shared" si="139"/>
        <v>T4</v>
      </c>
      <c r="AL665" s="10" t="str">
        <f t="shared" si="140"/>
        <v>30-39</v>
      </c>
      <c r="AM665" s="10" t="str">
        <f t="shared" si="141"/>
        <v>moyen</v>
      </c>
      <c r="AN665" s="10" t="s">
        <v>2839</v>
      </c>
      <c r="AO665" s="10" t="str">
        <f t="shared" si="142"/>
        <v>Moyenne</v>
      </c>
    </row>
    <row r="666" spans="1:41">
      <c r="A666" t="s">
        <v>2044</v>
      </c>
      <c r="B666" s="2">
        <v>45759</v>
      </c>
      <c r="C666" t="s">
        <v>1495</v>
      </c>
      <c r="D666" t="s">
        <v>42</v>
      </c>
      <c r="E666" t="s">
        <v>109</v>
      </c>
      <c r="F666" t="s">
        <v>238</v>
      </c>
      <c r="G666">
        <v>1</v>
      </c>
      <c r="H666" s="4">
        <v>260</v>
      </c>
      <c r="I666" s="3">
        <v>0.02</v>
      </c>
      <c r="J666" t="s">
        <v>45</v>
      </c>
      <c r="K666" t="s">
        <v>46</v>
      </c>
      <c r="L666" t="s">
        <v>1496</v>
      </c>
      <c r="M666" t="s">
        <v>65</v>
      </c>
      <c r="N666" t="s">
        <v>80</v>
      </c>
      <c r="O666" t="s">
        <v>50</v>
      </c>
      <c r="P666" t="s">
        <v>51</v>
      </c>
      <c r="Q666" t="s">
        <v>52</v>
      </c>
      <c r="R666" t="s">
        <v>115</v>
      </c>
      <c r="S666" t="s">
        <v>65</v>
      </c>
      <c r="T666" t="s">
        <v>240</v>
      </c>
      <c r="U666" s="5">
        <v>49</v>
      </c>
      <c r="V666" s="5" t="s">
        <v>56</v>
      </c>
      <c r="W666" s="5">
        <v>66</v>
      </c>
      <c r="X666" s="5">
        <v>4.3</v>
      </c>
      <c r="Y666" s="5">
        <v>9</v>
      </c>
      <c r="Z666" s="5" t="s">
        <v>117</v>
      </c>
      <c r="AA666" s="6">
        <v>189.8</v>
      </c>
      <c r="AB666" s="8">
        <f t="shared" si="130"/>
        <v>260</v>
      </c>
      <c r="AC666" s="8">
        <f t="shared" si="131"/>
        <v>5.2</v>
      </c>
      <c r="AD666" s="8">
        <f t="shared" si="132"/>
        <v>254.8</v>
      </c>
      <c r="AE666" s="8">
        <f t="shared" si="133"/>
        <v>189.8</v>
      </c>
      <c r="AF666" s="8">
        <f t="shared" si="134"/>
        <v>65</v>
      </c>
      <c r="AG666" s="9">
        <f t="shared" si="135"/>
        <v>0.25510204081632654</v>
      </c>
      <c r="AH666" s="10">
        <f t="shared" si="136"/>
        <v>2025</v>
      </c>
      <c r="AI666" s="10">
        <f t="shared" si="137"/>
        <v>4</v>
      </c>
      <c r="AJ666" s="10" t="str">
        <f t="shared" si="138"/>
        <v>2025-04</v>
      </c>
      <c r="AK666" s="10" t="str">
        <f t="shared" si="139"/>
        <v>T2</v>
      </c>
      <c r="AL666" s="10" t="str">
        <f t="shared" si="140"/>
        <v>40-49</v>
      </c>
      <c r="AM666" s="10" t="str">
        <f t="shared" si="141"/>
        <v>faible</v>
      </c>
      <c r="AN666" s="10" t="s">
        <v>2837</v>
      </c>
      <c r="AO666" s="10" t="str">
        <f t="shared" si="142"/>
        <v>Faible</v>
      </c>
    </row>
    <row r="667" spans="1:41">
      <c r="A667" t="s">
        <v>2045</v>
      </c>
      <c r="B667" s="2">
        <v>45712</v>
      </c>
      <c r="C667" t="s">
        <v>2046</v>
      </c>
      <c r="D667" t="s">
        <v>272</v>
      </c>
      <c r="E667" t="s">
        <v>219</v>
      </c>
      <c r="F667" t="s">
        <v>328</v>
      </c>
      <c r="G667">
        <v>1</v>
      </c>
      <c r="H667" s="4">
        <v>420</v>
      </c>
      <c r="I667" s="3">
        <v>0</v>
      </c>
      <c r="J667" t="s">
        <v>63</v>
      </c>
      <c r="K667" t="s">
        <v>46</v>
      </c>
      <c r="L667" t="s">
        <v>2047</v>
      </c>
      <c r="M667" t="s">
        <v>54</v>
      </c>
      <c r="N667" t="s">
        <v>255</v>
      </c>
      <c r="O667" t="s">
        <v>274</v>
      </c>
      <c r="P667" t="s">
        <v>133</v>
      </c>
      <c r="Q667" t="s">
        <v>114</v>
      </c>
      <c r="R667" t="s">
        <v>222</v>
      </c>
      <c r="S667" t="s">
        <v>123</v>
      </c>
      <c r="T667" t="s">
        <v>330</v>
      </c>
      <c r="U667" s="5">
        <v>47</v>
      </c>
      <c r="V667" s="5" t="s">
        <v>85</v>
      </c>
      <c r="W667" s="5">
        <v>60</v>
      </c>
      <c r="X667" s="5">
        <v>7.9</v>
      </c>
      <c r="Y667" s="5">
        <v>1</v>
      </c>
      <c r="Z667" s="5" t="s">
        <v>57</v>
      </c>
      <c r="AA667" s="6">
        <v>273</v>
      </c>
      <c r="AB667" s="8">
        <f t="shared" si="130"/>
        <v>420</v>
      </c>
      <c r="AC667" s="8">
        <f t="shared" si="131"/>
        <v>0</v>
      </c>
      <c r="AD667" s="8">
        <f t="shared" si="132"/>
        <v>420</v>
      </c>
      <c r="AE667" s="8">
        <f t="shared" si="133"/>
        <v>273</v>
      </c>
      <c r="AF667" s="8">
        <f t="shared" si="134"/>
        <v>147</v>
      </c>
      <c r="AG667" s="9">
        <f t="shared" si="135"/>
        <v>0.35</v>
      </c>
      <c r="AH667" s="10">
        <f t="shared" si="136"/>
        <v>2025</v>
      </c>
      <c r="AI667" s="10">
        <f t="shared" si="137"/>
        <v>2</v>
      </c>
      <c r="AJ667" s="10" t="str">
        <f t="shared" si="138"/>
        <v>2025-02</v>
      </c>
      <c r="AK667" s="10" t="str">
        <f t="shared" si="139"/>
        <v>T1</v>
      </c>
      <c r="AL667" s="10" t="str">
        <f t="shared" si="140"/>
        <v>40-49</v>
      </c>
      <c r="AM667" s="10" t="str">
        <f t="shared" si="141"/>
        <v>bon</v>
      </c>
      <c r="AN667" s="10" t="s">
        <v>2838</v>
      </c>
      <c r="AO667" s="10" t="str">
        <f t="shared" si="142"/>
        <v>Faible</v>
      </c>
    </row>
    <row r="668" spans="1:41">
      <c r="A668" t="s">
        <v>2048</v>
      </c>
      <c r="B668" s="2">
        <v>45768</v>
      </c>
      <c r="C668" t="s">
        <v>2049</v>
      </c>
      <c r="D668" t="s">
        <v>162</v>
      </c>
      <c r="E668" t="s">
        <v>207</v>
      </c>
      <c r="F668" t="s">
        <v>164</v>
      </c>
      <c r="G668">
        <v>2</v>
      </c>
      <c r="H668" s="4">
        <v>35</v>
      </c>
      <c r="I668" s="3">
        <v>0</v>
      </c>
      <c r="J668" t="s">
        <v>77</v>
      </c>
      <c r="K668" t="s">
        <v>46</v>
      </c>
      <c r="L668" t="s">
        <v>2050</v>
      </c>
      <c r="M668" t="s">
        <v>48</v>
      </c>
      <c r="N668" t="s">
        <v>112</v>
      </c>
      <c r="O668" t="s">
        <v>166</v>
      </c>
      <c r="P668" t="s">
        <v>103</v>
      </c>
      <c r="Q668" t="s">
        <v>143</v>
      </c>
      <c r="R668" t="s">
        <v>210</v>
      </c>
      <c r="S668" t="s">
        <v>79</v>
      </c>
      <c r="T668" t="s">
        <v>168</v>
      </c>
      <c r="U668" s="5">
        <v>34</v>
      </c>
      <c r="V668" s="5" t="s">
        <v>85</v>
      </c>
      <c r="W668" s="5">
        <v>27</v>
      </c>
      <c r="X668" s="5">
        <v>5.3</v>
      </c>
      <c r="Y668" s="5">
        <v>6</v>
      </c>
      <c r="Z668" s="5" t="s">
        <v>57</v>
      </c>
      <c r="AA668" s="6">
        <v>24.15</v>
      </c>
      <c r="AB668" s="8">
        <f t="shared" si="130"/>
        <v>70</v>
      </c>
      <c r="AC668" s="8">
        <f t="shared" si="131"/>
        <v>0</v>
      </c>
      <c r="AD668" s="8">
        <f t="shared" si="132"/>
        <v>70</v>
      </c>
      <c r="AE668" s="8">
        <f t="shared" si="133"/>
        <v>48.3</v>
      </c>
      <c r="AF668" s="8">
        <f t="shared" si="134"/>
        <v>21.700000000000003</v>
      </c>
      <c r="AG668" s="9">
        <f t="shared" si="135"/>
        <v>0.31000000000000005</v>
      </c>
      <c r="AH668" s="10">
        <f t="shared" si="136"/>
        <v>2025</v>
      </c>
      <c r="AI668" s="10">
        <f t="shared" si="137"/>
        <v>4</v>
      </c>
      <c r="AJ668" s="10" t="str">
        <f t="shared" si="138"/>
        <v>2025-04</v>
      </c>
      <c r="AK668" s="10" t="str">
        <f t="shared" si="139"/>
        <v>T2</v>
      </c>
      <c r="AL668" s="10" t="str">
        <f t="shared" si="140"/>
        <v>30-39</v>
      </c>
      <c r="AM668" s="10" t="str">
        <f t="shared" si="141"/>
        <v>moyen</v>
      </c>
      <c r="AN668" s="10" t="s">
        <v>2839</v>
      </c>
      <c r="AO668" s="10" t="str">
        <f t="shared" si="142"/>
        <v>Faible</v>
      </c>
    </row>
    <row r="669" spans="1:41">
      <c r="A669" t="s">
        <v>2051</v>
      </c>
      <c r="B669" s="2">
        <v>45720</v>
      </c>
      <c r="C669" t="s">
        <v>790</v>
      </c>
      <c r="D669" t="s">
        <v>74</v>
      </c>
      <c r="E669" t="s">
        <v>129</v>
      </c>
      <c r="F669" t="s">
        <v>267</v>
      </c>
      <c r="G669">
        <v>3</v>
      </c>
      <c r="H669" s="4">
        <v>95</v>
      </c>
      <c r="I669" s="3">
        <v>0.05</v>
      </c>
      <c r="J669" t="s">
        <v>77</v>
      </c>
      <c r="K669" t="s">
        <v>46</v>
      </c>
      <c r="L669" t="s">
        <v>791</v>
      </c>
      <c r="M669" t="s">
        <v>123</v>
      </c>
      <c r="N669" t="s">
        <v>80</v>
      </c>
      <c r="O669" t="s">
        <v>81</v>
      </c>
      <c r="P669" t="s">
        <v>82</v>
      </c>
      <c r="Q669" t="s">
        <v>52</v>
      </c>
      <c r="R669" t="s">
        <v>134</v>
      </c>
      <c r="S669" t="s">
        <v>123</v>
      </c>
      <c r="T669" t="s">
        <v>269</v>
      </c>
      <c r="U669" s="5">
        <v>41</v>
      </c>
      <c r="V669" s="5" t="s">
        <v>56</v>
      </c>
      <c r="W669" s="5">
        <v>70</v>
      </c>
      <c r="X669" s="5">
        <v>5.2</v>
      </c>
      <c r="Y669" s="5">
        <v>7</v>
      </c>
      <c r="Z669" s="5" t="s">
        <v>94</v>
      </c>
      <c r="AA669" s="6">
        <v>70.3</v>
      </c>
      <c r="AB669" s="8">
        <f t="shared" si="130"/>
        <v>285</v>
      </c>
      <c r="AC669" s="8">
        <f t="shared" si="131"/>
        <v>14.25</v>
      </c>
      <c r="AD669" s="8">
        <f t="shared" si="132"/>
        <v>270.75</v>
      </c>
      <c r="AE669" s="8">
        <f t="shared" si="133"/>
        <v>210.89999999999998</v>
      </c>
      <c r="AF669" s="8">
        <f t="shared" si="134"/>
        <v>59.850000000000023</v>
      </c>
      <c r="AG669" s="9">
        <f t="shared" si="135"/>
        <v>0.22105263157894744</v>
      </c>
      <c r="AH669" s="10">
        <f t="shared" si="136"/>
        <v>2025</v>
      </c>
      <c r="AI669" s="10">
        <f t="shared" si="137"/>
        <v>3</v>
      </c>
      <c r="AJ669" s="10" t="str">
        <f t="shared" si="138"/>
        <v>2025-03</v>
      </c>
      <c r="AK669" s="10" t="str">
        <f t="shared" si="139"/>
        <v>T1</v>
      </c>
      <c r="AL669" s="10" t="str">
        <f t="shared" si="140"/>
        <v>40-49</v>
      </c>
      <c r="AM669" s="10" t="str">
        <f t="shared" si="141"/>
        <v>moyen</v>
      </c>
      <c r="AN669" s="10" t="s">
        <v>2837</v>
      </c>
      <c r="AO669" s="10" t="str">
        <f t="shared" si="142"/>
        <v>Faible</v>
      </c>
    </row>
    <row r="670" spans="1:41">
      <c r="A670" t="s">
        <v>2052</v>
      </c>
      <c r="B670" s="2">
        <v>45900</v>
      </c>
      <c r="C670" t="s">
        <v>2016</v>
      </c>
      <c r="D670" t="s">
        <v>42</v>
      </c>
      <c r="E670" t="s">
        <v>315</v>
      </c>
      <c r="F670" t="s">
        <v>44</v>
      </c>
      <c r="G670">
        <v>1</v>
      </c>
      <c r="H670" s="4">
        <v>260</v>
      </c>
      <c r="I670" s="3">
        <v>0.02</v>
      </c>
      <c r="J670" t="s">
        <v>77</v>
      </c>
      <c r="K670" t="s">
        <v>46</v>
      </c>
      <c r="L670" t="s">
        <v>2017</v>
      </c>
      <c r="M670" t="s">
        <v>65</v>
      </c>
      <c r="N670" t="s">
        <v>49</v>
      </c>
      <c r="O670" t="s">
        <v>50</v>
      </c>
      <c r="P670" t="s">
        <v>51</v>
      </c>
      <c r="Q670" t="s">
        <v>52</v>
      </c>
      <c r="R670" t="s">
        <v>317</v>
      </c>
      <c r="S670" t="s">
        <v>69</v>
      </c>
      <c r="T670" t="s">
        <v>55</v>
      </c>
      <c r="U670" s="5">
        <v>34</v>
      </c>
      <c r="V670" s="5" t="s">
        <v>85</v>
      </c>
      <c r="W670" s="5">
        <v>49</v>
      </c>
      <c r="X670" s="5">
        <v>9.3000000000000007</v>
      </c>
      <c r="Y670" s="5">
        <v>1</v>
      </c>
      <c r="Z670" s="5" t="s">
        <v>57</v>
      </c>
      <c r="AA670" s="6">
        <v>189.8</v>
      </c>
      <c r="AB670" s="8">
        <f t="shared" si="130"/>
        <v>260</v>
      </c>
      <c r="AC670" s="8">
        <f t="shared" si="131"/>
        <v>5.2</v>
      </c>
      <c r="AD670" s="8">
        <f t="shared" si="132"/>
        <v>254.8</v>
      </c>
      <c r="AE670" s="8">
        <f t="shared" si="133"/>
        <v>189.8</v>
      </c>
      <c r="AF670" s="8">
        <f t="shared" si="134"/>
        <v>65</v>
      </c>
      <c r="AG670" s="9">
        <f t="shared" si="135"/>
        <v>0.25510204081632654</v>
      </c>
      <c r="AH670" s="10">
        <f t="shared" si="136"/>
        <v>2025</v>
      </c>
      <c r="AI670" s="10">
        <f t="shared" si="137"/>
        <v>8</v>
      </c>
      <c r="AJ670" s="10" t="str">
        <f t="shared" si="138"/>
        <v>2025-08</v>
      </c>
      <c r="AK670" s="10" t="str">
        <f t="shared" si="139"/>
        <v>T3</v>
      </c>
      <c r="AL670" s="10" t="str">
        <f t="shared" si="140"/>
        <v>30-39</v>
      </c>
      <c r="AM670" s="10" t="str">
        <f t="shared" si="141"/>
        <v>excellent</v>
      </c>
      <c r="AN670" s="10" t="s">
        <v>2838</v>
      </c>
      <c r="AO670" s="10" t="str">
        <f t="shared" si="142"/>
        <v>Faible</v>
      </c>
    </row>
    <row r="671" spans="1:41">
      <c r="A671" t="s">
        <v>2053</v>
      </c>
      <c r="B671" s="2">
        <v>45818</v>
      </c>
      <c r="C671" t="s">
        <v>2054</v>
      </c>
      <c r="D671" t="s">
        <v>108</v>
      </c>
      <c r="E671" t="s">
        <v>163</v>
      </c>
      <c r="F671" t="s">
        <v>121</v>
      </c>
      <c r="G671">
        <v>3</v>
      </c>
      <c r="H671" s="4">
        <v>240</v>
      </c>
      <c r="I671" s="3">
        <v>0.02</v>
      </c>
      <c r="J671" t="s">
        <v>77</v>
      </c>
      <c r="K671" t="s">
        <v>46</v>
      </c>
      <c r="L671" t="s">
        <v>2055</v>
      </c>
      <c r="M671" t="s">
        <v>123</v>
      </c>
      <c r="N671" t="s">
        <v>112</v>
      </c>
      <c r="O671" t="s">
        <v>113</v>
      </c>
      <c r="P671" t="s">
        <v>82</v>
      </c>
      <c r="Q671" t="s">
        <v>114</v>
      </c>
      <c r="R671" t="s">
        <v>167</v>
      </c>
      <c r="S671" t="s">
        <v>123</v>
      </c>
      <c r="T671" t="s">
        <v>125</v>
      </c>
      <c r="U671" s="5">
        <v>36</v>
      </c>
      <c r="V671" s="5" t="s">
        <v>85</v>
      </c>
      <c r="W671" s="5">
        <v>49</v>
      </c>
      <c r="X671" s="5">
        <v>4.2</v>
      </c>
      <c r="Y671" s="5">
        <v>8</v>
      </c>
      <c r="Z671" s="5" t="s">
        <v>117</v>
      </c>
      <c r="AA671" s="6">
        <v>177.6</v>
      </c>
      <c r="AB671" s="8">
        <f t="shared" si="130"/>
        <v>720</v>
      </c>
      <c r="AC671" s="8">
        <f t="shared" si="131"/>
        <v>14.4</v>
      </c>
      <c r="AD671" s="8">
        <f t="shared" si="132"/>
        <v>705.6</v>
      </c>
      <c r="AE671" s="8">
        <f t="shared" si="133"/>
        <v>532.79999999999995</v>
      </c>
      <c r="AF671" s="8">
        <f t="shared" si="134"/>
        <v>172.80000000000007</v>
      </c>
      <c r="AG671" s="9">
        <f t="shared" si="135"/>
        <v>0.24489795918367355</v>
      </c>
      <c r="AH671" s="10">
        <f t="shared" si="136"/>
        <v>2025</v>
      </c>
      <c r="AI671" s="10">
        <f t="shared" si="137"/>
        <v>6</v>
      </c>
      <c r="AJ671" s="10" t="str">
        <f t="shared" si="138"/>
        <v>2025-06</v>
      </c>
      <c r="AK671" s="10" t="str">
        <f t="shared" si="139"/>
        <v>T2</v>
      </c>
      <c r="AL671" s="10" t="str">
        <f t="shared" si="140"/>
        <v>30-39</v>
      </c>
      <c r="AM671" s="10" t="str">
        <f t="shared" si="141"/>
        <v>faible</v>
      </c>
      <c r="AN671" s="10" t="s">
        <v>2837</v>
      </c>
      <c r="AO671" s="10" t="str">
        <f t="shared" si="142"/>
        <v>Moyenne</v>
      </c>
    </row>
    <row r="672" spans="1:41">
      <c r="A672" t="s">
        <v>2056</v>
      </c>
      <c r="B672" s="2">
        <v>45981</v>
      </c>
      <c r="C672" t="s">
        <v>2057</v>
      </c>
      <c r="D672" t="s">
        <v>181</v>
      </c>
      <c r="E672" t="s">
        <v>98</v>
      </c>
      <c r="F672" t="s">
        <v>361</v>
      </c>
      <c r="G672">
        <v>3</v>
      </c>
      <c r="H672" s="4">
        <v>145</v>
      </c>
      <c r="I672" s="3">
        <v>0</v>
      </c>
      <c r="J672" t="s">
        <v>45</v>
      </c>
      <c r="K672" t="s">
        <v>46</v>
      </c>
      <c r="L672" t="s">
        <v>2058</v>
      </c>
      <c r="M672" t="s">
        <v>79</v>
      </c>
      <c r="N672" t="s">
        <v>101</v>
      </c>
      <c r="O672" t="s">
        <v>184</v>
      </c>
      <c r="P672" t="s">
        <v>103</v>
      </c>
      <c r="Q672" t="s">
        <v>52</v>
      </c>
      <c r="R672" t="s">
        <v>104</v>
      </c>
      <c r="S672" t="s">
        <v>79</v>
      </c>
      <c r="T672" t="s">
        <v>363</v>
      </c>
      <c r="U672" s="5">
        <v>44</v>
      </c>
      <c r="V672" s="5" t="s">
        <v>56</v>
      </c>
      <c r="W672" s="5">
        <v>32</v>
      </c>
      <c r="X672" s="5">
        <v>3.3</v>
      </c>
      <c r="Y672" s="5">
        <v>9</v>
      </c>
      <c r="Z672" s="5" t="s">
        <v>57</v>
      </c>
      <c r="AA672" s="6">
        <v>97.15</v>
      </c>
      <c r="AB672" s="8">
        <f t="shared" si="130"/>
        <v>435</v>
      </c>
      <c r="AC672" s="8">
        <f t="shared" si="131"/>
        <v>0</v>
      </c>
      <c r="AD672" s="8">
        <f t="shared" si="132"/>
        <v>435</v>
      </c>
      <c r="AE672" s="8">
        <f t="shared" si="133"/>
        <v>291.45000000000005</v>
      </c>
      <c r="AF672" s="8">
        <f t="shared" si="134"/>
        <v>143.54999999999995</v>
      </c>
      <c r="AG672" s="9">
        <f t="shared" si="135"/>
        <v>0.3299999999999999</v>
      </c>
      <c r="AH672" s="10">
        <f t="shared" si="136"/>
        <v>2025</v>
      </c>
      <c r="AI672" s="10">
        <f t="shared" si="137"/>
        <v>11</v>
      </c>
      <c r="AJ672" s="10" t="str">
        <f t="shared" si="138"/>
        <v>2025-11</v>
      </c>
      <c r="AK672" s="10" t="str">
        <f t="shared" si="139"/>
        <v>T4</v>
      </c>
      <c r="AL672" s="10" t="str">
        <f t="shared" si="140"/>
        <v>40-49</v>
      </c>
      <c r="AM672" s="10" t="str">
        <f t="shared" si="141"/>
        <v>faible</v>
      </c>
      <c r="AN672" s="10" t="s">
        <v>2837</v>
      </c>
      <c r="AO672" s="10" t="str">
        <f t="shared" si="142"/>
        <v>Faible</v>
      </c>
    </row>
    <row r="673" spans="1:41">
      <c r="A673" t="s">
        <v>2059</v>
      </c>
      <c r="B673" s="2">
        <v>45667</v>
      </c>
      <c r="C673" t="s">
        <v>2060</v>
      </c>
      <c r="D673" t="s">
        <v>272</v>
      </c>
      <c r="E673" t="s">
        <v>277</v>
      </c>
      <c r="F673" t="s">
        <v>779</v>
      </c>
      <c r="G673">
        <v>2</v>
      </c>
      <c r="H673" s="4">
        <v>420</v>
      </c>
      <c r="I673" s="3">
        <v>0</v>
      </c>
      <c r="J673" t="s">
        <v>63</v>
      </c>
      <c r="K673" t="s">
        <v>46</v>
      </c>
      <c r="L673" t="s">
        <v>2061</v>
      </c>
      <c r="M673" t="s">
        <v>69</v>
      </c>
      <c r="N673" t="s">
        <v>112</v>
      </c>
      <c r="O673" t="s">
        <v>274</v>
      </c>
      <c r="P673" t="s">
        <v>133</v>
      </c>
      <c r="Q673" t="s">
        <v>114</v>
      </c>
      <c r="R673" t="s">
        <v>279</v>
      </c>
      <c r="S673" t="s">
        <v>54</v>
      </c>
      <c r="T673" t="s">
        <v>781</v>
      </c>
      <c r="U673" s="5">
        <v>51</v>
      </c>
      <c r="V673" s="5" t="s">
        <v>56</v>
      </c>
      <c r="W673" s="5">
        <v>3</v>
      </c>
      <c r="X673" s="5">
        <v>6.6</v>
      </c>
      <c r="Y673" s="5">
        <v>3</v>
      </c>
      <c r="Z673" s="5" t="s">
        <v>94</v>
      </c>
      <c r="AA673" s="6">
        <v>273</v>
      </c>
      <c r="AB673" s="8">
        <f t="shared" si="130"/>
        <v>840</v>
      </c>
      <c r="AC673" s="8">
        <f t="shared" si="131"/>
        <v>0</v>
      </c>
      <c r="AD673" s="8">
        <f t="shared" si="132"/>
        <v>840</v>
      </c>
      <c r="AE673" s="8">
        <f t="shared" si="133"/>
        <v>546</v>
      </c>
      <c r="AF673" s="8">
        <f t="shared" si="134"/>
        <v>294</v>
      </c>
      <c r="AG673" s="9">
        <f t="shared" si="135"/>
        <v>0.35</v>
      </c>
      <c r="AH673" s="10">
        <f t="shared" si="136"/>
        <v>2025</v>
      </c>
      <c r="AI673" s="10">
        <f t="shared" si="137"/>
        <v>1</v>
      </c>
      <c r="AJ673" s="10" t="str">
        <f t="shared" si="138"/>
        <v>2025-01</v>
      </c>
      <c r="AK673" s="10" t="str">
        <f t="shared" si="139"/>
        <v>T1</v>
      </c>
      <c r="AL673" s="10" t="str">
        <f t="shared" si="140"/>
        <v>50+</v>
      </c>
      <c r="AM673" s="10" t="str">
        <f t="shared" si="141"/>
        <v>moyen</v>
      </c>
      <c r="AN673" s="10" t="s">
        <v>2838</v>
      </c>
      <c r="AO673" s="10" t="str">
        <f t="shared" si="142"/>
        <v>Moyenne</v>
      </c>
    </row>
    <row r="674" spans="1:41">
      <c r="A674" t="s">
        <v>2062</v>
      </c>
      <c r="B674" s="2">
        <v>45894</v>
      </c>
      <c r="C674" t="s">
        <v>728</v>
      </c>
      <c r="D674" t="s">
        <v>174</v>
      </c>
      <c r="E674" t="s">
        <v>207</v>
      </c>
      <c r="F674" t="s">
        <v>164</v>
      </c>
      <c r="G674">
        <v>3</v>
      </c>
      <c r="H674" s="4">
        <v>780</v>
      </c>
      <c r="I674" s="3">
        <v>0.08</v>
      </c>
      <c r="J674" t="s">
        <v>77</v>
      </c>
      <c r="K674" t="s">
        <v>46</v>
      </c>
      <c r="L674" t="s">
        <v>729</v>
      </c>
      <c r="M674" t="s">
        <v>123</v>
      </c>
      <c r="N674" t="s">
        <v>101</v>
      </c>
      <c r="O674" t="s">
        <v>177</v>
      </c>
      <c r="P674" t="s">
        <v>103</v>
      </c>
      <c r="Q674" t="s">
        <v>114</v>
      </c>
      <c r="R674" t="s">
        <v>210</v>
      </c>
      <c r="S674" t="s">
        <v>79</v>
      </c>
      <c r="T674" t="s">
        <v>168</v>
      </c>
      <c r="U674" s="5">
        <v>40</v>
      </c>
      <c r="V674" s="5" t="s">
        <v>85</v>
      </c>
      <c r="W674" s="5">
        <v>72</v>
      </c>
      <c r="X674" s="5">
        <v>5.7</v>
      </c>
      <c r="Y674" s="5">
        <v>6</v>
      </c>
      <c r="Z674" s="5" t="s">
        <v>117</v>
      </c>
      <c r="AA674" s="6">
        <v>468</v>
      </c>
      <c r="AB674" s="8">
        <f t="shared" si="130"/>
        <v>2340</v>
      </c>
      <c r="AC674" s="8">
        <f t="shared" si="131"/>
        <v>187.20000000000002</v>
      </c>
      <c r="AD674" s="8">
        <f t="shared" si="132"/>
        <v>2152.8000000000002</v>
      </c>
      <c r="AE674" s="8">
        <f t="shared" si="133"/>
        <v>1404</v>
      </c>
      <c r="AF674" s="8">
        <f t="shared" si="134"/>
        <v>748.80000000000018</v>
      </c>
      <c r="AG674" s="9">
        <f t="shared" si="135"/>
        <v>0.34782608695652178</v>
      </c>
      <c r="AH674" s="10">
        <f t="shared" si="136"/>
        <v>2025</v>
      </c>
      <c r="AI674" s="10">
        <f t="shared" si="137"/>
        <v>8</v>
      </c>
      <c r="AJ674" s="10" t="str">
        <f t="shared" si="138"/>
        <v>2025-08</v>
      </c>
      <c r="AK674" s="10" t="str">
        <f t="shared" si="139"/>
        <v>T3</v>
      </c>
      <c r="AL674" s="10" t="str">
        <f t="shared" si="140"/>
        <v>40-49</v>
      </c>
      <c r="AM674" s="10" t="str">
        <f t="shared" si="141"/>
        <v>moyen</v>
      </c>
      <c r="AN674" s="10" t="s">
        <v>2839</v>
      </c>
      <c r="AO674" s="10" t="str">
        <f t="shared" si="142"/>
        <v>Elevée</v>
      </c>
    </row>
    <row r="675" spans="1:41">
      <c r="A675" t="s">
        <v>2063</v>
      </c>
      <c r="B675" s="2">
        <v>45731</v>
      </c>
      <c r="C675" t="s">
        <v>652</v>
      </c>
      <c r="D675" t="s">
        <v>181</v>
      </c>
      <c r="E675" t="s">
        <v>109</v>
      </c>
      <c r="F675" t="s">
        <v>502</v>
      </c>
      <c r="G675">
        <v>2</v>
      </c>
      <c r="H675" s="4">
        <v>145</v>
      </c>
      <c r="I675" s="3">
        <v>0.1</v>
      </c>
      <c r="J675" t="s">
        <v>90</v>
      </c>
      <c r="K675" t="s">
        <v>46</v>
      </c>
      <c r="L675" t="s">
        <v>653</v>
      </c>
      <c r="M675" t="s">
        <v>54</v>
      </c>
      <c r="N675" t="s">
        <v>101</v>
      </c>
      <c r="O675" t="s">
        <v>184</v>
      </c>
      <c r="P675" t="s">
        <v>103</v>
      </c>
      <c r="Q675" t="s">
        <v>52</v>
      </c>
      <c r="R675" t="s">
        <v>115</v>
      </c>
      <c r="S675" t="s">
        <v>65</v>
      </c>
      <c r="T675" t="s">
        <v>504</v>
      </c>
      <c r="U675" s="5">
        <v>27</v>
      </c>
      <c r="V675" s="5" t="s">
        <v>85</v>
      </c>
      <c r="W675" s="5">
        <v>66</v>
      </c>
      <c r="X675" s="5">
        <v>9.1</v>
      </c>
      <c r="Y675" s="5">
        <v>1</v>
      </c>
      <c r="Z675" s="5" t="s">
        <v>117</v>
      </c>
      <c r="AA675" s="6">
        <v>97.15</v>
      </c>
      <c r="AB675" s="8">
        <f t="shared" si="130"/>
        <v>290</v>
      </c>
      <c r="AC675" s="8">
        <f t="shared" si="131"/>
        <v>29</v>
      </c>
      <c r="AD675" s="8">
        <f t="shared" si="132"/>
        <v>261</v>
      </c>
      <c r="AE675" s="8">
        <f t="shared" si="133"/>
        <v>194.3</v>
      </c>
      <c r="AF675" s="8">
        <f t="shared" si="134"/>
        <v>66.699999999999989</v>
      </c>
      <c r="AG675" s="9">
        <f t="shared" si="135"/>
        <v>0.25555555555555554</v>
      </c>
      <c r="AH675" s="10">
        <f t="shared" si="136"/>
        <v>2025</v>
      </c>
      <c r="AI675" s="10">
        <f t="shared" si="137"/>
        <v>3</v>
      </c>
      <c r="AJ675" s="10" t="str">
        <f t="shared" si="138"/>
        <v>2025-03</v>
      </c>
      <c r="AK675" s="10" t="str">
        <f t="shared" si="139"/>
        <v>T1</v>
      </c>
      <c r="AL675" s="10" t="str">
        <f t="shared" si="140"/>
        <v>22-29</v>
      </c>
      <c r="AM675" s="10" t="str">
        <f t="shared" si="141"/>
        <v>excellent</v>
      </c>
      <c r="AN675" s="10" t="s">
        <v>2838</v>
      </c>
      <c r="AO675" s="10" t="str">
        <f t="shared" si="142"/>
        <v>Faible</v>
      </c>
    </row>
    <row r="676" spans="1:41">
      <c r="A676" t="s">
        <v>2064</v>
      </c>
      <c r="B676" s="2">
        <v>45988</v>
      </c>
      <c r="C676" t="s">
        <v>2065</v>
      </c>
      <c r="D676" t="s">
        <v>108</v>
      </c>
      <c r="E676" t="s">
        <v>61</v>
      </c>
      <c r="F676" t="s">
        <v>202</v>
      </c>
      <c r="G676">
        <v>1</v>
      </c>
      <c r="H676" s="4">
        <v>240</v>
      </c>
      <c r="I676" s="3">
        <v>0.05</v>
      </c>
      <c r="J676" t="s">
        <v>90</v>
      </c>
      <c r="K676" t="s">
        <v>46</v>
      </c>
      <c r="L676" t="s">
        <v>2066</v>
      </c>
      <c r="M676" t="s">
        <v>79</v>
      </c>
      <c r="N676" t="s">
        <v>255</v>
      </c>
      <c r="O676" t="s">
        <v>113</v>
      </c>
      <c r="P676" t="s">
        <v>82</v>
      </c>
      <c r="Q676" t="s">
        <v>114</v>
      </c>
      <c r="R676" t="s">
        <v>68</v>
      </c>
      <c r="S676" t="s">
        <v>69</v>
      </c>
      <c r="T676" t="s">
        <v>204</v>
      </c>
      <c r="U676" s="5">
        <v>58</v>
      </c>
      <c r="V676" s="5" t="s">
        <v>56</v>
      </c>
      <c r="W676" s="5">
        <v>4</v>
      </c>
      <c r="X676" s="5">
        <v>4.7</v>
      </c>
      <c r="Y676" s="5">
        <v>7</v>
      </c>
      <c r="Z676" s="5" t="s">
        <v>94</v>
      </c>
      <c r="AA676" s="6">
        <v>177.6</v>
      </c>
      <c r="AB676" s="8">
        <f t="shared" si="130"/>
        <v>240</v>
      </c>
      <c r="AC676" s="8">
        <f t="shared" si="131"/>
        <v>12</v>
      </c>
      <c r="AD676" s="8">
        <f t="shared" si="132"/>
        <v>228</v>
      </c>
      <c r="AE676" s="8">
        <f t="shared" si="133"/>
        <v>177.6</v>
      </c>
      <c r="AF676" s="8">
        <f t="shared" si="134"/>
        <v>50.400000000000006</v>
      </c>
      <c r="AG676" s="9">
        <f t="shared" si="135"/>
        <v>0.22105263157894739</v>
      </c>
      <c r="AH676" s="10">
        <f t="shared" si="136"/>
        <v>2025</v>
      </c>
      <c r="AI676" s="10">
        <f t="shared" si="137"/>
        <v>11</v>
      </c>
      <c r="AJ676" s="10" t="str">
        <f t="shared" si="138"/>
        <v>2025-11</v>
      </c>
      <c r="AK676" s="10" t="str">
        <f t="shared" si="139"/>
        <v>T4</v>
      </c>
      <c r="AL676" s="10" t="str">
        <f t="shared" si="140"/>
        <v>50+</v>
      </c>
      <c r="AM676" s="10" t="str">
        <f t="shared" si="141"/>
        <v>faible</v>
      </c>
      <c r="AN676" s="10" t="s">
        <v>2837</v>
      </c>
      <c r="AO676" s="10" t="str">
        <f t="shared" si="142"/>
        <v>Faible</v>
      </c>
    </row>
    <row r="677" spans="1:41">
      <c r="A677" t="s">
        <v>2067</v>
      </c>
      <c r="B677" s="2">
        <v>45916</v>
      </c>
      <c r="C677" t="s">
        <v>2068</v>
      </c>
      <c r="D677" t="s">
        <v>181</v>
      </c>
      <c r="E677" t="s">
        <v>207</v>
      </c>
      <c r="F677" t="s">
        <v>439</v>
      </c>
      <c r="G677">
        <v>2</v>
      </c>
      <c r="H677" s="4">
        <v>145</v>
      </c>
      <c r="I677" s="3">
        <v>0.1</v>
      </c>
      <c r="J677" t="s">
        <v>63</v>
      </c>
      <c r="K677" t="s">
        <v>46</v>
      </c>
      <c r="L677" t="s">
        <v>2069</v>
      </c>
      <c r="M677" t="s">
        <v>79</v>
      </c>
      <c r="N677" t="s">
        <v>255</v>
      </c>
      <c r="O677" t="s">
        <v>184</v>
      </c>
      <c r="P677" t="s">
        <v>103</v>
      </c>
      <c r="Q677" t="s">
        <v>52</v>
      </c>
      <c r="R677" t="s">
        <v>210</v>
      </c>
      <c r="S677" t="s">
        <v>79</v>
      </c>
      <c r="T677" t="s">
        <v>441</v>
      </c>
      <c r="U677" s="5">
        <v>45</v>
      </c>
      <c r="V677" s="5" t="s">
        <v>85</v>
      </c>
      <c r="W677" s="5">
        <v>34</v>
      </c>
      <c r="X677" s="5">
        <v>7.7</v>
      </c>
      <c r="Y677" s="5">
        <v>3</v>
      </c>
      <c r="Z677" s="5" t="s">
        <v>94</v>
      </c>
      <c r="AA677" s="6">
        <v>97.15</v>
      </c>
      <c r="AB677" s="8">
        <f t="shared" si="130"/>
        <v>290</v>
      </c>
      <c r="AC677" s="8">
        <f t="shared" si="131"/>
        <v>29</v>
      </c>
      <c r="AD677" s="8">
        <f t="shared" si="132"/>
        <v>261</v>
      </c>
      <c r="AE677" s="8">
        <f t="shared" si="133"/>
        <v>194.3</v>
      </c>
      <c r="AF677" s="8">
        <f t="shared" si="134"/>
        <v>66.699999999999989</v>
      </c>
      <c r="AG677" s="9">
        <f t="shared" si="135"/>
        <v>0.25555555555555554</v>
      </c>
      <c r="AH677" s="10">
        <f t="shared" si="136"/>
        <v>2025</v>
      </c>
      <c r="AI677" s="10">
        <f t="shared" si="137"/>
        <v>9</v>
      </c>
      <c r="AJ677" s="10" t="str">
        <f t="shared" si="138"/>
        <v>2025-09</v>
      </c>
      <c r="AK677" s="10" t="str">
        <f t="shared" si="139"/>
        <v>T3</v>
      </c>
      <c r="AL677" s="10" t="str">
        <f t="shared" si="140"/>
        <v>40-49</v>
      </c>
      <c r="AM677" s="10" t="str">
        <f t="shared" si="141"/>
        <v>bon</v>
      </c>
      <c r="AN677" s="10" t="s">
        <v>2838</v>
      </c>
      <c r="AO677" s="10" t="str">
        <f t="shared" si="142"/>
        <v>Faible</v>
      </c>
    </row>
    <row r="678" spans="1:41">
      <c r="A678" t="s">
        <v>2070</v>
      </c>
      <c r="B678" s="2">
        <v>45731</v>
      </c>
      <c r="C678" t="s">
        <v>2071</v>
      </c>
      <c r="D678" t="s">
        <v>74</v>
      </c>
      <c r="E678" t="s">
        <v>109</v>
      </c>
      <c r="F678" t="s">
        <v>429</v>
      </c>
      <c r="G678">
        <v>2</v>
      </c>
      <c r="H678" s="4">
        <v>95</v>
      </c>
      <c r="I678" s="3">
        <v>0</v>
      </c>
      <c r="J678" t="s">
        <v>63</v>
      </c>
      <c r="K678" t="s">
        <v>46</v>
      </c>
      <c r="L678" t="s">
        <v>2072</v>
      </c>
      <c r="M678" t="s">
        <v>69</v>
      </c>
      <c r="N678" t="s">
        <v>112</v>
      </c>
      <c r="O678" t="s">
        <v>81</v>
      </c>
      <c r="P678" t="s">
        <v>82</v>
      </c>
      <c r="Q678" t="s">
        <v>52</v>
      </c>
      <c r="R678" t="s">
        <v>115</v>
      </c>
      <c r="S678" t="s">
        <v>65</v>
      </c>
      <c r="T678" t="s">
        <v>431</v>
      </c>
      <c r="U678" s="5">
        <v>26</v>
      </c>
      <c r="V678" s="5" t="s">
        <v>56</v>
      </c>
      <c r="W678" s="5">
        <v>36</v>
      </c>
      <c r="X678" s="5">
        <v>6.8</v>
      </c>
      <c r="Y678" s="5">
        <v>5</v>
      </c>
      <c r="Z678" s="5" t="s">
        <v>117</v>
      </c>
      <c r="AA678" s="6">
        <v>70.3</v>
      </c>
      <c r="AB678" s="8">
        <f t="shared" si="130"/>
        <v>190</v>
      </c>
      <c r="AC678" s="8">
        <f t="shared" si="131"/>
        <v>0</v>
      </c>
      <c r="AD678" s="8">
        <f t="shared" si="132"/>
        <v>190</v>
      </c>
      <c r="AE678" s="8">
        <f t="shared" si="133"/>
        <v>140.6</v>
      </c>
      <c r="AF678" s="8">
        <f t="shared" si="134"/>
        <v>49.400000000000006</v>
      </c>
      <c r="AG678" s="9">
        <f t="shared" si="135"/>
        <v>0.26</v>
      </c>
      <c r="AH678" s="10">
        <f t="shared" si="136"/>
        <v>2025</v>
      </c>
      <c r="AI678" s="10">
        <f t="shared" si="137"/>
        <v>3</v>
      </c>
      <c r="AJ678" s="10" t="str">
        <f t="shared" si="138"/>
        <v>2025-03</v>
      </c>
      <c r="AK678" s="10" t="str">
        <f t="shared" si="139"/>
        <v>T1</v>
      </c>
      <c r="AL678" s="10" t="str">
        <f t="shared" si="140"/>
        <v>22-29</v>
      </c>
      <c r="AM678" s="10" t="str">
        <f t="shared" si="141"/>
        <v>moyen</v>
      </c>
      <c r="AN678" s="10" t="s">
        <v>2839</v>
      </c>
      <c r="AO678" s="10" t="str">
        <f t="shared" si="142"/>
        <v>Faible</v>
      </c>
    </row>
    <row r="679" spans="1:41">
      <c r="A679" t="s">
        <v>2073</v>
      </c>
      <c r="B679" s="2">
        <v>45853</v>
      </c>
      <c r="C679" t="s">
        <v>2074</v>
      </c>
      <c r="D679" t="s">
        <v>42</v>
      </c>
      <c r="E679" t="s">
        <v>139</v>
      </c>
      <c r="F679" t="s">
        <v>243</v>
      </c>
      <c r="G679">
        <v>3</v>
      </c>
      <c r="H679" s="4">
        <v>260</v>
      </c>
      <c r="I679" s="3">
        <v>0.05</v>
      </c>
      <c r="J679" t="s">
        <v>63</v>
      </c>
      <c r="K679" t="s">
        <v>46</v>
      </c>
      <c r="L679" t="s">
        <v>2075</v>
      </c>
      <c r="M679" t="s">
        <v>54</v>
      </c>
      <c r="N679" t="s">
        <v>80</v>
      </c>
      <c r="O679" t="s">
        <v>50</v>
      </c>
      <c r="P679" t="s">
        <v>51</v>
      </c>
      <c r="Q679" t="s">
        <v>52</v>
      </c>
      <c r="R679" t="s">
        <v>144</v>
      </c>
      <c r="S679" t="s">
        <v>65</v>
      </c>
      <c r="T679" t="s">
        <v>245</v>
      </c>
      <c r="U679" s="5">
        <v>43</v>
      </c>
      <c r="V679" s="5" t="s">
        <v>85</v>
      </c>
      <c r="W679" s="5">
        <v>15</v>
      </c>
      <c r="X679" s="5">
        <v>5</v>
      </c>
      <c r="Y679" s="5">
        <v>7</v>
      </c>
      <c r="Z679" s="5" t="s">
        <v>117</v>
      </c>
      <c r="AA679" s="6">
        <v>189.8</v>
      </c>
      <c r="AB679" s="8">
        <f t="shared" si="130"/>
        <v>780</v>
      </c>
      <c r="AC679" s="8">
        <f t="shared" si="131"/>
        <v>39</v>
      </c>
      <c r="AD679" s="8">
        <f t="shared" si="132"/>
        <v>741</v>
      </c>
      <c r="AE679" s="8">
        <f t="shared" si="133"/>
        <v>569.40000000000009</v>
      </c>
      <c r="AF679" s="8">
        <f t="shared" si="134"/>
        <v>171.59999999999991</v>
      </c>
      <c r="AG679" s="9">
        <f t="shared" si="135"/>
        <v>0.23157894736842094</v>
      </c>
      <c r="AH679" s="10">
        <f t="shared" si="136"/>
        <v>2025</v>
      </c>
      <c r="AI679" s="10">
        <f t="shared" si="137"/>
        <v>7</v>
      </c>
      <c r="AJ679" s="10" t="str">
        <f t="shared" si="138"/>
        <v>2025-07</v>
      </c>
      <c r="AK679" s="10" t="str">
        <f t="shared" si="139"/>
        <v>T3</v>
      </c>
      <c r="AL679" s="10" t="str">
        <f t="shared" si="140"/>
        <v>40-49</v>
      </c>
      <c r="AM679" s="10" t="str">
        <f t="shared" si="141"/>
        <v>moyen</v>
      </c>
      <c r="AN679" s="10" t="s">
        <v>2837</v>
      </c>
      <c r="AO679" s="10" t="str">
        <f t="shared" si="142"/>
        <v>Moyenne</v>
      </c>
    </row>
    <row r="680" spans="1:41">
      <c r="A680" t="s">
        <v>2076</v>
      </c>
      <c r="B680" s="2">
        <v>45759</v>
      </c>
      <c r="C680" t="s">
        <v>2077</v>
      </c>
      <c r="D680" t="s">
        <v>340</v>
      </c>
      <c r="E680" t="s">
        <v>139</v>
      </c>
      <c r="F680" t="s">
        <v>467</v>
      </c>
      <c r="G680">
        <v>4</v>
      </c>
      <c r="H680" s="4">
        <v>22</v>
      </c>
      <c r="I680" s="3">
        <v>0.02</v>
      </c>
      <c r="J680" t="s">
        <v>77</v>
      </c>
      <c r="K680" t="s">
        <v>46</v>
      </c>
      <c r="L680" t="s">
        <v>2078</v>
      </c>
      <c r="M680" t="s">
        <v>48</v>
      </c>
      <c r="N680" t="s">
        <v>49</v>
      </c>
      <c r="O680" t="s">
        <v>342</v>
      </c>
      <c r="P680" t="s">
        <v>103</v>
      </c>
      <c r="Q680" t="s">
        <v>143</v>
      </c>
      <c r="R680" t="s">
        <v>144</v>
      </c>
      <c r="S680" t="s">
        <v>65</v>
      </c>
      <c r="T680" t="s">
        <v>469</v>
      </c>
      <c r="U680" s="5">
        <v>59</v>
      </c>
      <c r="V680" s="5" t="s">
        <v>56</v>
      </c>
      <c r="W680" s="5">
        <v>62</v>
      </c>
      <c r="X680" s="5">
        <v>7.1</v>
      </c>
      <c r="Y680" s="5">
        <v>4</v>
      </c>
      <c r="Z680" s="5" t="s">
        <v>71</v>
      </c>
      <c r="AA680" s="6">
        <v>14.96</v>
      </c>
      <c r="AB680" s="8">
        <f t="shared" si="130"/>
        <v>88</v>
      </c>
      <c r="AC680" s="8">
        <f t="shared" si="131"/>
        <v>1.76</v>
      </c>
      <c r="AD680" s="8">
        <f t="shared" si="132"/>
        <v>86.24</v>
      </c>
      <c r="AE680" s="8">
        <f t="shared" si="133"/>
        <v>59.84</v>
      </c>
      <c r="AF680" s="8">
        <f t="shared" si="134"/>
        <v>26.399999999999991</v>
      </c>
      <c r="AG680" s="9">
        <f t="shared" si="135"/>
        <v>0.30612244897959173</v>
      </c>
      <c r="AH680" s="10">
        <f t="shared" si="136"/>
        <v>2025</v>
      </c>
      <c r="AI680" s="10">
        <f t="shared" si="137"/>
        <v>4</v>
      </c>
      <c r="AJ680" s="10" t="str">
        <f t="shared" si="138"/>
        <v>2025-04</v>
      </c>
      <c r="AK680" s="10" t="str">
        <f t="shared" si="139"/>
        <v>T2</v>
      </c>
      <c r="AL680" s="10" t="str">
        <f t="shared" si="140"/>
        <v>50+</v>
      </c>
      <c r="AM680" s="10" t="str">
        <f t="shared" si="141"/>
        <v>bon</v>
      </c>
      <c r="AN680" s="10" t="s">
        <v>2839</v>
      </c>
      <c r="AO680" s="10" t="str">
        <f t="shared" si="142"/>
        <v>Faible</v>
      </c>
    </row>
    <row r="681" spans="1:41">
      <c r="A681" t="s">
        <v>2079</v>
      </c>
      <c r="B681" s="2">
        <v>45684</v>
      </c>
      <c r="C681" t="s">
        <v>2080</v>
      </c>
      <c r="D681" t="s">
        <v>108</v>
      </c>
      <c r="E681" t="s">
        <v>120</v>
      </c>
      <c r="F681" t="s">
        <v>388</v>
      </c>
      <c r="G681">
        <v>5</v>
      </c>
      <c r="H681" s="4">
        <v>240</v>
      </c>
      <c r="I681" s="3">
        <v>0.05</v>
      </c>
      <c r="J681" t="s">
        <v>63</v>
      </c>
      <c r="K681" t="s">
        <v>46</v>
      </c>
      <c r="L681" t="s">
        <v>2081</v>
      </c>
      <c r="M681" t="s">
        <v>54</v>
      </c>
      <c r="N681" t="s">
        <v>49</v>
      </c>
      <c r="O681" t="s">
        <v>113</v>
      </c>
      <c r="P681" t="s">
        <v>82</v>
      </c>
      <c r="Q681" t="s">
        <v>114</v>
      </c>
      <c r="R681" t="s">
        <v>124</v>
      </c>
      <c r="S681" t="s">
        <v>48</v>
      </c>
      <c r="T681" t="s">
        <v>390</v>
      </c>
      <c r="U681" s="5">
        <v>57</v>
      </c>
      <c r="V681" s="5" t="s">
        <v>56</v>
      </c>
      <c r="W681" s="5">
        <v>24</v>
      </c>
      <c r="X681" s="5">
        <v>6.6</v>
      </c>
      <c r="Y681" s="5">
        <v>3</v>
      </c>
      <c r="Z681" s="5" t="s">
        <v>94</v>
      </c>
      <c r="AA681" s="6">
        <v>177.6</v>
      </c>
      <c r="AB681" s="8">
        <f t="shared" si="130"/>
        <v>1200</v>
      </c>
      <c r="AC681" s="8">
        <f t="shared" si="131"/>
        <v>60</v>
      </c>
      <c r="AD681" s="8">
        <f t="shared" si="132"/>
        <v>1140</v>
      </c>
      <c r="AE681" s="8">
        <f t="shared" si="133"/>
        <v>888</v>
      </c>
      <c r="AF681" s="8">
        <f t="shared" si="134"/>
        <v>252</v>
      </c>
      <c r="AG681" s="9">
        <f t="shared" si="135"/>
        <v>0.22105263157894736</v>
      </c>
      <c r="AH681" s="10">
        <f t="shared" si="136"/>
        <v>2025</v>
      </c>
      <c r="AI681" s="10">
        <f t="shared" si="137"/>
        <v>1</v>
      </c>
      <c r="AJ681" s="10" t="str">
        <f t="shared" si="138"/>
        <v>2025-01</v>
      </c>
      <c r="AK681" s="10" t="str">
        <f t="shared" si="139"/>
        <v>T1</v>
      </c>
      <c r="AL681" s="10" t="str">
        <f t="shared" si="140"/>
        <v>50+</v>
      </c>
      <c r="AM681" s="10" t="str">
        <f t="shared" si="141"/>
        <v>moyen</v>
      </c>
      <c r="AN681" s="10" t="s">
        <v>2838</v>
      </c>
      <c r="AO681" s="10" t="str">
        <f t="shared" si="142"/>
        <v>Elevée</v>
      </c>
    </row>
    <row r="682" spans="1:41">
      <c r="A682" t="s">
        <v>2082</v>
      </c>
      <c r="B682" s="2">
        <v>45979</v>
      </c>
      <c r="C682" t="s">
        <v>2083</v>
      </c>
      <c r="D682" t="s">
        <v>148</v>
      </c>
      <c r="E682" t="s">
        <v>61</v>
      </c>
      <c r="F682" t="s">
        <v>287</v>
      </c>
      <c r="G682">
        <v>2</v>
      </c>
      <c r="H682" s="4">
        <v>110</v>
      </c>
      <c r="I682" s="3">
        <v>0</v>
      </c>
      <c r="J682" t="s">
        <v>63</v>
      </c>
      <c r="K682" t="s">
        <v>46</v>
      </c>
      <c r="L682" t="s">
        <v>2084</v>
      </c>
      <c r="M682" t="s">
        <v>54</v>
      </c>
      <c r="N682" t="s">
        <v>255</v>
      </c>
      <c r="O682" t="s">
        <v>151</v>
      </c>
      <c r="P682" t="s">
        <v>103</v>
      </c>
      <c r="Q682" t="s">
        <v>114</v>
      </c>
      <c r="R682" t="s">
        <v>68</v>
      </c>
      <c r="S682" t="s">
        <v>69</v>
      </c>
      <c r="T682" t="s">
        <v>289</v>
      </c>
      <c r="U682" s="5">
        <v>37</v>
      </c>
      <c r="V682" s="5" t="s">
        <v>85</v>
      </c>
      <c r="W682" s="5">
        <v>21</v>
      </c>
      <c r="X682" s="5">
        <v>6.8</v>
      </c>
      <c r="Y682" s="5">
        <v>5</v>
      </c>
      <c r="Z682" s="5" t="s">
        <v>57</v>
      </c>
      <c r="AA682" s="6">
        <v>72.599999999999994</v>
      </c>
      <c r="AB682" s="8">
        <f t="shared" si="130"/>
        <v>220</v>
      </c>
      <c r="AC682" s="8">
        <f t="shared" si="131"/>
        <v>0</v>
      </c>
      <c r="AD682" s="8">
        <f t="shared" si="132"/>
        <v>220</v>
      </c>
      <c r="AE682" s="8">
        <f t="shared" si="133"/>
        <v>145.19999999999999</v>
      </c>
      <c r="AF682" s="8">
        <f t="shared" si="134"/>
        <v>74.800000000000011</v>
      </c>
      <c r="AG682" s="9">
        <f t="shared" si="135"/>
        <v>0.34</v>
      </c>
      <c r="AH682" s="10">
        <f t="shared" si="136"/>
        <v>2025</v>
      </c>
      <c r="AI682" s="10">
        <f t="shared" si="137"/>
        <v>11</v>
      </c>
      <c r="AJ682" s="10" t="str">
        <f t="shared" si="138"/>
        <v>2025-11</v>
      </c>
      <c r="AK682" s="10" t="str">
        <f t="shared" si="139"/>
        <v>T4</v>
      </c>
      <c r="AL682" s="10" t="str">
        <f t="shared" si="140"/>
        <v>30-39</v>
      </c>
      <c r="AM682" s="10" t="str">
        <f t="shared" si="141"/>
        <v>moyen</v>
      </c>
      <c r="AN682" s="10" t="s">
        <v>2839</v>
      </c>
      <c r="AO682" s="10" t="str">
        <f t="shared" si="142"/>
        <v>Faible</v>
      </c>
    </row>
    <row r="683" spans="1:41">
      <c r="A683" t="s">
        <v>2085</v>
      </c>
      <c r="B683" s="2">
        <v>45949</v>
      </c>
      <c r="C683" t="s">
        <v>2086</v>
      </c>
      <c r="D683" t="s">
        <v>74</v>
      </c>
      <c r="E683" t="s">
        <v>189</v>
      </c>
      <c r="F683" t="s">
        <v>44</v>
      </c>
      <c r="G683">
        <v>1</v>
      </c>
      <c r="H683" s="4">
        <v>95</v>
      </c>
      <c r="I683" s="3">
        <v>0.05</v>
      </c>
      <c r="J683" t="s">
        <v>90</v>
      </c>
      <c r="K683" t="s">
        <v>46</v>
      </c>
      <c r="L683" t="s">
        <v>2087</v>
      </c>
      <c r="M683" t="s">
        <v>54</v>
      </c>
      <c r="N683" t="s">
        <v>255</v>
      </c>
      <c r="O683" t="s">
        <v>81</v>
      </c>
      <c r="P683" t="s">
        <v>82</v>
      </c>
      <c r="Q683" t="s">
        <v>52</v>
      </c>
      <c r="R683" t="s">
        <v>193</v>
      </c>
      <c r="S683" t="s">
        <v>79</v>
      </c>
      <c r="T683" t="s">
        <v>55</v>
      </c>
      <c r="U683" s="5">
        <v>55</v>
      </c>
      <c r="V683" s="5" t="s">
        <v>56</v>
      </c>
      <c r="W683" s="5">
        <v>23</v>
      </c>
      <c r="X683" s="5">
        <v>8.8000000000000007</v>
      </c>
      <c r="Y683" s="5">
        <v>1</v>
      </c>
      <c r="Z683" s="5" t="s">
        <v>71</v>
      </c>
      <c r="AA683" s="6">
        <v>70.3</v>
      </c>
      <c r="AB683" s="8">
        <f t="shared" si="130"/>
        <v>95</v>
      </c>
      <c r="AC683" s="8">
        <f t="shared" si="131"/>
        <v>4.75</v>
      </c>
      <c r="AD683" s="8">
        <f t="shared" si="132"/>
        <v>90.25</v>
      </c>
      <c r="AE683" s="8">
        <f t="shared" si="133"/>
        <v>70.3</v>
      </c>
      <c r="AF683" s="8">
        <f t="shared" si="134"/>
        <v>19.950000000000003</v>
      </c>
      <c r="AG683" s="9">
        <f t="shared" si="135"/>
        <v>0.22105263157894739</v>
      </c>
      <c r="AH683" s="10">
        <f t="shared" si="136"/>
        <v>2025</v>
      </c>
      <c r="AI683" s="10">
        <f t="shared" si="137"/>
        <v>10</v>
      </c>
      <c r="AJ683" s="10" t="str">
        <f t="shared" si="138"/>
        <v>2025-10</v>
      </c>
      <c r="AK683" s="10" t="str">
        <f t="shared" si="139"/>
        <v>T4</v>
      </c>
      <c r="AL683" s="10" t="str">
        <f t="shared" si="140"/>
        <v>50+</v>
      </c>
      <c r="AM683" s="10" t="str">
        <f t="shared" si="141"/>
        <v>bon</v>
      </c>
      <c r="AN683" s="10" t="s">
        <v>2838</v>
      </c>
      <c r="AO683" s="10" t="str">
        <f t="shared" si="142"/>
        <v>Faible</v>
      </c>
    </row>
    <row r="684" spans="1:41">
      <c r="A684" t="s">
        <v>2088</v>
      </c>
      <c r="B684" s="2">
        <v>45831</v>
      </c>
      <c r="C684" t="s">
        <v>2089</v>
      </c>
      <c r="D684" t="s">
        <v>174</v>
      </c>
      <c r="E684" t="s">
        <v>315</v>
      </c>
      <c r="F684" t="s">
        <v>328</v>
      </c>
      <c r="G684">
        <v>1</v>
      </c>
      <c r="H684" s="4">
        <v>780</v>
      </c>
      <c r="I684" s="3">
        <v>0</v>
      </c>
      <c r="J684" t="s">
        <v>90</v>
      </c>
      <c r="K684" t="s">
        <v>46</v>
      </c>
      <c r="L684" t="s">
        <v>2090</v>
      </c>
      <c r="M684" t="s">
        <v>48</v>
      </c>
      <c r="N684" t="s">
        <v>101</v>
      </c>
      <c r="O684" t="s">
        <v>177</v>
      </c>
      <c r="P684" t="s">
        <v>103</v>
      </c>
      <c r="Q684" t="s">
        <v>114</v>
      </c>
      <c r="R684" t="s">
        <v>317</v>
      </c>
      <c r="S684" t="s">
        <v>69</v>
      </c>
      <c r="T684" t="s">
        <v>330</v>
      </c>
      <c r="U684" s="5">
        <v>40</v>
      </c>
      <c r="V684" s="5" t="s">
        <v>56</v>
      </c>
      <c r="W684" s="5">
        <v>13</v>
      </c>
      <c r="X684" s="5">
        <v>7.1</v>
      </c>
      <c r="Y684" s="5">
        <v>4</v>
      </c>
      <c r="Z684" s="5" t="s">
        <v>71</v>
      </c>
      <c r="AA684" s="6">
        <v>468</v>
      </c>
      <c r="AB684" s="8">
        <f t="shared" si="130"/>
        <v>780</v>
      </c>
      <c r="AC684" s="8">
        <f t="shared" si="131"/>
        <v>0</v>
      </c>
      <c r="AD684" s="8">
        <f t="shared" si="132"/>
        <v>780</v>
      </c>
      <c r="AE684" s="8">
        <f t="shared" si="133"/>
        <v>468</v>
      </c>
      <c r="AF684" s="8">
        <f t="shared" si="134"/>
        <v>312</v>
      </c>
      <c r="AG684" s="9">
        <f t="shared" si="135"/>
        <v>0.4</v>
      </c>
      <c r="AH684" s="10">
        <f t="shared" si="136"/>
        <v>2025</v>
      </c>
      <c r="AI684" s="10">
        <f t="shared" si="137"/>
        <v>6</v>
      </c>
      <c r="AJ684" s="10" t="str">
        <f t="shared" si="138"/>
        <v>2025-06</v>
      </c>
      <c r="AK684" s="10" t="str">
        <f t="shared" si="139"/>
        <v>T2</v>
      </c>
      <c r="AL684" s="10" t="str">
        <f t="shared" si="140"/>
        <v>40-49</v>
      </c>
      <c r="AM684" s="10" t="str">
        <f t="shared" si="141"/>
        <v>bon</v>
      </c>
      <c r="AN684" s="10" t="s">
        <v>2839</v>
      </c>
      <c r="AO684" s="10" t="str">
        <f t="shared" si="142"/>
        <v>Moyenne</v>
      </c>
    </row>
    <row r="685" spans="1:41">
      <c r="A685" t="s">
        <v>2091</v>
      </c>
      <c r="B685" s="2">
        <v>45737</v>
      </c>
      <c r="C685" t="s">
        <v>2092</v>
      </c>
      <c r="D685" t="s">
        <v>333</v>
      </c>
      <c r="E685" t="s">
        <v>226</v>
      </c>
      <c r="F685" t="s">
        <v>182</v>
      </c>
      <c r="G685">
        <v>3</v>
      </c>
      <c r="H685" s="4">
        <v>65</v>
      </c>
      <c r="I685" s="3">
        <v>0</v>
      </c>
      <c r="J685" t="s">
        <v>45</v>
      </c>
      <c r="K685" t="s">
        <v>46</v>
      </c>
      <c r="L685" t="s">
        <v>2093</v>
      </c>
      <c r="M685" t="s">
        <v>48</v>
      </c>
      <c r="N685" t="s">
        <v>49</v>
      </c>
      <c r="O685" t="s">
        <v>336</v>
      </c>
      <c r="P685" t="s">
        <v>51</v>
      </c>
      <c r="Q685" t="s">
        <v>52</v>
      </c>
      <c r="R685" t="s">
        <v>229</v>
      </c>
      <c r="S685" t="s">
        <v>48</v>
      </c>
      <c r="T685" t="s">
        <v>185</v>
      </c>
      <c r="U685" s="5">
        <v>26</v>
      </c>
      <c r="V685" s="5" t="s">
        <v>85</v>
      </c>
      <c r="W685" s="5">
        <v>56</v>
      </c>
      <c r="X685" s="5">
        <v>8.8000000000000007</v>
      </c>
      <c r="Y685" s="5">
        <v>1</v>
      </c>
      <c r="Z685" s="5" t="s">
        <v>117</v>
      </c>
      <c r="AA685" s="6">
        <v>47.45</v>
      </c>
      <c r="AB685" s="8">
        <f t="shared" si="130"/>
        <v>195</v>
      </c>
      <c r="AC685" s="8">
        <f t="shared" si="131"/>
        <v>0</v>
      </c>
      <c r="AD685" s="8">
        <f t="shared" si="132"/>
        <v>195</v>
      </c>
      <c r="AE685" s="8">
        <f t="shared" si="133"/>
        <v>142.35000000000002</v>
      </c>
      <c r="AF685" s="8">
        <f t="shared" si="134"/>
        <v>52.649999999999977</v>
      </c>
      <c r="AG685" s="9">
        <f t="shared" si="135"/>
        <v>0.26999999999999991</v>
      </c>
      <c r="AH685" s="10">
        <f t="shared" si="136"/>
        <v>2025</v>
      </c>
      <c r="AI685" s="10">
        <f t="shared" si="137"/>
        <v>3</v>
      </c>
      <c r="AJ685" s="10" t="str">
        <f t="shared" si="138"/>
        <v>2025-03</v>
      </c>
      <c r="AK685" s="10" t="str">
        <f t="shared" si="139"/>
        <v>T1</v>
      </c>
      <c r="AL685" s="10" t="str">
        <f t="shared" si="140"/>
        <v>22-29</v>
      </c>
      <c r="AM685" s="10" t="str">
        <f t="shared" si="141"/>
        <v>bon</v>
      </c>
      <c r="AN685" s="10" t="s">
        <v>2838</v>
      </c>
      <c r="AO685" s="10" t="str">
        <f t="shared" si="142"/>
        <v>Faible</v>
      </c>
    </row>
    <row r="686" spans="1:41">
      <c r="A686" t="s">
        <v>2094</v>
      </c>
      <c r="B686" s="2">
        <v>45686</v>
      </c>
      <c r="C686" t="s">
        <v>2095</v>
      </c>
      <c r="D686" t="s">
        <v>340</v>
      </c>
      <c r="E686" t="s">
        <v>163</v>
      </c>
      <c r="F686" t="s">
        <v>259</v>
      </c>
      <c r="G686">
        <v>3</v>
      </c>
      <c r="H686" s="4">
        <v>22</v>
      </c>
      <c r="I686" s="3">
        <v>0.05</v>
      </c>
      <c r="J686" t="s">
        <v>90</v>
      </c>
      <c r="K686" t="s">
        <v>46</v>
      </c>
      <c r="L686" t="s">
        <v>2096</v>
      </c>
      <c r="M686" t="s">
        <v>65</v>
      </c>
      <c r="N686" t="s">
        <v>255</v>
      </c>
      <c r="O686" t="s">
        <v>342</v>
      </c>
      <c r="P686" t="s">
        <v>103</v>
      </c>
      <c r="Q686" t="s">
        <v>143</v>
      </c>
      <c r="R686" t="s">
        <v>167</v>
      </c>
      <c r="S686" t="s">
        <v>123</v>
      </c>
      <c r="T686" t="s">
        <v>261</v>
      </c>
      <c r="U686" s="5">
        <v>54</v>
      </c>
      <c r="V686" s="5" t="s">
        <v>56</v>
      </c>
      <c r="W686" s="5">
        <v>60</v>
      </c>
      <c r="X686" s="5">
        <v>6.7</v>
      </c>
      <c r="Y686" s="5">
        <v>4</v>
      </c>
      <c r="Z686" s="5" t="s">
        <v>57</v>
      </c>
      <c r="AA686" s="6">
        <v>14.96</v>
      </c>
      <c r="AB686" s="8">
        <f t="shared" si="130"/>
        <v>66</v>
      </c>
      <c r="AC686" s="8">
        <f t="shared" si="131"/>
        <v>3.3000000000000003</v>
      </c>
      <c r="AD686" s="8">
        <f t="shared" si="132"/>
        <v>62.7</v>
      </c>
      <c r="AE686" s="8">
        <f t="shared" si="133"/>
        <v>44.88</v>
      </c>
      <c r="AF686" s="8">
        <f t="shared" si="134"/>
        <v>17.82</v>
      </c>
      <c r="AG686" s="9">
        <f t="shared" si="135"/>
        <v>0.28421052631578947</v>
      </c>
      <c r="AH686" s="10">
        <f t="shared" si="136"/>
        <v>2025</v>
      </c>
      <c r="AI686" s="10">
        <f t="shared" si="137"/>
        <v>1</v>
      </c>
      <c r="AJ686" s="10" t="str">
        <f t="shared" si="138"/>
        <v>2025-01</v>
      </c>
      <c r="AK686" s="10" t="str">
        <f t="shared" si="139"/>
        <v>T1</v>
      </c>
      <c r="AL686" s="10" t="str">
        <f t="shared" si="140"/>
        <v>50+</v>
      </c>
      <c r="AM686" s="10" t="str">
        <f t="shared" si="141"/>
        <v>moyen</v>
      </c>
      <c r="AN686" s="10" t="s">
        <v>2839</v>
      </c>
      <c r="AO686" s="10" t="str">
        <f t="shared" si="142"/>
        <v>Faible</v>
      </c>
    </row>
    <row r="687" spans="1:41">
      <c r="A687" t="s">
        <v>2097</v>
      </c>
      <c r="B687" s="2">
        <v>45770</v>
      </c>
      <c r="C687" t="s">
        <v>2098</v>
      </c>
      <c r="D687" t="s">
        <v>272</v>
      </c>
      <c r="E687" t="s">
        <v>219</v>
      </c>
      <c r="F687" t="s">
        <v>413</v>
      </c>
      <c r="G687">
        <v>4</v>
      </c>
      <c r="H687" s="4">
        <v>420</v>
      </c>
      <c r="I687" s="3">
        <v>0</v>
      </c>
      <c r="J687" t="s">
        <v>45</v>
      </c>
      <c r="K687" t="s">
        <v>46</v>
      </c>
      <c r="L687" t="s">
        <v>2099</v>
      </c>
      <c r="M687" t="s">
        <v>79</v>
      </c>
      <c r="N687" t="s">
        <v>101</v>
      </c>
      <c r="O687" t="s">
        <v>274</v>
      </c>
      <c r="P687" t="s">
        <v>133</v>
      </c>
      <c r="Q687" t="s">
        <v>114</v>
      </c>
      <c r="R687" t="s">
        <v>222</v>
      </c>
      <c r="S687" t="s">
        <v>123</v>
      </c>
      <c r="T687" t="s">
        <v>415</v>
      </c>
      <c r="U687" s="5">
        <v>37</v>
      </c>
      <c r="V687" s="5" t="s">
        <v>56</v>
      </c>
      <c r="W687" s="5">
        <v>36</v>
      </c>
      <c r="X687" s="5">
        <v>4.0999999999999996</v>
      </c>
      <c r="Y687" s="5">
        <v>7</v>
      </c>
      <c r="Z687" s="5" t="s">
        <v>117</v>
      </c>
      <c r="AA687" s="6">
        <v>273</v>
      </c>
      <c r="AB687" s="8">
        <f t="shared" si="130"/>
        <v>1680</v>
      </c>
      <c r="AC687" s="8">
        <f t="shared" si="131"/>
        <v>0</v>
      </c>
      <c r="AD687" s="8">
        <f t="shared" si="132"/>
        <v>1680</v>
      </c>
      <c r="AE687" s="8">
        <f t="shared" si="133"/>
        <v>1092</v>
      </c>
      <c r="AF687" s="8">
        <f t="shared" si="134"/>
        <v>588</v>
      </c>
      <c r="AG687" s="9">
        <f t="shared" si="135"/>
        <v>0.35</v>
      </c>
      <c r="AH687" s="10">
        <f t="shared" si="136"/>
        <v>2025</v>
      </c>
      <c r="AI687" s="10">
        <f t="shared" si="137"/>
        <v>4</v>
      </c>
      <c r="AJ687" s="10" t="str">
        <f t="shared" si="138"/>
        <v>2025-04</v>
      </c>
      <c r="AK687" s="10" t="str">
        <f t="shared" si="139"/>
        <v>T2</v>
      </c>
      <c r="AL687" s="10" t="str">
        <f t="shared" si="140"/>
        <v>30-39</v>
      </c>
      <c r="AM687" s="10" t="str">
        <f t="shared" si="141"/>
        <v>faible</v>
      </c>
      <c r="AN687" s="10" t="s">
        <v>2837</v>
      </c>
      <c r="AO687" s="10" t="str">
        <f t="shared" si="142"/>
        <v>Elevée</v>
      </c>
    </row>
    <row r="688" spans="1:41">
      <c r="A688" t="s">
        <v>2100</v>
      </c>
      <c r="B688" s="2">
        <v>45919</v>
      </c>
      <c r="C688" t="s">
        <v>1015</v>
      </c>
      <c r="D688" t="s">
        <v>148</v>
      </c>
      <c r="E688" t="s">
        <v>226</v>
      </c>
      <c r="F688" t="s">
        <v>287</v>
      </c>
      <c r="G688">
        <v>4</v>
      </c>
      <c r="H688" s="4">
        <v>110</v>
      </c>
      <c r="I688" s="3">
        <v>0.02</v>
      </c>
      <c r="J688" t="s">
        <v>90</v>
      </c>
      <c r="K688" t="s">
        <v>46</v>
      </c>
      <c r="L688" t="s">
        <v>1016</v>
      </c>
      <c r="M688" t="s">
        <v>69</v>
      </c>
      <c r="N688" t="s">
        <v>112</v>
      </c>
      <c r="O688" t="s">
        <v>151</v>
      </c>
      <c r="P688" t="s">
        <v>103</v>
      </c>
      <c r="Q688" t="s">
        <v>114</v>
      </c>
      <c r="R688" t="s">
        <v>229</v>
      </c>
      <c r="S688" t="s">
        <v>48</v>
      </c>
      <c r="T688" t="s">
        <v>289</v>
      </c>
      <c r="U688" s="5">
        <v>60</v>
      </c>
      <c r="V688" s="5" t="s">
        <v>56</v>
      </c>
      <c r="W688" s="5">
        <v>14</v>
      </c>
      <c r="X688" s="5">
        <v>8.9</v>
      </c>
      <c r="Y688" s="5">
        <v>1</v>
      </c>
      <c r="Z688" s="5" t="s">
        <v>94</v>
      </c>
      <c r="AA688" s="6">
        <v>72.599999999999994</v>
      </c>
      <c r="AB688" s="8">
        <f t="shared" si="130"/>
        <v>440</v>
      </c>
      <c r="AC688" s="8">
        <f t="shared" si="131"/>
        <v>8.8000000000000007</v>
      </c>
      <c r="AD688" s="8">
        <f t="shared" si="132"/>
        <v>431.2</v>
      </c>
      <c r="AE688" s="8">
        <f t="shared" si="133"/>
        <v>290.39999999999998</v>
      </c>
      <c r="AF688" s="8">
        <f t="shared" si="134"/>
        <v>140.80000000000001</v>
      </c>
      <c r="AG688" s="9">
        <f t="shared" si="135"/>
        <v>0.32653061224489799</v>
      </c>
      <c r="AH688" s="10">
        <f t="shared" si="136"/>
        <v>2025</v>
      </c>
      <c r="AI688" s="10">
        <f t="shared" si="137"/>
        <v>9</v>
      </c>
      <c r="AJ688" s="10" t="str">
        <f t="shared" si="138"/>
        <v>2025-09</v>
      </c>
      <c r="AK688" s="10" t="str">
        <f t="shared" si="139"/>
        <v>T3</v>
      </c>
      <c r="AL688" s="10" t="str">
        <f t="shared" si="140"/>
        <v>50+</v>
      </c>
      <c r="AM688" s="10" t="str">
        <f t="shared" si="141"/>
        <v>bon</v>
      </c>
      <c r="AN688" s="10" t="s">
        <v>2838</v>
      </c>
      <c r="AO688" s="10" t="str">
        <f t="shared" si="142"/>
        <v>Faible</v>
      </c>
    </row>
    <row r="689" spans="1:41">
      <c r="A689" t="s">
        <v>2101</v>
      </c>
      <c r="B689" s="2">
        <v>45959</v>
      </c>
      <c r="C689" t="s">
        <v>471</v>
      </c>
      <c r="D689" t="s">
        <v>174</v>
      </c>
      <c r="E689" t="s">
        <v>219</v>
      </c>
      <c r="F689" t="s">
        <v>202</v>
      </c>
      <c r="G689">
        <v>1</v>
      </c>
      <c r="H689" s="4">
        <v>780</v>
      </c>
      <c r="I689" s="3">
        <v>0</v>
      </c>
      <c r="J689" t="s">
        <v>63</v>
      </c>
      <c r="K689" t="s">
        <v>46</v>
      </c>
      <c r="L689" t="s">
        <v>472</v>
      </c>
      <c r="M689" t="s">
        <v>79</v>
      </c>
      <c r="N689" t="s">
        <v>255</v>
      </c>
      <c r="O689" t="s">
        <v>177</v>
      </c>
      <c r="P689" t="s">
        <v>103</v>
      </c>
      <c r="Q689" t="s">
        <v>114</v>
      </c>
      <c r="R689" t="s">
        <v>222</v>
      </c>
      <c r="S689" t="s">
        <v>123</v>
      </c>
      <c r="T689" t="s">
        <v>204</v>
      </c>
      <c r="U689" s="5">
        <v>57</v>
      </c>
      <c r="V689" s="5" t="s">
        <v>85</v>
      </c>
      <c r="W689" s="5">
        <v>65</v>
      </c>
      <c r="X689" s="5">
        <v>7.4</v>
      </c>
      <c r="Y689" s="5">
        <v>2</v>
      </c>
      <c r="Z689" s="5" t="s">
        <v>71</v>
      </c>
      <c r="AA689" s="6">
        <v>468</v>
      </c>
      <c r="AB689" s="8">
        <f t="shared" si="130"/>
        <v>780</v>
      </c>
      <c r="AC689" s="8">
        <f t="shared" si="131"/>
        <v>0</v>
      </c>
      <c r="AD689" s="8">
        <f t="shared" si="132"/>
        <v>780</v>
      </c>
      <c r="AE689" s="8">
        <f t="shared" si="133"/>
        <v>468</v>
      </c>
      <c r="AF689" s="8">
        <f t="shared" si="134"/>
        <v>312</v>
      </c>
      <c r="AG689" s="9">
        <f t="shared" si="135"/>
        <v>0.4</v>
      </c>
      <c r="AH689" s="10">
        <f t="shared" si="136"/>
        <v>2025</v>
      </c>
      <c r="AI689" s="10">
        <f t="shared" si="137"/>
        <v>10</v>
      </c>
      <c r="AJ689" s="10" t="str">
        <f t="shared" si="138"/>
        <v>2025-10</v>
      </c>
      <c r="AK689" s="10" t="str">
        <f t="shared" si="139"/>
        <v>T4</v>
      </c>
      <c r="AL689" s="10" t="str">
        <f t="shared" si="140"/>
        <v>50+</v>
      </c>
      <c r="AM689" s="10" t="str">
        <f t="shared" si="141"/>
        <v>bon</v>
      </c>
      <c r="AN689" s="10" t="s">
        <v>2838</v>
      </c>
      <c r="AO689" s="10" t="str">
        <f t="shared" si="142"/>
        <v>Moyenne</v>
      </c>
    </row>
    <row r="690" spans="1:41">
      <c r="A690" t="s">
        <v>2102</v>
      </c>
      <c r="B690" s="2">
        <v>45919</v>
      </c>
      <c r="C690" t="s">
        <v>2103</v>
      </c>
      <c r="D690" t="s">
        <v>340</v>
      </c>
      <c r="E690" t="s">
        <v>61</v>
      </c>
      <c r="F690" t="s">
        <v>334</v>
      </c>
      <c r="G690">
        <v>2</v>
      </c>
      <c r="H690" s="4">
        <v>22</v>
      </c>
      <c r="I690" s="3">
        <v>0.1</v>
      </c>
      <c r="J690" t="s">
        <v>45</v>
      </c>
      <c r="K690" t="s">
        <v>46</v>
      </c>
      <c r="L690" t="s">
        <v>2104</v>
      </c>
      <c r="M690" t="s">
        <v>65</v>
      </c>
      <c r="N690" t="s">
        <v>49</v>
      </c>
      <c r="O690" t="s">
        <v>342</v>
      </c>
      <c r="P690" t="s">
        <v>103</v>
      </c>
      <c r="Q690" t="s">
        <v>143</v>
      </c>
      <c r="R690" t="s">
        <v>68</v>
      </c>
      <c r="S690" t="s">
        <v>69</v>
      </c>
      <c r="T690" t="s">
        <v>337</v>
      </c>
      <c r="U690" s="5">
        <v>27</v>
      </c>
      <c r="V690" s="5" t="s">
        <v>85</v>
      </c>
      <c r="W690" s="5">
        <v>19</v>
      </c>
      <c r="X690" s="5">
        <v>4.3</v>
      </c>
      <c r="Y690" s="5">
        <v>7</v>
      </c>
      <c r="Z690" s="5" t="s">
        <v>71</v>
      </c>
      <c r="AA690" s="6">
        <v>14.96</v>
      </c>
      <c r="AB690" s="8">
        <f t="shared" si="130"/>
        <v>44</v>
      </c>
      <c r="AC690" s="8">
        <f t="shared" si="131"/>
        <v>4.4000000000000004</v>
      </c>
      <c r="AD690" s="8">
        <f t="shared" si="132"/>
        <v>39.6</v>
      </c>
      <c r="AE690" s="8">
        <f t="shared" si="133"/>
        <v>29.92</v>
      </c>
      <c r="AF690" s="8">
        <f t="shared" si="134"/>
        <v>9.68</v>
      </c>
      <c r="AG690" s="9">
        <f t="shared" si="135"/>
        <v>0.24444444444444444</v>
      </c>
      <c r="AH690" s="10">
        <f t="shared" si="136"/>
        <v>2025</v>
      </c>
      <c r="AI690" s="10">
        <f t="shared" si="137"/>
        <v>9</v>
      </c>
      <c r="AJ690" s="10" t="str">
        <f t="shared" si="138"/>
        <v>2025-09</v>
      </c>
      <c r="AK690" s="10" t="str">
        <f t="shared" si="139"/>
        <v>T3</v>
      </c>
      <c r="AL690" s="10" t="str">
        <f t="shared" si="140"/>
        <v>22-29</v>
      </c>
      <c r="AM690" s="10" t="str">
        <f t="shared" si="141"/>
        <v>faible</v>
      </c>
      <c r="AN690" s="10" t="s">
        <v>2837</v>
      </c>
      <c r="AO690" s="10" t="str">
        <f t="shared" si="142"/>
        <v>Faible</v>
      </c>
    </row>
    <row r="691" spans="1:41">
      <c r="A691" t="s">
        <v>2105</v>
      </c>
      <c r="B691" s="2">
        <v>45791</v>
      </c>
      <c r="C691" t="s">
        <v>2106</v>
      </c>
      <c r="D691" t="s">
        <v>108</v>
      </c>
      <c r="E691" t="s">
        <v>88</v>
      </c>
      <c r="F691" t="s">
        <v>361</v>
      </c>
      <c r="G691">
        <v>2</v>
      </c>
      <c r="H691" s="4">
        <v>240</v>
      </c>
      <c r="I691" s="3">
        <v>0.08</v>
      </c>
      <c r="J691" t="s">
        <v>77</v>
      </c>
      <c r="K691" t="s">
        <v>46</v>
      </c>
      <c r="L691" t="s">
        <v>2107</v>
      </c>
      <c r="M691" t="s">
        <v>48</v>
      </c>
      <c r="N691" t="s">
        <v>112</v>
      </c>
      <c r="O691" t="s">
        <v>113</v>
      </c>
      <c r="P691" t="s">
        <v>82</v>
      </c>
      <c r="Q691" t="s">
        <v>114</v>
      </c>
      <c r="R691" t="s">
        <v>92</v>
      </c>
      <c r="S691" t="s">
        <v>48</v>
      </c>
      <c r="T691" t="s">
        <v>363</v>
      </c>
      <c r="U691" s="5">
        <v>52</v>
      </c>
      <c r="V691" s="5" t="s">
        <v>85</v>
      </c>
      <c r="W691" s="5">
        <v>55</v>
      </c>
      <c r="X691" s="5">
        <v>5.6</v>
      </c>
      <c r="Y691" s="5">
        <v>5</v>
      </c>
      <c r="Z691" s="5" t="s">
        <v>57</v>
      </c>
      <c r="AA691" s="6">
        <v>177.6</v>
      </c>
      <c r="AB691" s="8">
        <f t="shared" si="130"/>
        <v>480</v>
      </c>
      <c r="AC691" s="8">
        <f t="shared" si="131"/>
        <v>38.4</v>
      </c>
      <c r="AD691" s="8">
        <f t="shared" si="132"/>
        <v>441.6</v>
      </c>
      <c r="AE691" s="8">
        <f t="shared" si="133"/>
        <v>355.2</v>
      </c>
      <c r="AF691" s="8">
        <f t="shared" si="134"/>
        <v>86.400000000000034</v>
      </c>
      <c r="AG691" s="9">
        <f t="shared" si="135"/>
        <v>0.19565217391304354</v>
      </c>
      <c r="AH691" s="10">
        <f t="shared" si="136"/>
        <v>2025</v>
      </c>
      <c r="AI691" s="10">
        <f t="shared" si="137"/>
        <v>5</v>
      </c>
      <c r="AJ691" s="10" t="str">
        <f t="shared" si="138"/>
        <v>2025-05</v>
      </c>
      <c r="AK691" s="10" t="str">
        <f t="shared" si="139"/>
        <v>T2</v>
      </c>
      <c r="AL691" s="10" t="str">
        <f t="shared" si="140"/>
        <v>50+</v>
      </c>
      <c r="AM691" s="10" t="str">
        <f t="shared" si="141"/>
        <v>moyen</v>
      </c>
      <c r="AN691" s="10" t="s">
        <v>2839</v>
      </c>
      <c r="AO691" s="10" t="str">
        <f t="shared" si="142"/>
        <v>Faible</v>
      </c>
    </row>
    <row r="692" spans="1:41">
      <c r="A692" t="s">
        <v>2108</v>
      </c>
      <c r="B692" s="2">
        <v>45715</v>
      </c>
      <c r="C692" t="s">
        <v>2109</v>
      </c>
      <c r="D692" t="s">
        <v>148</v>
      </c>
      <c r="E692" t="s">
        <v>88</v>
      </c>
      <c r="F692" t="s">
        <v>968</v>
      </c>
      <c r="G692">
        <v>1</v>
      </c>
      <c r="H692" s="4">
        <v>110</v>
      </c>
      <c r="I692" s="3">
        <v>0.1</v>
      </c>
      <c r="J692" t="s">
        <v>90</v>
      </c>
      <c r="K692" t="s">
        <v>46</v>
      </c>
      <c r="L692" t="s">
        <v>2110</v>
      </c>
      <c r="M692" t="s">
        <v>123</v>
      </c>
      <c r="N692" t="s">
        <v>255</v>
      </c>
      <c r="O692" t="s">
        <v>151</v>
      </c>
      <c r="P692" t="s">
        <v>103</v>
      </c>
      <c r="Q692" t="s">
        <v>114</v>
      </c>
      <c r="R692" t="s">
        <v>92</v>
      </c>
      <c r="S692" t="s">
        <v>48</v>
      </c>
      <c r="T692" t="s">
        <v>970</v>
      </c>
      <c r="U692" s="5">
        <v>38</v>
      </c>
      <c r="V692" s="5" t="s">
        <v>85</v>
      </c>
      <c r="W692" s="5">
        <v>51</v>
      </c>
      <c r="X692" s="5">
        <v>4.8</v>
      </c>
      <c r="Y692" s="5">
        <v>6</v>
      </c>
      <c r="Z692" s="5" t="s">
        <v>57</v>
      </c>
      <c r="AA692" s="6">
        <v>72.599999999999994</v>
      </c>
      <c r="AB692" s="8">
        <f t="shared" si="130"/>
        <v>110</v>
      </c>
      <c r="AC692" s="8">
        <f t="shared" si="131"/>
        <v>11</v>
      </c>
      <c r="AD692" s="8">
        <f t="shared" si="132"/>
        <v>99</v>
      </c>
      <c r="AE692" s="8">
        <f t="shared" si="133"/>
        <v>72.599999999999994</v>
      </c>
      <c r="AF692" s="8">
        <f t="shared" si="134"/>
        <v>26.400000000000006</v>
      </c>
      <c r="AG692" s="9">
        <f t="shared" si="135"/>
        <v>0.26666666666666672</v>
      </c>
      <c r="AH692" s="10">
        <f t="shared" si="136"/>
        <v>2025</v>
      </c>
      <c r="AI692" s="10">
        <f t="shared" si="137"/>
        <v>2</v>
      </c>
      <c r="AJ692" s="10" t="str">
        <f t="shared" si="138"/>
        <v>2025-02</v>
      </c>
      <c r="AK692" s="10" t="str">
        <f t="shared" si="139"/>
        <v>T1</v>
      </c>
      <c r="AL692" s="10" t="str">
        <f t="shared" si="140"/>
        <v>30-39</v>
      </c>
      <c r="AM692" s="10" t="str">
        <f t="shared" si="141"/>
        <v>faible</v>
      </c>
      <c r="AN692" s="10" t="s">
        <v>2839</v>
      </c>
      <c r="AO692" s="10" t="str">
        <f t="shared" si="142"/>
        <v>Faible</v>
      </c>
    </row>
    <row r="693" spans="1:41">
      <c r="A693" t="s">
        <v>2111</v>
      </c>
      <c r="B693" s="2">
        <v>46011</v>
      </c>
      <c r="C693" t="s">
        <v>2112</v>
      </c>
      <c r="D693" t="s">
        <v>181</v>
      </c>
      <c r="E693" t="s">
        <v>43</v>
      </c>
      <c r="F693" t="s">
        <v>149</v>
      </c>
      <c r="G693">
        <v>3</v>
      </c>
      <c r="H693" s="4">
        <v>145</v>
      </c>
      <c r="I693" s="3">
        <v>0.05</v>
      </c>
      <c r="J693" t="s">
        <v>77</v>
      </c>
      <c r="K693" t="s">
        <v>46</v>
      </c>
      <c r="L693" t="s">
        <v>2113</v>
      </c>
      <c r="M693" t="s">
        <v>65</v>
      </c>
      <c r="N693" t="s">
        <v>112</v>
      </c>
      <c r="O693" t="s">
        <v>184</v>
      </c>
      <c r="P693" t="s">
        <v>103</v>
      </c>
      <c r="Q693" t="s">
        <v>52</v>
      </c>
      <c r="R693" t="s">
        <v>53</v>
      </c>
      <c r="S693" t="s">
        <v>54</v>
      </c>
      <c r="T693" t="s">
        <v>152</v>
      </c>
      <c r="U693" s="5">
        <v>33</v>
      </c>
      <c r="V693" s="5" t="s">
        <v>56</v>
      </c>
      <c r="W693" s="5">
        <v>60</v>
      </c>
      <c r="X693" s="5">
        <v>8.8000000000000007</v>
      </c>
      <c r="Y693" s="5">
        <v>1</v>
      </c>
      <c r="Z693" s="5" t="s">
        <v>71</v>
      </c>
      <c r="AA693" s="6">
        <v>97.15</v>
      </c>
      <c r="AB693" s="8">
        <f t="shared" si="130"/>
        <v>435</v>
      </c>
      <c r="AC693" s="8">
        <f t="shared" si="131"/>
        <v>21.75</v>
      </c>
      <c r="AD693" s="8">
        <f t="shared" si="132"/>
        <v>413.25</v>
      </c>
      <c r="AE693" s="8">
        <f t="shared" si="133"/>
        <v>291.45000000000005</v>
      </c>
      <c r="AF693" s="8">
        <f t="shared" si="134"/>
        <v>121.79999999999995</v>
      </c>
      <c r="AG693" s="9">
        <f t="shared" si="135"/>
        <v>0.29473684210526307</v>
      </c>
      <c r="AH693" s="10">
        <f t="shared" si="136"/>
        <v>2025</v>
      </c>
      <c r="AI693" s="10">
        <f t="shared" si="137"/>
        <v>12</v>
      </c>
      <c r="AJ693" s="10" t="str">
        <f t="shared" si="138"/>
        <v>2025-12</v>
      </c>
      <c r="AK693" s="10" t="str">
        <f t="shared" si="139"/>
        <v>T4</v>
      </c>
      <c r="AL693" s="10" t="str">
        <f t="shared" si="140"/>
        <v>30-39</v>
      </c>
      <c r="AM693" s="10" t="str">
        <f t="shared" si="141"/>
        <v>bon</v>
      </c>
      <c r="AN693" s="10" t="s">
        <v>2838</v>
      </c>
      <c r="AO693" s="10" t="str">
        <f t="shared" si="142"/>
        <v>Faible</v>
      </c>
    </row>
    <row r="694" spans="1:41">
      <c r="A694" t="s">
        <v>2114</v>
      </c>
      <c r="B694" s="2">
        <v>45919</v>
      </c>
      <c r="C694" t="s">
        <v>206</v>
      </c>
      <c r="D694" t="s">
        <v>162</v>
      </c>
      <c r="E694" t="s">
        <v>109</v>
      </c>
      <c r="F694" t="s">
        <v>429</v>
      </c>
      <c r="G694">
        <v>1</v>
      </c>
      <c r="H694" s="4">
        <v>35</v>
      </c>
      <c r="I694" s="3">
        <v>0</v>
      </c>
      <c r="J694" t="s">
        <v>45</v>
      </c>
      <c r="K694" t="s">
        <v>46</v>
      </c>
      <c r="L694" t="s">
        <v>209</v>
      </c>
      <c r="M694" t="s">
        <v>79</v>
      </c>
      <c r="N694" t="s">
        <v>80</v>
      </c>
      <c r="O694" t="s">
        <v>166</v>
      </c>
      <c r="P694" t="s">
        <v>103</v>
      </c>
      <c r="Q694" t="s">
        <v>143</v>
      </c>
      <c r="R694" t="s">
        <v>115</v>
      </c>
      <c r="S694" t="s">
        <v>65</v>
      </c>
      <c r="T694" t="s">
        <v>431</v>
      </c>
      <c r="U694" s="5">
        <v>37</v>
      </c>
      <c r="V694" s="5" t="s">
        <v>85</v>
      </c>
      <c r="W694" s="5">
        <v>21</v>
      </c>
      <c r="X694" s="5">
        <v>5.6</v>
      </c>
      <c r="Y694" s="5">
        <v>7</v>
      </c>
      <c r="Z694" s="5" t="s">
        <v>57</v>
      </c>
      <c r="AA694" s="6">
        <v>24.15</v>
      </c>
      <c r="AB694" s="8">
        <f t="shared" si="130"/>
        <v>35</v>
      </c>
      <c r="AC694" s="8">
        <f t="shared" si="131"/>
        <v>0</v>
      </c>
      <c r="AD694" s="8">
        <f t="shared" si="132"/>
        <v>35</v>
      </c>
      <c r="AE694" s="8">
        <f t="shared" si="133"/>
        <v>24.15</v>
      </c>
      <c r="AF694" s="8">
        <f t="shared" si="134"/>
        <v>10.850000000000001</v>
      </c>
      <c r="AG694" s="9">
        <f t="shared" si="135"/>
        <v>0.31000000000000005</v>
      </c>
      <c r="AH694" s="10">
        <f t="shared" si="136"/>
        <v>2025</v>
      </c>
      <c r="AI694" s="10">
        <f t="shared" si="137"/>
        <v>9</v>
      </c>
      <c r="AJ694" s="10" t="str">
        <f t="shared" si="138"/>
        <v>2025-09</v>
      </c>
      <c r="AK694" s="10" t="str">
        <f t="shared" si="139"/>
        <v>T3</v>
      </c>
      <c r="AL694" s="10" t="str">
        <f t="shared" si="140"/>
        <v>30-39</v>
      </c>
      <c r="AM694" s="10" t="str">
        <f t="shared" si="141"/>
        <v>moyen</v>
      </c>
      <c r="AN694" s="10" t="s">
        <v>2837</v>
      </c>
      <c r="AO694" s="10" t="str">
        <f t="shared" si="142"/>
        <v>Faible</v>
      </c>
    </row>
    <row r="695" spans="1:41">
      <c r="A695" t="s">
        <v>2115</v>
      </c>
      <c r="B695" s="2">
        <v>45856</v>
      </c>
      <c r="C695" t="s">
        <v>2116</v>
      </c>
      <c r="D695" t="s">
        <v>181</v>
      </c>
      <c r="E695" t="s">
        <v>277</v>
      </c>
      <c r="F695" t="s">
        <v>99</v>
      </c>
      <c r="G695">
        <v>4</v>
      </c>
      <c r="H695" s="4">
        <v>145</v>
      </c>
      <c r="I695" s="3">
        <v>0.02</v>
      </c>
      <c r="J695" t="s">
        <v>63</v>
      </c>
      <c r="K695" t="s">
        <v>46</v>
      </c>
      <c r="L695" t="s">
        <v>2117</v>
      </c>
      <c r="M695" t="s">
        <v>69</v>
      </c>
      <c r="N695" t="s">
        <v>49</v>
      </c>
      <c r="O695" t="s">
        <v>184</v>
      </c>
      <c r="P695" t="s">
        <v>103</v>
      </c>
      <c r="Q695" t="s">
        <v>52</v>
      </c>
      <c r="R695" t="s">
        <v>279</v>
      </c>
      <c r="S695" t="s">
        <v>54</v>
      </c>
      <c r="T695" t="s">
        <v>105</v>
      </c>
      <c r="U695" s="5">
        <v>58</v>
      </c>
      <c r="V695" s="5" t="s">
        <v>56</v>
      </c>
      <c r="W695" s="5">
        <v>20</v>
      </c>
      <c r="X695" s="5">
        <v>4.5</v>
      </c>
      <c r="Y695" s="5">
        <v>7</v>
      </c>
      <c r="Z695" s="5" t="s">
        <v>94</v>
      </c>
      <c r="AA695" s="6">
        <v>97.15</v>
      </c>
      <c r="AB695" s="8">
        <f t="shared" si="130"/>
        <v>580</v>
      </c>
      <c r="AC695" s="8">
        <f t="shared" si="131"/>
        <v>11.6</v>
      </c>
      <c r="AD695" s="8">
        <f t="shared" si="132"/>
        <v>568.4</v>
      </c>
      <c r="AE695" s="8">
        <f t="shared" si="133"/>
        <v>388.6</v>
      </c>
      <c r="AF695" s="8">
        <f t="shared" si="134"/>
        <v>179.79999999999995</v>
      </c>
      <c r="AG695" s="9">
        <f t="shared" si="135"/>
        <v>0.31632653061224481</v>
      </c>
      <c r="AH695" s="10">
        <f t="shared" si="136"/>
        <v>2025</v>
      </c>
      <c r="AI695" s="10">
        <f t="shared" si="137"/>
        <v>7</v>
      </c>
      <c r="AJ695" s="10" t="str">
        <f t="shared" si="138"/>
        <v>2025-07</v>
      </c>
      <c r="AK695" s="10" t="str">
        <f t="shared" si="139"/>
        <v>T3</v>
      </c>
      <c r="AL695" s="10" t="str">
        <f t="shared" si="140"/>
        <v>50+</v>
      </c>
      <c r="AM695" s="10" t="str">
        <f t="shared" si="141"/>
        <v>faible</v>
      </c>
      <c r="AN695" s="10" t="s">
        <v>2837</v>
      </c>
      <c r="AO695" s="10" t="str">
        <f t="shared" si="142"/>
        <v>Moyenne</v>
      </c>
    </row>
    <row r="696" spans="1:41">
      <c r="A696" t="s">
        <v>2118</v>
      </c>
      <c r="B696" s="2">
        <v>45963</v>
      </c>
      <c r="C696" t="s">
        <v>2119</v>
      </c>
      <c r="D696" t="s">
        <v>272</v>
      </c>
      <c r="E696" t="s">
        <v>277</v>
      </c>
      <c r="F696" t="s">
        <v>130</v>
      </c>
      <c r="G696">
        <v>2</v>
      </c>
      <c r="H696" s="4">
        <v>420</v>
      </c>
      <c r="I696" s="3">
        <v>0.08</v>
      </c>
      <c r="J696" t="s">
        <v>45</v>
      </c>
      <c r="K696" t="s">
        <v>46</v>
      </c>
      <c r="L696" t="s">
        <v>2120</v>
      </c>
      <c r="M696" t="s">
        <v>69</v>
      </c>
      <c r="N696" t="s">
        <v>80</v>
      </c>
      <c r="O696" t="s">
        <v>274</v>
      </c>
      <c r="P696" t="s">
        <v>133</v>
      </c>
      <c r="Q696" t="s">
        <v>114</v>
      </c>
      <c r="R696" t="s">
        <v>279</v>
      </c>
      <c r="S696" t="s">
        <v>54</v>
      </c>
      <c r="T696" t="s">
        <v>135</v>
      </c>
      <c r="U696" s="5">
        <v>27</v>
      </c>
      <c r="V696" s="5" t="s">
        <v>56</v>
      </c>
      <c r="W696" s="5">
        <v>26</v>
      </c>
      <c r="X696" s="5">
        <v>6</v>
      </c>
      <c r="Y696" s="5">
        <v>4</v>
      </c>
      <c r="Z696" s="5" t="s">
        <v>117</v>
      </c>
      <c r="AA696" s="6">
        <v>273</v>
      </c>
      <c r="AB696" s="8">
        <f t="shared" si="130"/>
        <v>840</v>
      </c>
      <c r="AC696" s="8">
        <f t="shared" si="131"/>
        <v>67.2</v>
      </c>
      <c r="AD696" s="8">
        <f t="shared" si="132"/>
        <v>772.8</v>
      </c>
      <c r="AE696" s="8">
        <f t="shared" si="133"/>
        <v>546</v>
      </c>
      <c r="AF696" s="8">
        <f t="shared" si="134"/>
        <v>226.79999999999995</v>
      </c>
      <c r="AG696" s="9">
        <f t="shared" si="135"/>
        <v>0.29347826086956519</v>
      </c>
      <c r="AH696" s="10">
        <f t="shared" si="136"/>
        <v>2025</v>
      </c>
      <c r="AI696" s="10">
        <f t="shared" si="137"/>
        <v>11</v>
      </c>
      <c r="AJ696" s="10" t="str">
        <f t="shared" si="138"/>
        <v>2025-11</v>
      </c>
      <c r="AK696" s="10" t="str">
        <f t="shared" si="139"/>
        <v>T4</v>
      </c>
      <c r="AL696" s="10" t="str">
        <f t="shared" si="140"/>
        <v>22-29</v>
      </c>
      <c r="AM696" s="10" t="str">
        <f t="shared" si="141"/>
        <v>moyen</v>
      </c>
      <c r="AN696" s="10" t="s">
        <v>2839</v>
      </c>
      <c r="AO696" s="10" t="str">
        <f t="shared" si="142"/>
        <v>Moyenne</v>
      </c>
    </row>
    <row r="697" spans="1:41">
      <c r="A697" t="s">
        <v>2121</v>
      </c>
      <c r="B697" s="2">
        <v>45683</v>
      </c>
      <c r="C697" t="s">
        <v>2122</v>
      </c>
      <c r="D697" t="s">
        <v>138</v>
      </c>
      <c r="E697" t="s">
        <v>120</v>
      </c>
      <c r="F697" t="s">
        <v>267</v>
      </c>
      <c r="G697">
        <v>5</v>
      </c>
      <c r="H697" s="4">
        <v>120</v>
      </c>
      <c r="I697" s="3">
        <v>0</v>
      </c>
      <c r="J697" t="s">
        <v>90</v>
      </c>
      <c r="K697" t="s">
        <v>46</v>
      </c>
      <c r="L697" t="s">
        <v>2123</v>
      </c>
      <c r="M697" t="s">
        <v>69</v>
      </c>
      <c r="N697" t="s">
        <v>80</v>
      </c>
      <c r="O697" t="s">
        <v>142</v>
      </c>
      <c r="P697" t="s">
        <v>51</v>
      </c>
      <c r="Q697" t="s">
        <v>143</v>
      </c>
      <c r="R697" t="s">
        <v>124</v>
      </c>
      <c r="S697" t="s">
        <v>48</v>
      </c>
      <c r="T697" t="s">
        <v>269</v>
      </c>
      <c r="U697" s="5">
        <v>39</v>
      </c>
      <c r="V697" s="5" t="s">
        <v>85</v>
      </c>
      <c r="W697" s="5">
        <v>49</v>
      </c>
      <c r="X697" s="5">
        <v>4.8</v>
      </c>
      <c r="Y697" s="5">
        <v>6</v>
      </c>
      <c r="Z697" s="5" t="s">
        <v>94</v>
      </c>
      <c r="AA697" s="6">
        <v>73.2</v>
      </c>
      <c r="AB697" s="8">
        <f t="shared" si="130"/>
        <v>600</v>
      </c>
      <c r="AC697" s="8">
        <f t="shared" si="131"/>
        <v>0</v>
      </c>
      <c r="AD697" s="8">
        <f t="shared" si="132"/>
        <v>600</v>
      </c>
      <c r="AE697" s="8">
        <f t="shared" si="133"/>
        <v>366</v>
      </c>
      <c r="AF697" s="8">
        <f t="shared" si="134"/>
        <v>234</v>
      </c>
      <c r="AG697" s="9">
        <f t="shared" si="135"/>
        <v>0.39</v>
      </c>
      <c r="AH697" s="10">
        <f t="shared" si="136"/>
        <v>2025</v>
      </c>
      <c r="AI697" s="10">
        <f t="shared" si="137"/>
        <v>1</v>
      </c>
      <c r="AJ697" s="10" t="str">
        <f t="shared" si="138"/>
        <v>2025-01</v>
      </c>
      <c r="AK697" s="10" t="str">
        <f t="shared" si="139"/>
        <v>T1</v>
      </c>
      <c r="AL697" s="10" t="str">
        <f t="shared" si="140"/>
        <v>30-39</v>
      </c>
      <c r="AM697" s="10" t="str">
        <f t="shared" si="141"/>
        <v>faible</v>
      </c>
      <c r="AN697" s="10" t="s">
        <v>2839</v>
      </c>
      <c r="AO697" s="10" t="str">
        <f t="shared" si="142"/>
        <v>Moyenne</v>
      </c>
    </row>
    <row r="698" spans="1:41">
      <c r="A698" t="s">
        <v>2124</v>
      </c>
      <c r="B698" s="2">
        <v>45846</v>
      </c>
      <c r="C698" t="s">
        <v>2125</v>
      </c>
      <c r="D698" t="s">
        <v>128</v>
      </c>
      <c r="E698" t="s">
        <v>345</v>
      </c>
      <c r="F698" t="s">
        <v>197</v>
      </c>
      <c r="G698">
        <v>1</v>
      </c>
      <c r="H698" s="4">
        <v>190</v>
      </c>
      <c r="I698" s="3">
        <v>0</v>
      </c>
      <c r="J698" t="s">
        <v>63</v>
      </c>
      <c r="K698" t="s">
        <v>46</v>
      </c>
      <c r="L698" t="s">
        <v>2126</v>
      </c>
      <c r="M698" t="s">
        <v>79</v>
      </c>
      <c r="N698" t="s">
        <v>101</v>
      </c>
      <c r="O698" t="s">
        <v>132</v>
      </c>
      <c r="P698" t="s">
        <v>133</v>
      </c>
      <c r="Q698" t="s">
        <v>52</v>
      </c>
      <c r="R698" t="s">
        <v>347</v>
      </c>
      <c r="S698" t="s">
        <v>54</v>
      </c>
      <c r="T698" t="s">
        <v>199</v>
      </c>
      <c r="U698" s="5">
        <v>25</v>
      </c>
      <c r="V698" s="5" t="s">
        <v>56</v>
      </c>
      <c r="W698" s="5">
        <v>48</v>
      </c>
      <c r="X698" s="5">
        <v>3.7</v>
      </c>
      <c r="Y698" s="5">
        <v>8</v>
      </c>
      <c r="Z698" s="5" t="s">
        <v>117</v>
      </c>
      <c r="AA698" s="6">
        <v>148.19999999999999</v>
      </c>
      <c r="AB698" s="8">
        <f t="shared" si="130"/>
        <v>190</v>
      </c>
      <c r="AC698" s="8">
        <f t="shared" si="131"/>
        <v>0</v>
      </c>
      <c r="AD698" s="8">
        <f t="shared" si="132"/>
        <v>190</v>
      </c>
      <c r="AE698" s="8">
        <f t="shared" si="133"/>
        <v>148.19999999999999</v>
      </c>
      <c r="AF698" s="8">
        <f t="shared" si="134"/>
        <v>41.800000000000011</v>
      </c>
      <c r="AG698" s="9">
        <f t="shared" si="135"/>
        <v>0.22000000000000006</v>
      </c>
      <c r="AH698" s="10">
        <f t="shared" si="136"/>
        <v>2025</v>
      </c>
      <c r="AI698" s="10">
        <f t="shared" si="137"/>
        <v>7</v>
      </c>
      <c r="AJ698" s="10" t="str">
        <f t="shared" si="138"/>
        <v>2025-07</v>
      </c>
      <c r="AK698" s="10" t="str">
        <f t="shared" si="139"/>
        <v>T3</v>
      </c>
      <c r="AL698" s="10" t="str">
        <f t="shared" si="140"/>
        <v>22-29</v>
      </c>
      <c r="AM698" s="10" t="str">
        <f t="shared" si="141"/>
        <v>faible</v>
      </c>
      <c r="AN698" s="10" t="s">
        <v>2837</v>
      </c>
      <c r="AO698" s="10" t="str">
        <f t="shared" si="142"/>
        <v>Faible</v>
      </c>
    </row>
    <row r="699" spans="1:41">
      <c r="A699" t="s">
        <v>2127</v>
      </c>
      <c r="B699" s="2">
        <v>45992</v>
      </c>
      <c r="C699" t="s">
        <v>2128</v>
      </c>
      <c r="D699" t="s">
        <v>174</v>
      </c>
      <c r="E699" t="s">
        <v>109</v>
      </c>
      <c r="F699" t="s">
        <v>369</v>
      </c>
      <c r="G699">
        <v>1</v>
      </c>
      <c r="H699" s="4">
        <v>780</v>
      </c>
      <c r="I699" s="3">
        <v>0.1</v>
      </c>
      <c r="J699" t="s">
        <v>90</v>
      </c>
      <c r="K699" t="s">
        <v>46</v>
      </c>
      <c r="L699" t="s">
        <v>2129</v>
      </c>
      <c r="M699" t="s">
        <v>48</v>
      </c>
      <c r="N699" t="s">
        <v>255</v>
      </c>
      <c r="O699" t="s">
        <v>177</v>
      </c>
      <c r="P699" t="s">
        <v>103</v>
      </c>
      <c r="Q699" t="s">
        <v>114</v>
      </c>
      <c r="R699" t="s">
        <v>115</v>
      </c>
      <c r="S699" t="s">
        <v>65</v>
      </c>
      <c r="T699" t="s">
        <v>371</v>
      </c>
      <c r="U699" s="5">
        <v>43</v>
      </c>
      <c r="V699" s="5" t="s">
        <v>85</v>
      </c>
      <c r="W699" s="5">
        <v>58</v>
      </c>
      <c r="X699" s="5">
        <v>3.5</v>
      </c>
      <c r="Y699" s="5">
        <v>8</v>
      </c>
      <c r="Z699" s="5" t="s">
        <v>57</v>
      </c>
      <c r="AA699" s="6">
        <v>468</v>
      </c>
      <c r="AB699" s="8">
        <f t="shared" si="130"/>
        <v>780</v>
      </c>
      <c r="AC699" s="8">
        <f t="shared" si="131"/>
        <v>78</v>
      </c>
      <c r="AD699" s="8">
        <f t="shared" si="132"/>
        <v>702</v>
      </c>
      <c r="AE699" s="8">
        <f t="shared" si="133"/>
        <v>468</v>
      </c>
      <c r="AF699" s="8">
        <f t="shared" si="134"/>
        <v>234</v>
      </c>
      <c r="AG699" s="9">
        <f t="shared" si="135"/>
        <v>0.33333333333333331</v>
      </c>
      <c r="AH699" s="10">
        <f t="shared" si="136"/>
        <v>2025</v>
      </c>
      <c r="AI699" s="10">
        <f t="shared" si="137"/>
        <v>12</v>
      </c>
      <c r="AJ699" s="10" t="str">
        <f t="shared" si="138"/>
        <v>2025-12</v>
      </c>
      <c r="AK699" s="10" t="str">
        <f t="shared" si="139"/>
        <v>T4</v>
      </c>
      <c r="AL699" s="10" t="str">
        <f t="shared" si="140"/>
        <v>40-49</v>
      </c>
      <c r="AM699" s="10" t="str">
        <f t="shared" si="141"/>
        <v>faible</v>
      </c>
      <c r="AN699" s="10" t="s">
        <v>2837</v>
      </c>
      <c r="AO699" s="10" t="str">
        <f t="shared" si="142"/>
        <v>Moyenne</v>
      </c>
    </row>
    <row r="700" spans="1:41">
      <c r="A700" t="s">
        <v>2130</v>
      </c>
      <c r="B700" s="2">
        <v>45762</v>
      </c>
      <c r="C700" t="s">
        <v>2131</v>
      </c>
      <c r="D700" t="s">
        <v>42</v>
      </c>
      <c r="E700" t="s">
        <v>109</v>
      </c>
      <c r="F700" t="s">
        <v>233</v>
      </c>
      <c r="G700">
        <v>1</v>
      </c>
      <c r="H700" s="4">
        <v>260</v>
      </c>
      <c r="I700" s="3">
        <v>0.08</v>
      </c>
      <c r="J700" t="s">
        <v>90</v>
      </c>
      <c r="K700" t="s">
        <v>46</v>
      </c>
      <c r="L700" t="s">
        <v>2132</v>
      </c>
      <c r="M700" t="s">
        <v>79</v>
      </c>
      <c r="N700" t="s">
        <v>49</v>
      </c>
      <c r="O700" t="s">
        <v>50</v>
      </c>
      <c r="P700" t="s">
        <v>51</v>
      </c>
      <c r="Q700" t="s">
        <v>52</v>
      </c>
      <c r="R700" t="s">
        <v>115</v>
      </c>
      <c r="S700" t="s">
        <v>65</v>
      </c>
      <c r="T700" t="s">
        <v>235</v>
      </c>
      <c r="U700" s="5">
        <v>26</v>
      </c>
      <c r="V700" s="5" t="s">
        <v>56</v>
      </c>
      <c r="W700" s="5">
        <v>15</v>
      </c>
      <c r="X700" s="5">
        <v>7.6</v>
      </c>
      <c r="Y700" s="5">
        <v>2</v>
      </c>
      <c r="Z700" s="5" t="s">
        <v>71</v>
      </c>
      <c r="AA700" s="6">
        <v>189.8</v>
      </c>
      <c r="AB700" s="8">
        <f t="shared" si="130"/>
        <v>260</v>
      </c>
      <c r="AC700" s="8">
        <f t="shared" si="131"/>
        <v>20.8</v>
      </c>
      <c r="AD700" s="8">
        <f t="shared" si="132"/>
        <v>239.2</v>
      </c>
      <c r="AE700" s="8">
        <f t="shared" si="133"/>
        <v>189.8</v>
      </c>
      <c r="AF700" s="8">
        <f t="shared" si="134"/>
        <v>49.399999999999977</v>
      </c>
      <c r="AG700" s="9">
        <f t="shared" si="135"/>
        <v>0.2065217391304347</v>
      </c>
      <c r="AH700" s="10">
        <f t="shared" si="136"/>
        <v>2025</v>
      </c>
      <c r="AI700" s="10">
        <f t="shared" si="137"/>
        <v>4</v>
      </c>
      <c r="AJ700" s="10" t="str">
        <f t="shared" si="138"/>
        <v>2025-04</v>
      </c>
      <c r="AK700" s="10" t="str">
        <f t="shared" si="139"/>
        <v>T2</v>
      </c>
      <c r="AL700" s="10" t="str">
        <f t="shared" si="140"/>
        <v>22-29</v>
      </c>
      <c r="AM700" s="10" t="str">
        <f t="shared" si="141"/>
        <v>bon</v>
      </c>
      <c r="AN700" s="10" t="s">
        <v>2838</v>
      </c>
      <c r="AO700" s="10" t="str">
        <f t="shared" si="142"/>
        <v>Faible</v>
      </c>
    </row>
    <row r="701" spans="1:41">
      <c r="A701" t="s">
        <v>2133</v>
      </c>
      <c r="B701" s="2">
        <v>45702</v>
      </c>
      <c r="C701" t="s">
        <v>1165</v>
      </c>
      <c r="D701" t="s">
        <v>128</v>
      </c>
      <c r="E701" t="s">
        <v>120</v>
      </c>
      <c r="F701" t="s">
        <v>388</v>
      </c>
      <c r="G701">
        <v>4</v>
      </c>
      <c r="H701" s="4">
        <v>190</v>
      </c>
      <c r="I701" s="3">
        <v>0.02</v>
      </c>
      <c r="J701" t="s">
        <v>77</v>
      </c>
      <c r="K701" t="s">
        <v>46</v>
      </c>
      <c r="L701" t="s">
        <v>1166</v>
      </c>
      <c r="M701" t="s">
        <v>69</v>
      </c>
      <c r="N701" t="s">
        <v>49</v>
      </c>
      <c r="O701" t="s">
        <v>132</v>
      </c>
      <c r="P701" t="s">
        <v>133</v>
      </c>
      <c r="Q701" t="s">
        <v>52</v>
      </c>
      <c r="R701" t="s">
        <v>124</v>
      </c>
      <c r="S701" t="s">
        <v>48</v>
      </c>
      <c r="T701" t="s">
        <v>390</v>
      </c>
      <c r="U701" s="5">
        <v>58</v>
      </c>
      <c r="V701" s="5" t="s">
        <v>56</v>
      </c>
      <c r="W701" s="5">
        <v>49</v>
      </c>
      <c r="X701" s="5">
        <v>4.5999999999999996</v>
      </c>
      <c r="Y701" s="5">
        <v>8</v>
      </c>
      <c r="Z701" s="5" t="s">
        <v>57</v>
      </c>
      <c r="AA701" s="6">
        <v>148.19999999999999</v>
      </c>
      <c r="AB701" s="8">
        <f t="shared" si="130"/>
        <v>760</v>
      </c>
      <c r="AC701" s="8">
        <f t="shared" si="131"/>
        <v>15.200000000000001</v>
      </c>
      <c r="AD701" s="8">
        <f t="shared" si="132"/>
        <v>744.8</v>
      </c>
      <c r="AE701" s="8">
        <f t="shared" si="133"/>
        <v>592.79999999999995</v>
      </c>
      <c r="AF701" s="8">
        <f t="shared" si="134"/>
        <v>152</v>
      </c>
      <c r="AG701" s="9">
        <f t="shared" si="135"/>
        <v>0.20408163265306123</v>
      </c>
      <c r="AH701" s="10">
        <f t="shared" si="136"/>
        <v>2025</v>
      </c>
      <c r="AI701" s="10">
        <f t="shared" si="137"/>
        <v>2</v>
      </c>
      <c r="AJ701" s="10" t="str">
        <f t="shared" si="138"/>
        <v>2025-02</v>
      </c>
      <c r="AK701" s="10" t="str">
        <f t="shared" si="139"/>
        <v>T1</v>
      </c>
      <c r="AL701" s="10" t="str">
        <f t="shared" si="140"/>
        <v>50+</v>
      </c>
      <c r="AM701" s="10" t="str">
        <f t="shared" si="141"/>
        <v>faible</v>
      </c>
      <c r="AN701" s="10" t="s">
        <v>2837</v>
      </c>
      <c r="AO701" s="10" t="str">
        <f t="shared" si="142"/>
        <v>Moyenne</v>
      </c>
    </row>
    <row r="702" spans="1:41">
      <c r="A702" t="s">
        <v>2134</v>
      </c>
      <c r="B702" s="2">
        <v>45691</v>
      </c>
      <c r="C702" t="s">
        <v>607</v>
      </c>
      <c r="D702" t="s">
        <v>174</v>
      </c>
      <c r="E702" t="s">
        <v>98</v>
      </c>
      <c r="F702" t="s">
        <v>429</v>
      </c>
      <c r="G702">
        <v>2</v>
      </c>
      <c r="H702" s="4">
        <v>780</v>
      </c>
      <c r="I702" s="3">
        <v>0.02</v>
      </c>
      <c r="J702" t="s">
        <v>90</v>
      </c>
      <c r="K702" t="s">
        <v>46</v>
      </c>
      <c r="L702" t="s">
        <v>608</v>
      </c>
      <c r="M702" t="s">
        <v>69</v>
      </c>
      <c r="N702" t="s">
        <v>80</v>
      </c>
      <c r="O702" t="s">
        <v>177</v>
      </c>
      <c r="P702" t="s">
        <v>103</v>
      </c>
      <c r="Q702" t="s">
        <v>114</v>
      </c>
      <c r="R702" t="s">
        <v>104</v>
      </c>
      <c r="S702" t="s">
        <v>79</v>
      </c>
      <c r="T702" t="s">
        <v>431</v>
      </c>
      <c r="U702" s="5">
        <v>22</v>
      </c>
      <c r="V702" s="5" t="s">
        <v>85</v>
      </c>
      <c r="W702" s="5">
        <v>20</v>
      </c>
      <c r="X702" s="5">
        <v>7.8</v>
      </c>
      <c r="Y702" s="5">
        <v>2</v>
      </c>
      <c r="Z702" s="5" t="s">
        <v>57</v>
      </c>
      <c r="AA702" s="6">
        <v>468</v>
      </c>
      <c r="AB702" s="8">
        <f t="shared" si="130"/>
        <v>1560</v>
      </c>
      <c r="AC702" s="8">
        <f t="shared" si="131"/>
        <v>31.2</v>
      </c>
      <c r="AD702" s="8">
        <f t="shared" si="132"/>
        <v>1528.8</v>
      </c>
      <c r="AE702" s="8">
        <f t="shared" si="133"/>
        <v>936</v>
      </c>
      <c r="AF702" s="8">
        <f t="shared" si="134"/>
        <v>592.79999999999995</v>
      </c>
      <c r="AG702" s="9">
        <f t="shared" si="135"/>
        <v>0.38775510204081631</v>
      </c>
      <c r="AH702" s="10">
        <f t="shared" si="136"/>
        <v>2025</v>
      </c>
      <c r="AI702" s="10">
        <f t="shared" si="137"/>
        <v>2</v>
      </c>
      <c r="AJ702" s="10" t="str">
        <f t="shared" si="138"/>
        <v>2025-02</v>
      </c>
      <c r="AK702" s="10" t="str">
        <f t="shared" si="139"/>
        <v>T1</v>
      </c>
      <c r="AL702" s="10" t="str">
        <f t="shared" si="140"/>
        <v>22-29</v>
      </c>
      <c r="AM702" s="10" t="str">
        <f t="shared" si="141"/>
        <v>bon</v>
      </c>
      <c r="AN702" s="10" t="s">
        <v>2838</v>
      </c>
      <c r="AO702" s="10" t="str">
        <f t="shared" si="142"/>
        <v>Elevée</v>
      </c>
    </row>
    <row r="703" spans="1:41">
      <c r="A703" t="s">
        <v>2135</v>
      </c>
      <c r="B703" s="2">
        <v>45794</v>
      </c>
      <c r="C703" t="s">
        <v>2136</v>
      </c>
      <c r="D703" t="s">
        <v>74</v>
      </c>
      <c r="E703" t="s">
        <v>277</v>
      </c>
      <c r="F703" t="s">
        <v>202</v>
      </c>
      <c r="G703">
        <v>1</v>
      </c>
      <c r="H703" s="4">
        <v>95</v>
      </c>
      <c r="I703" s="3">
        <v>0</v>
      </c>
      <c r="J703" t="s">
        <v>45</v>
      </c>
      <c r="K703" t="s">
        <v>46</v>
      </c>
      <c r="L703" t="s">
        <v>2137</v>
      </c>
      <c r="M703" t="s">
        <v>69</v>
      </c>
      <c r="N703" t="s">
        <v>80</v>
      </c>
      <c r="O703" t="s">
        <v>81</v>
      </c>
      <c r="P703" t="s">
        <v>82</v>
      </c>
      <c r="Q703" t="s">
        <v>52</v>
      </c>
      <c r="R703" t="s">
        <v>279</v>
      </c>
      <c r="S703" t="s">
        <v>54</v>
      </c>
      <c r="T703" t="s">
        <v>204</v>
      </c>
      <c r="U703" s="5">
        <v>54</v>
      </c>
      <c r="V703" s="5" t="s">
        <v>85</v>
      </c>
      <c r="W703" s="5">
        <v>56</v>
      </c>
      <c r="X703" s="5">
        <v>6.5</v>
      </c>
      <c r="Y703" s="5">
        <v>5</v>
      </c>
      <c r="Z703" s="5" t="s">
        <v>71</v>
      </c>
      <c r="AA703" s="6">
        <v>70.3</v>
      </c>
      <c r="AB703" s="8">
        <f t="shared" si="130"/>
        <v>95</v>
      </c>
      <c r="AC703" s="8">
        <f t="shared" si="131"/>
        <v>0</v>
      </c>
      <c r="AD703" s="8">
        <f t="shared" si="132"/>
        <v>95</v>
      </c>
      <c r="AE703" s="8">
        <f t="shared" si="133"/>
        <v>70.3</v>
      </c>
      <c r="AF703" s="8">
        <f t="shared" si="134"/>
        <v>24.700000000000003</v>
      </c>
      <c r="AG703" s="9">
        <f t="shared" si="135"/>
        <v>0.26</v>
      </c>
      <c r="AH703" s="10">
        <f t="shared" si="136"/>
        <v>2025</v>
      </c>
      <c r="AI703" s="10">
        <f t="shared" si="137"/>
        <v>5</v>
      </c>
      <c r="AJ703" s="10" t="str">
        <f t="shared" si="138"/>
        <v>2025-05</v>
      </c>
      <c r="AK703" s="10" t="str">
        <f t="shared" si="139"/>
        <v>T2</v>
      </c>
      <c r="AL703" s="10" t="str">
        <f t="shared" si="140"/>
        <v>50+</v>
      </c>
      <c r="AM703" s="10" t="str">
        <f t="shared" si="141"/>
        <v>moyen</v>
      </c>
      <c r="AN703" s="10" t="s">
        <v>2839</v>
      </c>
      <c r="AO703" s="10" t="str">
        <f t="shared" si="142"/>
        <v>Faible</v>
      </c>
    </row>
    <row r="704" spans="1:41">
      <c r="A704" t="s">
        <v>2138</v>
      </c>
      <c r="B704" s="2">
        <v>45946</v>
      </c>
      <c r="C704" t="s">
        <v>2139</v>
      </c>
      <c r="D704" t="s">
        <v>138</v>
      </c>
      <c r="E704" t="s">
        <v>219</v>
      </c>
      <c r="F704" t="s">
        <v>548</v>
      </c>
      <c r="G704">
        <v>5</v>
      </c>
      <c r="H704" s="4">
        <v>120</v>
      </c>
      <c r="I704" s="3">
        <v>0.02</v>
      </c>
      <c r="J704" t="s">
        <v>63</v>
      </c>
      <c r="K704" t="s">
        <v>46</v>
      </c>
      <c r="L704" t="s">
        <v>2140</v>
      </c>
      <c r="M704" t="s">
        <v>65</v>
      </c>
      <c r="N704" t="s">
        <v>112</v>
      </c>
      <c r="O704" t="s">
        <v>142</v>
      </c>
      <c r="P704" t="s">
        <v>51</v>
      </c>
      <c r="Q704" t="s">
        <v>143</v>
      </c>
      <c r="R704" t="s">
        <v>222</v>
      </c>
      <c r="S704" t="s">
        <v>123</v>
      </c>
      <c r="T704" t="s">
        <v>550</v>
      </c>
      <c r="U704" s="5">
        <v>42</v>
      </c>
      <c r="V704" s="5" t="s">
        <v>56</v>
      </c>
      <c r="W704" s="5">
        <v>39</v>
      </c>
      <c r="X704" s="5">
        <v>5.5</v>
      </c>
      <c r="Y704" s="5">
        <v>6</v>
      </c>
      <c r="Z704" s="5" t="s">
        <v>71</v>
      </c>
      <c r="AA704" s="6">
        <v>73.2</v>
      </c>
      <c r="AB704" s="8">
        <f t="shared" si="130"/>
        <v>600</v>
      </c>
      <c r="AC704" s="8">
        <f t="shared" si="131"/>
        <v>12</v>
      </c>
      <c r="AD704" s="8">
        <f t="shared" si="132"/>
        <v>588</v>
      </c>
      <c r="AE704" s="8">
        <f t="shared" si="133"/>
        <v>366</v>
      </c>
      <c r="AF704" s="8">
        <f t="shared" si="134"/>
        <v>222</v>
      </c>
      <c r="AG704" s="9">
        <f t="shared" si="135"/>
        <v>0.37755102040816324</v>
      </c>
      <c r="AH704" s="10">
        <f t="shared" si="136"/>
        <v>2025</v>
      </c>
      <c r="AI704" s="10">
        <f t="shared" si="137"/>
        <v>10</v>
      </c>
      <c r="AJ704" s="10" t="str">
        <f t="shared" si="138"/>
        <v>2025-10</v>
      </c>
      <c r="AK704" s="10" t="str">
        <f t="shared" si="139"/>
        <v>T4</v>
      </c>
      <c r="AL704" s="10" t="str">
        <f t="shared" si="140"/>
        <v>40-49</v>
      </c>
      <c r="AM704" s="10" t="str">
        <f t="shared" si="141"/>
        <v>moyen</v>
      </c>
      <c r="AN704" s="10" t="s">
        <v>2839</v>
      </c>
      <c r="AO704" s="10" t="str">
        <f t="shared" si="142"/>
        <v>Moyenne</v>
      </c>
    </row>
    <row r="705" spans="1:41">
      <c r="A705" t="s">
        <v>2141</v>
      </c>
      <c r="B705" s="2">
        <v>45964</v>
      </c>
      <c r="C705" t="s">
        <v>2142</v>
      </c>
      <c r="D705" t="s">
        <v>74</v>
      </c>
      <c r="E705" t="s">
        <v>315</v>
      </c>
      <c r="F705" t="s">
        <v>434</v>
      </c>
      <c r="G705">
        <v>2</v>
      </c>
      <c r="H705" s="4">
        <v>95</v>
      </c>
      <c r="I705" s="3">
        <v>0.1</v>
      </c>
      <c r="J705" t="s">
        <v>63</v>
      </c>
      <c r="K705" t="s">
        <v>46</v>
      </c>
      <c r="L705" t="s">
        <v>2143</v>
      </c>
      <c r="M705" t="s">
        <v>48</v>
      </c>
      <c r="N705" t="s">
        <v>49</v>
      </c>
      <c r="O705" t="s">
        <v>81</v>
      </c>
      <c r="P705" t="s">
        <v>82</v>
      </c>
      <c r="Q705" t="s">
        <v>52</v>
      </c>
      <c r="R705" t="s">
        <v>317</v>
      </c>
      <c r="S705" t="s">
        <v>69</v>
      </c>
      <c r="T705" t="s">
        <v>436</v>
      </c>
      <c r="U705" s="5">
        <v>42</v>
      </c>
      <c r="V705" s="5" t="s">
        <v>85</v>
      </c>
      <c r="W705" s="5">
        <v>54</v>
      </c>
      <c r="X705" s="5">
        <v>7.3</v>
      </c>
      <c r="Y705" s="5">
        <v>3</v>
      </c>
      <c r="Z705" s="5" t="s">
        <v>117</v>
      </c>
      <c r="AA705" s="6">
        <v>70.3</v>
      </c>
      <c r="AB705" s="8">
        <f t="shared" si="130"/>
        <v>190</v>
      </c>
      <c r="AC705" s="8">
        <f t="shared" si="131"/>
        <v>19</v>
      </c>
      <c r="AD705" s="8">
        <f t="shared" si="132"/>
        <v>171</v>
      </c>
      <c r="AE705" s="8">
        <f t="shared" si="133"/>
        <v>140.6</v>
      </c>
      <c r="AF705" s="8">
        <f t="shared" si="134"/>
        <v>30.400000000000006</v>
      </c>
      <c r="AG705" s="9">
        <f t="shared" si="135"/>
        <v>0.17777777777777781</v>
      </c>
      <c r="AH705" s="10">
        <f t="shared" si="136"/>
        <v>2025</v>
      </c>
      <c r="AI705" s="10">
        <f t="shared" si="137"/>
        <v>11</v>
      </c>
      <c r="AJ705" s="10" t="str">
        <f t="shared" si="138"/>
        <v>2025-11</v>
      </c>
      <c r="AK705" s="10" t="str">
        <f t="shared" si="139"/>
        <v>T4</v>
      </c>
      <c r="AL705" s="10" t="str">
        <f t="shared" si="140"/>
        <v>40-49</v>
      </c>
      <c r="AM705" s="10" t="str">
        <f t="shared" si="141"/>
        <v>bon</v>
      </c>
      <c r="AN705" s="10" t="s">
        <v>2838</v>
      </c>
      <c r="AO705" s="10" t="str">
        <f t="shared" si="142"/>
        <v>Faible</v>
      </c>
    </row>
    <row r="706" spans="1:41">
      <c r="A706" t="s">
        <v>2144</v>
      </c>
      <c r="B706" s="2">
        <v>45732</v>
      </c>
      <c r="C706" t="s">
        <v>494</v>
      </c>
      <c r="D706" t="s">
        <v>60</v>
      </c>
      <c r="E706" t="s">
        <v>61</v>
      </c>
      <c r="F706" t="s">
        <v>374</v>
      </c>
      <c r="G706">
        <v>2</v>
      </c>
      <c r="H706" s="4">
        <v>180</v>
      </c>
      <c r="I706" s="3">
        <v>0.08</v>
      </c>
      <c r="J706" t="s">
        <v>77</v>
      </c>
      <c r="K706" t="s">
        <v>46</v>
      </c>
      <c r="L706" t="s">
        <v>495</v>
      </c>
      <c r="M706" t="s">
        <v>65</v>
      </c>
      <c r="N706" t="s">
        <v>255</v>
      </c>
      <c r="O706" t="s">
        <v>66</v>
      </c>
      <c r="P706" t="s">
        <v>67</v>
      </c>
      <c r="Q706" t="s">
        <v>52</v>
      </c>
      <c r="R706" t="s">
        <v>68</v>
      </c>
      <c r="S706" t="s">
        <v>69</v>
      </c>
      <c r="T706" t="s">
        <v>376</v>
      </c>
      <c r="U706" s="5">
        <v>40</v>
      </c>
      <c r="V706" s="5" t="s">
        <v>56</v>
      </c>
      <c r="W706" s="5">
        <v>67</v>
      </c>
      <c r="X706" s="5">
        <v>5.5</v>
      </c>
      <c r="Y706" s="5">
        <v>6</v>
      </c>
      <c r="Z706" s="5" t="s">
        <v>94</v>
      </c>
      <c r="AA706" s="6">
        <v>129.6</v>
      </c>
      <c r="AB706" s="8">
        <f t="shared" si="130"/>
        <v>360</v>
      </c>
      <c r="AC706" s="8">
        <f t="shared" si="131"/>
        <v>28.8</v>
      </c>
      <c r="AD706" s="8">
        <f t="shared" si="132"/>
        <v>331.2</v>
      </c>
      <c r="AE706" s="8">
        <f t="shared" si="133"/>
        <v>259.2</v>
      </c>
      <c r="AF706" s="8">
        <f t="shared" si="134"/>
        <v>72</v>
      </c>
      <c r="AG706" s="9">
        <f t="shared" si="135"/>
        <v>0.21739130434782608</v>
      </c>
      <c r="AH706" s="10">
        <f t="shared" si="136"/>
        <v>2025</v>
      </c>
      <c r="AI706" s="10">
        <f t="shared" si="137"/>
        <v>3</v>
      </c>
      <c r="AJ706" s="10" t="str">
        <f t="shared" si="138"/>
        <v>2025-03</v>
      </c>
      <c r="AK706" s="10" t="str">
        <f t="shared" si="139"/>
        <v>T1</v>
      </c>
      <c r="AL706" s="10" t="str">
        <f t="shared" si="140"/>
        <v>40-49</v>
      </c>
      <c r="AM706" s="10" t="str">
        <f t="shared" si="141"/>
        <v>moyen</v>
      </c>
      <c r="AN706" s="10" t="s">
        <v>2839</v>
      </c>
      <c r="AO706" s="10" t="str">
        <f t="shared" si="142"/>
        <v>Faible</v>
      </c>
    </row>
    <row r="707" spans="1:41">
      <c r="A707" t="s">
        <v>2145</v>
      </c>
      <c r="B707" s="2">
        <v>45807</v>
      </c>
      <c r="C707" t="s">
        <v>2146</v>
      </c>
      <c r="D707" t="s">
        <v>60</v>
      </c>
      <c r="E707" t="s">
        <v>139</v>
      </c>
      <c r="F707" t="s">
        <v>328</v>
      </c>
      <c r="G707">
        <v>1</v>
      </c>
      <c r="H707" s="4">
        <v>180</v>
      </c>
      <c r="I707" s="3">
        <v>0.08</v>
      </c>
      <c r="J707" t="s">
        <v>63</v>
      </c>
      <c r="K707" t="s">
        <v>46</v>
      </c>
      <c r="L707" t="s">
        <v>2147</v>
      </c>
      <c r="M707" t="s">
        <v>65</v>
      </c>
      <c r="N707" t="s">
        <v>80</v>
      </c>
      <c r="O707" t="s">
        <v>66</v>
      </c>
      <c r="P707" t="s">
        <v>67</v>
      </c>
      <c r="Q707" t="s">
        <v>52</v>
      </c>
      <c r="R707" t="s">
        <v>144</v>
      </c>
      <c r="S707" t="s">
        <v>65</v>
      </c>
      <c r="T707" t="s">
        <v>330</v>
      </c>
      <c r="U707" s="5">
        <v>47</v>
      </c>
      <c r="V707" s="5" t="s">
        <v>85</v>
      </c>
      <c r="W707" s="5">
        <v>60</v>
      </c>
      <c r="X707" s="5">
        <v>4.0999999999999996</v>
      </c>
      <c r="Y707" s="5">
        <v>7</v>
      </c>
      <c r="Z707" s="5" t="s">
        <v>71</v>
      </c>
      <c r="AA707" s="6">
        <v>129.6</v>
      </c>
      <c r="AB707" s="8">
        <f t="shared" ref="AB707:AB770" si="143">G707*H707</f>
        <v>180</v>
      </c>
      <c r="AC707" s="8">
        <f t="shared" ref="AC707:AC770" si="144">I707*AB707</f>
        <v>14.4</v>
      </c>
      <c r="AD707" s="8">
        <f t="shared" ref="AD707:AD770" si="145">AB707-AC707</f>
        <v>165.6</v>
      </c>
      <c r="AE707" s="8">
        <f t="shared" ref="AE707:AE770" si="146">G707*AA707</f>
        <v>129.6</v>
      </c>
      <c r="AF707" s="8">
        <f t="shared" ref="AF707:AF770" si="147">AD707-AE707</f>
        <v>36</v>
      </c>
      <c r="AG707" s="9">
        <f t="shared" ref="AG707:AG770" si="148">IFERROR(AF707/AD707,)</f>
        <v>0.21739130434782608</v>
      </c>
      <c r="AH707" s="10">
        <f t="shared" ref="AH707:AH770" si="149">YEAR(B707)</f>
        <v>2025</v>
      </c>
      <c r="AI707" s="10">
        <f t="shared" ref="AI707:AI770" si="150">MONTH(B707)</f>
        <v>5</v>
      </c>
      <c r="AJ707" s="10" t="str">
        <f t="shared" ref="AJ707:AJ770" si="151">TEXT(B707,"yyyy-mm")</f>
        <v>2025-05</v>
      </c>
      <c r="AK707" s="10" t="str">
        <f t="shared" ref="AK707:AK770" si="152">"T"&amp;ROUNDUP(MONTH(B707)/3,0)</f>
        <v>T2</v>
      </c>
      <c r="AL707" s="10" t="str">
        <f t="shared" ref="AL707:AL770" si="153">IF(U707&lt;30,"22-29",IF(U707&lt;40,"30-39",IF(U707&lt;50,"40-49","50+")))</f>
        <v>40-49</v>
      </c>
      <c r="AM707" s="10" t="str">
        <f t="shared" ref="AM707:AM770" si="154">IF(X707&lt;5,"faible",IF(X707&lt;7,"moyen",IF(X707&lt;9,"bon","excellent")))</f>
        <v>faible</v>
      </c>
      <c r="AN707" s="10" t="s">
        <v>2837</v>
      </c>
      <c r="AO707" s="10" t="str">
        <f t="shared" ref="AO707:AO770" si="155">IF(AD707&gt;=1000,"Elevée",IF(AD707&gt;=500,"Moyenne","Faible"))</f>
        <v>Faible</v>
      </c>
    </row>
    <row r="708" spans="1:41">
      <c r="A708" t="s">
        <v>2148</v>
      </c>
      <c r="B708" s="2">
        <v>46006</v>
      </c>
      <c r="C708" t="s">
        <v>2149</v>
      </c>
      <c r="D708" t="s">
        <v>155</v>
      </c>
      <c r="E708" t="s">
        <v>61</v>
      </c>
      <c r="F708" t="s">
        <v>548</v>
      </c>
      <c r="G708">
        <v>1</v>
      </c>
      <c r="H708" s="4">
        <v>48</v>
      </c>
      <c r="I708" s="3">
        <v>0</v>
      </c>
      <c r="J708" t="s">
        <v>77</v>
      </c>
      <c r="K708" t="s">
        <v>46</v>
      </c>
      <c r="L708" t="s">
        <v>2150</v>
      </c>
      <c r="M708" t="s">
        <v>79</v>
      </c>
      <c r="N708" t="s">
        <v>80</v>
      </c>
      <c r="O708" t="s">
        <v>158</v>
      </c>
      <c r="P708" t="s">
        <v>51</v>
      </c>
      <c r="Q708" t="s">
        <v>143</v>
      </c>
      <c r="R708" t="s">
        <v>68</v>
      </c>
      <c r="S708" t="s">
        <v>69</v>
      </c>
      <c r="T708" t="s">
        <v>550</v>
      </c>
      <c r="U708" s="5">
        <v>32</v>
      </c>
      <c r="V708" s="5" t="s">
        <v>85</v>
      </c>
      <c r="W708" s="5">
        <v>10</v>
      </c>
      <c r="X708" s="5">
        <v>4.2</v>
      </c>
      <c r="Y708" s="5">
        <v>9</v>
      </c>
      <c r="Z708" s="5" t="s">
        <v>117</v>
      </c>
      <c r="AA708" s="6">
        <v>37.44</v>
      </c>
      <c r="AB708" s="8">
        <f t="shared" si="143"/>
        <v>48</v>
      </c>
      <c r="AC708" s="8">
        <f t="shared" si="144"/>
        <v>0</v>
      </c>
      <c r="AD708" s="8">
        <f t="shared" si="145"/>
        <v>48</v>
      </c>
      <c r="AE708" s="8">
        <f t="shared" si="146"/>
        <v>37.44</v>
      </c>
      <c r="AF708" s="8">
        <f t="shared" si="147"/>
        <v>10.560000000000002</v>
      </c>
      <c r="AG708" s="9">
        <f t="shared" si="148"/>
        <v>0.22000000000000006</v>
      </c>
      <c r="AH708" s="10">
        <f t="shared" si="149"/>
        <v>2025</v>
      </c>
      <c r="AI708" s="10">
        <f t="shared" si="150"/>
        <v>12</v>
      </c>
      <c r="AJ708" s="10" t="str">
        <f t="shared" si="151"/>
        <v>2025-12</v>
      </c>
      <c r="AK708" s="10" t="str">
        <f t="shared" si="152"/>
        <v>T4</v>
      </c>
      <c r="AL708" s="10" t="str">
        <f t="shared" si="153"/>
        <v>30-39</v>
      </c>
      <c r="AM708" s="10" t="str">
        <f t="shared" si="154"/>
        <v>faible</v>
      </c>
      <c r="AN708" s="10" t="s">
        <v>2837</v>
      </c>
      <c r="AO708" s="10" t="str">
        <f t="shared" si="155"/>
        <v>Faible</v>
      </c>
    </row>
    <row r="709" spans="1:41">
      <c r="A709" t="s">
        <v>2151</v>
      </c>
      <c r="B709" s="2">
        <v>45872</v>
      </c>
      <c r="C709" t="s">
        <v>2152</v>
      </c>
      <c r="D709" t="s">
        <v>148</v>
      </c>
      <c r="E709" t="s">
        <v>214</v>
      </c>
      <c r="F709" t="s">
        <v>487</v>
      </c>
      <c r="G709">
        <v>5</v>
      </c>
      <c r="H709" s="4">
        <v>110</v>
      </c>
      <c r="I709" s="3">
        <v>0.05</v>
      </c>
      <c r="J709" t="s">
        <v>90</v>
      </c>
      <c r="K709" t="s">
        <v>46</v>
      </c>
      <c r="L709" t="s">
        <v>2153</v>
      </c>
      <c r="M709" t="s">
        <v>48</v>
      </c>
      <c r="N709" t="s">
        <v>112</v>
      </c>
      <c r="O709" t="s">
        <v>151</v>
      </c>
      <c r="P709" t="s">
        <v>103</v>
      </c>
      <c r="Q709" t="s">
        <v>114</v>
      </c>
      <c r="R709" t="s">
        <v>216</v>
      </c>
      <c r="S709" t="s">
        <v>65</v>
      </c>
      <c r="T709" t="s">
        <v>489</v>
      </c>
      <c r="U709" s="5">
        <v>54</v>
      </c>
      <c r="V709" s="5" t="s">
        <v>56</v>
      </c>
      <c r="W709" s="5">
        <v>44</v>
      </c>
      <c r="X709" s="5">
        <v>7.5</v>
      </c>
      <c r="Y709" s="5">
        <v>3</v>
      </c>
      <c r="Z709" s="5" t="s">
        <v>117</v>
      </c>
      <c r="AA709" s="6">
        <v>72.599999999999994</v>
      </c>
      <c r="AB709" s="8">
        <f t="shared" si="143"/>
        <v>550</v>
      </c>
      <c r="AC709" s="8">
        <f t="shared" si="144"/>
        <v>27.5</v>
      </c>
      <c r="AD709" s="8">
        <f t="shared" si="145"/>
        <v>522.5</v>
      </c>
      <c r="AE709" s="8">
        <f t="shared" si="146"/>
        <v>363</v>
      </c>
      <c r="AF709" s="8">
        <f t="shared" si="147"/>
        <v>159.5</v>
      </c>
      <c r="AG709" s="9">
        <f t="shared" si="148"/>
        <v>0.30526315789473685</v>
      </c>
      <c r="AH709" s="10">
        <f t="shared" si="149"/>
        <v>2025</v>
      </c>
      <c r="AI709" s="10">
        <f t="shared" si="150"/>
        <v>8</v>
      </c>
      <c r="AJ709" s="10" t="str">
        <f t="shared" si="151"/>
        <v>2025-08</v>
      </c>
      <c r="AK709" s="10" t="str">
        <f t="shared" si="152"/>
        <v>T3</v>
      </c>
      <c r="AL709" s="10" t="str">
        <f t="shared" si="153"/>
        <v>50+</v>
      </c>
      <c r="AM709" s="10" t="str">
        <f t="shared" si="154"/>
        <v>bon</v>
      </c>
      <c r="AN709" s="10" t="s">
        <v>2838</v>
      </c>
      <c r="AO709" s="10" t="str">
        <f t="shared" si="155"/>
        <v>Moyenne</v>
      </c>
    </row>
    <row r="710" spans="1:41">
      <c r="A710" t="s">
        <v>2154</v>
      </c>
      <c r="B710" s="2">
        <v>45742</v>
      </c>
      <c r="C710" t="s">
        <v>2155</v>
      </c>
      <c r="D710" t="s">
        <v>340</v>
      </c>
      <c r="E710" t="s">
        <v>61</v>
      </c>
      <c r="F710" t="s">
        <v>424</v>
      </c>
      <c r="G710">
        <v>4</v>
      </c>
      <c r="H710" s="4">
        <v>22</v>
      </c>
      <c r="I710" s="3">
        <v>0.08</v>
      </c>
      <c r="J710" t="s">
        <v>77</v>
      </c>
      <c r="K710" t="s">
        <v>46</v>
      </c>
      <c r="L710" t="s">
        <v>2156</v>
      </c>
      <c r="M710" t="s">
        <v>69</v>
      </c>
      <c r="N710" t="s">
        <v>112</v>
      </c>
      <c r="O710" t="s">
        <v>342</v>
      </c>
      <c r="P710" t="s">
        <v>103</v>
      </c>
      <c r="Q710" t="s">
        <v>143</v>
      </c>
      <c r="R710" t="s">
        <v>68</v>
      </c>
      <c r="S710" t="s">
        <v>69</v>
      </c>
      <c r="T710" t="s">
        <v>426</v>
      </c>
      <c r="U710" s="5">
        <v>25</v>
      </c>
      <c r="V710" s="5" t="s">
        <v>56</v>
      </c>
      <c r="W710" s="5">
        <v>71</v>
      </c>
      <c r="X710" s="5">
        <v>3.4</v>
      </c>
      <c r="Y710" s="5">
        <v>9</v>
      </c>
      <c r="Z710" s="5" t="s">
        <v>94</v>
      </c>
      <c r="AA710" s="6">
        <v>14.96</v>
      </c>
      <c r="AB710" s="8">
        <f t="shared" si="143"/>
        <v>88</v>
      </c>
      <c r="AC710" s="8">
        <f t="shared" si="144"/>
        <v>7.04</v>
      </c>
      <c r="AD710" s="8">
        <f t="shared" si="145"/>
        <v>80.959999999999994</v>
      </c>
      <c r="AE710" s="8">
        <f t="shared" si="146"/>
        <v>59.84</v>
      </c>
      <c r="AF710" s="8">
        <f t="shared" si="147"/>
        <v>21.11999999999999</v>
      </c>
      <c r="AG710" s="9">
        <f t="shared" si="148"/>
        <v>0.26086956521739119</v>
      </c>
      <c r="AH710" s="10">
        <f t="shared" si="149"/>
        <v>2025</v>
      </c>
      <c r="AI710" s="10">
        <f t="shared" si="150"/>
        <v>3</v>
      </c>
      <c r="AJ710" s="10" t="str">
        <f t="shared" si="151"/>
        <v>2025-03</v>
      </c>
      <c r="AK710" s="10" t="str">
        <f t="shared" si="152"/>
        <v>T1</v>
      </c>
      <c r="AL710" s="10" t="str">
        <f t="shared" si="153"/>
        <v>22-29</v>
      </c>
      <c r="AM710" s="10" t="str">
        <f t="shared" si="154"/>
        <v>faible</v>
      </c>
      <c r="AN710" s="10" t="s">
        <v>2837</v>
      </c>
      <c r="AO710" s="10" t="str">
        <f t="shared" si="155"/>
        <v>Faible</v>
      </c>
    </row>
    <row r="711" spans="1:41">
      <c r="A711" t="s">
        <v>2157</v>
      </c>
      <c r="B711" s="2">
        <v>45860</v>
      </c>
      <c r="C711" t="s">
        <v>2158</v>
      </c>
      <c r="D711" t="s">
        <v>60</v>
      </c>
      <c r="E711" t="s">
        <v>61</v>
      </c>
      <c r="F711" t="s">
        <v>323</v>
      </c>
      <c r="G711">
        <v>3</v>
      </c>
      <c r="H711" s="4">
        <v>180</v>
      </c>
      <c r="I711" s="3">
        <v>0.1</v>
      </c>
      <c r="J711" t="s">
        <v>63</v>
      </c>
      <c r="K711" t="s">
        <v>46</v>
      </c>
      <c r="L711" t="s">
        <v>2159</v>
      </c>
      <c r="M711" t="s">
        <v>79</v>
      </c>
      <c r="N711" t="s">
        <v>80</v>
      </c>
      <c r="O711" t="s">
        <v>66</v>
      </c>
      <c r="P711" t="s">
        <v>67</v>
      </c>
      <c r="Q711" t="s">
        <v>52</v>
      </c>
      <c r="R711" t="s">
        <v>68</v>
      </c>
      <c r="S711" t="s">
        <v>69</v>
      </c>
      <c r="T711" t="s">
        <v>325</v>
      </c>
      <c r="U711" s="5">
        <v>27</v>
      </c>
      <c r="V711" s="5" t="s">
        <v>85</v>
      </c>
      <c r="W711" s="5">
        <v>32</v>
      </c>
      <c r="X711" s="5">
        <v>5.5</v>
      </c>
      <c r="Y711" s="5">
        <v>6</v>
      </c>
      <c r="Z711" s="5" t="s">
        <v>94</v>
      </c>
      <c r="AA711" s="6">
        <v>129.6</v>
      </c>
      <c r="AB711" s="8">
        <f t="shared" si="143"/>
        <v>540</v>
      </c>
      <c r="AC711" s="8">
        <f t="shared" si="144"/>
        <v>54</v>
      </c>
      <c r="AD711" s="8">
        <f t="shared" si="145"/>
        <v>486</v>
      </c>
      <c r="AE711" s="8">
        <f t="shared" si="146"/>
        <v>388.79999999999995</v>
      </c>
      <c r="AF711" s="8">
        <f t="shared" si="147"/>
        <v>97.200000000000045</v>
      </c>
      <c r="AG711" s="9">
        <f t="shared" si="148"/>
        <v>0.20000000000000009</v>
      </c>
      <c r="AH711" s="10">
        <f t="shared" si="149"/>
        <v>2025</v>
      </c>
      <c r="AI711" s="10">
        <f t="shared" si="150"/>
        <v>7</v>
      </c>
      <c r="AJ711" s="10" t="str">
        <f t="shared" si="151"/>
        <v>2025-07</v>
      </c>
      <c r="AK711" s="10" t="str">
        <f t="shared" si="152"/>
        <v>T3</v>
      </c>
      <c r="AL711" s="10" t="str">
        <f t="shared" si="153"/>
        <v>22-29</v>
      </c>
      <c r="AM711" s="10" t="str">
        <f t="shared" si="154"/>
        <v>moyen</v>
      </c>
      <c r="AN711" s="10" t="s">
        <v>2839</v>
      </c>
      <c r="AO711" s="10" t="str">
        <f t="shared" si="155"/>
        <v>Faible</v>
      </c>
    </row>
    <row r="712" spans="1:41">
      <c r="A712" t="s">
        <v>2160</v>
      </c>
      <c r="B712" s="2">
        <v>45985</v>
      </c>
      <c r="C712" t="s">
        <v>2161</v>
      </c>
      <c r="D712" t="s">
        <v>333</v>
      </c>
      <c r="E712" t="s">
        <v>345</v>
      </c>
      <c r="F712" t="s">
        <v>156</v>
      </c>
      <c r="G712">
        <v>3</v>
      </c>
      <c r="H712" s="4">
        <v>65</v>
      </c>
      <c r="I712" s="3">
        <v>0</v>
      </c>
      <c r="J712" t="s">
        <v>45</v>
      </c>
      <c r="K712" t="s">
        <v>46</v>
      </c>
      <c r="L712" t="s">
        <v>2162</v>
      </c>
      <c r="M712" t="s">
        <v>65</v>
      </c>
      <c r="N712" t="s">
        <v>112</v>
      </c>
      <c r="O712" t="s">
        <v>336</v>
      </c>
      <c r="P712" t="s">
        <v>51</v>
      </c>
      <c r="Q712" t="s">
        <v>52</v>
      </c>
      <c r="R712" t="s">
        <v>347</v>
      </c>
      <c r="S712" t="s">
        <v>54</v>
      </c>
      <c r="T712" t="s">
        <v>159</v>
      </c>
      <c r="U712" s="5">
        <v>25</v>
      </c>
      <c r="V712" s="5" t="s">
        <v>56</v>
      </c>
      <c r="W712" s="5">
        <v>55</v>
      </c>
      <c r="X712" s="5">
        <v>6.5</v>
      </c>
      <c r="Y712" s="5">
        <v>4</v>
      </c>
      <c r="Z712" s="5" t="s">
        <v>57</v>
      </c>
      <c r="AA712" s="6">
        <v>47.45</v>
      </c>
      <c r="AB712" s="8">
        <f t="shared" si="143"/>
        <v>195</v>
      </c>
      <c r="AC712" s="8">
        <f t="shared" si="144"/>
        <v>0</v>
      </c>
      <c r="AD712" s="8">
        <f t="shared" si="145"/>
        <v>195</v>
      </c>
      <c r="AE712" s="8">
        <f t="shared" si="146"/>
        <v>142.35000000000002</v>
      </c>
      <c r="AF712" s="8">
        <f t="shared" si="147"/>
        <v>52.649999999999977</v>
      </c>
      <c r="AG712" s="9">
        <f t="shared" si="148"/>
        <v>0.26999999999999991</v>
      </c>
      <c r="AH712" s="10">
        <f t="shared" si="149"/>
        <v>2025</v>
      </c>
      <c r="AI712" s="10">
        <f t="shared" si="150"/>
        <v>11</v>
      </c>
      <c r="AJ712" s="10" t="str">
        <f t="shared" si="151"/>
        <v>2025-11</v>
      </c>
      <c r="AK712" s="10" t="str">
        <f t="shared" si="152"/>
        <v>T4</v>
      </c>
      <c r="AL712" s="10" t="str">
        <f t="shared" si="153"/>
        <v>22-29</v>
      </c>
      <c r="AM712" s="10" t="str">
        <f t="shared" si="154"/>
        <v>moyen</v>
      </c>
      <c r="AN712" s="10" t="s">
        <v>2839</v>
      </c>
      <c r="AO712" s="10" t="str">
        <f t="shared" si="155"/>
        <v>Faible</v>
      </c>
    </row>
    <row r="713" spans="1:41">
      <c r="A713" t="s">
        <v>2163</v>
      </c>
      <c r="B713" s="2">
        <v>45694</v>
      </c>
      <c r="C713" t="s">
        <v>2164</v>
      </c>
      <c r="D713" t="s">
        <v>97</v>
      </c>
      <c r="E713" t="s">
        <v>277</v>
      </c>
      <c r="F713" t="s">
        <v>813</v>
      </c>
      <c r="G713">
        <v>3</v>
      </c>
      <c r="H713" s="4">
        <v>520</v>
      </c>
      <c r="I713" s="3">
        <v>0</v>
      </c>
      <c r="J713" t="s">
        <v>45</v>
      </c>
      <c r="K713" t="s">
        <v>46</v>
      </c>
      <c r="L713" t="s">
        <v>2165</v>
      </c>
      <c r="M713" t="s">
        <v>79</v>
      </c>
      <c r="N713" t="s">
        <v>112</v>
      </c>
      <c r="O713" t="s">
        <v>102</v>
      </c>
      <c r="P713" t="s">
        <v>103</v>
      </c>
      <c r="Q713" t="s">
        <v>52</v>
      </c>
      <c r="R713" t="s">
        <v>279</v>
      </c>
      <c r="S713" t="s">
        <v>54</v>
      </c>
      <c r="T713" t="s">
        <v>815</v>
      </c>
      <c r="U713" s="5">
        <v>25</v>
      </c>
      <c r="V713" s="5" t="s">
        <v>56</v>
      </c>
      <c r="W713" s="5">
        <v>20</v>
      </c>
      <c r="X713" s="5">
        <v>6.7</v>
      </c>
      <c r="Y713" s="5">
        <v>4</v>
      </c>
      <c r="Z713" s="5" t="s">
        <v>117</v>
      </c>
      <c r="AA713" s="6">
        <v>348.4</v>
      </c>
      <c r="AB713" s="8">
        <f t="shared" si="143"/>
        <v>1560</v>
      </c>
      <c r="AC713" s="8">
        <f t="shared" si="144"/>
        <v>0</v>
      </c>
      <c r="AD713" s="8">
        <f t="shared" si="145"/>
        <v>1560</v>
      </c>
      <c r="AE713" s="8">
        <f t="shared" si="146"/>
        <v>1045.1999999999998</v>
      </c>
      <c r="AF713" s="8">
        <f t="shared" si="147"/>
        <v>514.80000000000018</v>
      </c>
      <c r="AG713" s="9">
        <f t="shared" si="148"/>
        <v>0.33000000000000013</v>
      </c>
      <c r="AH713" s="10">
        <f t="shared" si="149"/>
        <v>2025</v>
      </c>
      <c r="AI713" s="10">
        <f t="shared" si="150"/>
        <v>2</v>
      </c>
      <c r="AJ713" s="10" t="str">
        <f t="shared" si="151"/>
        <v>2025-02</v>
      </c>
      <c r="AK713" s="10" t="str">
        <f t="shared" si="152"/>
        <v>T1</v>
      </c>
      <c r="AL713" s="10" t="str">
        <f t="shared" si="153"/>
        <v>22-29</v>
      </c>
      <c r="AM713" s="10" t="str">
        <f t="shared" si="154"/>
        <v>moyen</v>
      </c>
      <c r="AN713" s="10" t="s">
        <v>2839</v>
      </c>
      <c r="AO713" s="10" t="str">
        <f t="shared" si="155"/>
        <v>Elevée</v>
      </c>
    </row>
    <row r="714" spans="1:41">
      <c r="A714" t="s">
        <v>2166</v>
      </c>
      <c r="B714" s="2">
        <v>45707</v>
      </c>
      <c r="C714" t="s">
        <v>1156</v>
      </c>
      <c r="D714" t="s">
        <v>181</v>
      </c>
      <c r="E714" t="s">
        <v>61</v>
      </c>
      <c r="F714" t="s">
        <v>243</v>
      </c>
      <c r="G714">
        <v>10</v>
      </c>
      <c r="H714" s="4">
        <v>145</v>
      </c>
      <c r="I714" s="3">
        <v>0</v>
      </c>
      <c r="J714" t="s">
        <v>90</v>
      </c>
      <c r="K714" t="s">
        <v>46</v>
      </c>
      <c r="L714" t="s">
        <v>1157</v>
      </c>
      <c r="M714" t="s">
        <v>69</v>
      </c>
      <c r="N714" t="s">
        <v>101</v>
      </c>
      <c r="O714" t="s">
        <v>184</v>
      </c>
      <c r="P714" t="s">
        <v>103</v>
      </c>
      <c r="Q714" t="s">
        <v>52</v>
      </c>
      <c r="R714" t="s">
        <v>68</v>
      </c>
      <c r="S714" t="s">
        <v>69</v>
      </c>
      <c r="T714" t="s">
        <v>245</v>
      </c>
      <c r="U714" s="5">
        <v>39</v>
      </c>
      <c r="V714" s="5" t="s">
        <v>56</v>
      </c>
      <c r="W714" s="5">
        <v>49</v>
      </c>
      <c r="X714" s="5">
        <v>8.1999999999999993</v>
      </c>
      <c r="Y714" s="5">
        <v>1</v>
      </c>
      <c r="Z714" s="5" t="s">
        <v>71</v>
      </c>
      <c r="AA714" s="6">
        <v>97.15</v>
      </c>
      <c r="AB714" s="8">
        <f t="shared" si="143"/>
        <v>1450</v>
      </c>
      <c r="AC714" s="8">
        <f t="shared" si="144"/>
        <v>0</v>
      </c>
      <c r="AD714" s="8">
        <f t="shared" si="145"/>
        <v>1450</v>
      </c>
      <c r="AE714" s="8">
        <f t="shared" si="146"/>
        <v>971.5</v>
      </c>
      <c r="AF714" s="8">
        <f t="shared" si="147"/>
        <v>478.5</v>
      </c>
      <c r="AG714" s="9">
        <f t="shared" si="148"/>
        <v>0.33</v>
      </c>
      <c r="AH714" s="10">
        <f t="shared" si="149"/>
        <v>2025</v>
      </c>
      <c r="AI714" s="10">
        <f t="shared" si="150"/>
        <v>2</v>
      </c>
      <c r="AJ714" s="10" t="str">
        <f t="shared" si="151"/>
        <v>2025-02</v>
      </c>
      <c r="AK714" s="10" t="str">
        <f t="shared" si="152"/>
        <v>T1</v>
      </c>
      <c r="AL714" s="10" t="str">
        <f t="shared" si="153"/>
        <v>30-39</v>
      </c>
      <c r="AM714" s="10" t="str">
        <f t="shared" si="154"/>
        <v>bon</v>
      </c>
      <c r="AN714" s="10" t="s">
        <v>2838</v>
      </c>
      <c r="AO714" s="10" t="str">
        <f t="shared" si="155"/>
        <v>Elevée</v>
      </c>
    </row>
    <row r="715" spans="1:41">
      <c r="A715" t="s">
        <v>2167</v>
      </c>
      <c r="B715" s="2">
        <v>46015</v>
      </c>
      <c r="C715" t="s">
        <v>2168</v>
      </c>
      <c r="D715" t="s">
        <v>60</v>
      </c>
      <c r="E715" t="s">
        <v>226</v>
      </c>
      <c r="F715" t="s">
        <v>76</v>
      </c>
      <c r="G715">
        <v>3</v>
      </c>
      <c r="H715" s="4">
        <v>180</v>
      </c>
      <c r="I715" s="3">
        <v>0</v>
      </c>
      <c r="J715" t="s">
        <v>63</v>
      </c>
      <c r="K715" t="s">
        <v>46</v>
      </c>
      <c r="L715" t="s">
        <v>2169</v>
      </c>
      <c r="M715" t="s">
        <v>79</v>
      </c>
      <c r="N715" t="s">
        <v>101</v>
      </c>
      <c r="O715" t="s">
        <v>66</v>
      </c>
      <c r="P715" t="s">
        <v>67</v>
      </c>
      <c r="Q715" t="s">
        <v>52</v>
      </c>
      <c r="R715" t="s">
        <v>229</v>
      </c>
      <c r="S715" t="s">
        <v>48</v>
      </c>
      <c r="T715" t="s">
        <v>84</v>
      </c>
      <c r="U715" s="5">
        <v>40</v>
      </c>
      <c r="V715" s="5" t="s">
        <v>56</v>
      </c>
      <c r="W715" s="5">
        <v>39</v>
      </c>
      <c r="X715" s="5">
        <v>3.9</v>
      </c>
      <c r="Y715" s="5">
        <v>8</v>
      </c>
      <c r="Z715" s="5" t="s">
        <v>94</v>
      </c>
      <c r="AA715" s="6">
        <v>129.6</v>
      </c>
      <c r="AB715" s="8">
        <f t="shared" si="143"/>
        <v>540</v>
      </c>
      <c r="AC715" s="8">
        <f t="shared" si="144"/>
        <v>0</v>
      </c>
      <c r="AD715" s="8">
        <f t="shared" si="145"/>
        <v>540</v>
      </c>
      <c r="AE715" s="8">
        <f t="shared" si="146"/>
        <v>388.79999999999995</v>
      </c>
      <c r="AF715" s="8">
        <f t="shared" si="147"/>
        <v>151.20000000000005</v>
      </c>
      <c r="AG715" s="9">
        <f t="shared" si="148"/>
        <v>0.28000000000000008</v>
      </c>
      <c r="AH715" s="10">
        <f t="shared" si="149"/>
        <v>2025</v>
      </c>
      <c r="AI715" s="10">
        <f t="shared" si="150"/>
        <v>12</v>
      </c>
      <c r="AJ715" s="10" t="str">
        <f t="shared" si="151"/>
        <v>2025-12</v>
      </c>
      <c r="AK715" s="10" t="str">
        <f t="shared" si="152"/>
        <v>T4</v>
      </c>
      <c r="AL715" s="10" t="str">
        <f t="shared" si="153"/>
        <v>40-49</v>
      </c>
      <c r="AM715" s="10" t="str">
        <f t="shared" si="154"/>
        <v>faible</v>
      </c>
      <c r="AN715" s="10" t="s">
        <v>2837</v>
      </c>
      <c r="AO715" s="10" t="str">
        <f t="shared" si="155"/>
        <v>Moyenne</v>
      </c>
    </row>
    <row r="716" spans="1:41">
      <c r="A716" t="s">
        <v>2170</v>
      </c>
      <c r="B716" s="2">
        <v>45788</v>
      </c>
      <c r="C716" t="s">
        <v>2171</v>
      </c>
      <c r="D716" t="s">
        <v>108</v>
      </c>
      <c r="E716" t="s">
        <v>315</v>
      </c>
      <c r="F716" t="s">
        <v>287</v>
      </c>
      <c r="G716">
        <v>4</v>
      </c>
      <c r="H716" s="4">
        <v>240</v>
      </c>
      <c r="I716" s="3">
        <v>0.1</v>
      </c>
      <c r="J716" t="s">
        <v>63</v>
      </c>
      <c r="K716" t="s">
        <v>46</v>
      </c>
      <c r="L716" t="s">
        <v>2172</v>
      </c>
      <c r="M716" t="s">
        <v>123</v>
      </c>
      <c r="N716" t="s">
        <v>112</v>
      </c>
      <c r="O716" t="s">
        <v>113</v>
      </c>
      <c r="P716" t="s">
        <v>82</v>
      </c>
      <c r="Q716" t="s">
        <v>114</v>
      </c>
      <c r="R716" t="s">
        <v>317</v>
      </c>
      <c r="S716" t="s">
        <v>69</v>
      </c>
      <c r="T716" t="s">
        <v>289</v>
      </c>
      <c r="U716" s="5">
        <v>52</v>
      </c>
      <c r="V716" s="5" t="s">
        <v>56</v>
      </c>
      <c r="W716" s="5">
        <v>55</v>
      </c>
      <c r="X716" s="5">
        <v>6.5</v>
      </c>
      <c r="Y716" s="5">
        <v>4</v>
      </c>
      <c r="Z716" s="5" t="s">
        <v>94</v>
      </c>
      <c r="AA716" s="6">
        <v>177.6</v>
      </c>
      <c r="AB716" s="8">
        <f t="shared" si="143"/>
        <v>960</v>
      </c>
      <c r="AC716" s="8">
        <f t="shared" si="144"/>
        <v>96</v>
      </c>
      <c r="AD716" s="8">
        <f t="shared" si="145"/>
        <v>864</v>
      </c>
      <c r="AE716" s="8">
        <f t="shared" si="146"/>
        <v>710.4</v>
      </c>
      <c r="AF716" s="8">
        <f t="shared" si="147"/>
        <v>153.60000000000002</v>
      </c>
      <c r="AG716" s="9">
        <f t="shared" si="148"/>
        <v>0.17777777777777781</v>
      </c>
      <c r="AH716" s="10">
        <f t="shared" si="149"/>
        <v>2025</v>
      </c>
      <c r="AI716" s="10">
        <f t="shared" si="150"/>
        <v>5</v>
      </c>
      <c r="AJ716" s="10" t="str">
        <f t="shared" si="151"/>
        <v>2025-05</v>
      </c>
      <c r="AK716" s="10" t="str">
        <f t="shared" si="152"/>
        <v>T2</v>
      </c>
      <c r="AL716" s="10" t="str">
        <f t="shared" si="153"/>
        <v>50+</v>
      </c>
      <c r="AM716" s="10" t="str">
        <f t="shared" si="154"/>
        <v>moyen</v>
      </c>
      <c r="AN716" s="10" t="s">
        <v>2839</v>
      </c>
      <c r="AO716" s="10" t="str">
        <f t="shared" si="155"/>
        <v>Moyenne</v>
      </c>
    </row>
    <row r="717" spans="1:41">
      <c r="A717" t="s">
        <v>2173</v>
      </c>
      <c r="B717" s="2">
        <v>45705</v>
      </c>
      <c r="C717" t="s">
        <v>2174</v>
      </c>
      <c r="D717" t="s">
        <v>272</v>
      </c>
      <c r="E717" t="s">
        <v>109</v>
      </c>
      <c r="F717" t="s">
        <v>374</v>
      </c>
      <c r="G717">
        <v>1</v>
      </c>
      <c r="H717" s="4">
        <v>420</v>
      </c>
      <c r="I717" s="3">
        <v>0.08</v>
      </c>
      <c r="J717" t="s">
        <v>90</v>
      </c>
      <c r="K717" t="s">
        <v>46</v>
      </c>
      <c r="L717" t="s">
        <v>2175</v>
      </c>
      <c r="M717" t="s">
        <v>48</v>
      </c>
      <c r="N717" t="s">
        <v>101</v>
      </c>
      <c r="O717" t="s">
        <v>274</v>
      </c>
      <c r="P717" t="s">
        <v>133</v>
      </c>
      <c r="Q717" t="s">
        <v>114</v>
      </c>
      <c r="R717" t="s">
        <v>115</v>
      </c>
      <c r="S717" t="s">
        <v>65</v>
      </c>
      <c r="T717" t="s">
        <v>376</v>
      </c>
      <c r="U717" s="5">
        <v>47</v>
      </c>
      <c r="V717" s="5" t="s">
        <v>56</v>
      </c>
      <c r="W717" s="5">
        <v>33</v>
      </c>
      <c r="X717" s="5">
        <v>8.1</v>
      </c>
      <c r="Y717" s="5">
        <v>3</v>
      </c>
      <c r="Z717" s="5" t="s">
        <v>57</v>
      </c>
      <c r="AA717" s="6">
        <v>273</v>
      </c>
      <c r="AB717" s="8">
        <f t="shared" si="143"/>
        <v>420</v>
      </c>
      <c r="AC717" s="8">
        <f t="shared" si="144"/>
        <v>33.6</v>
      </c>
      <c r="AD717" s="8">
        <f t="shared" si="145"/>
        <v>386.4</v>
      </c>
      <c r="AE717" s="8">
        <f t="shared" si="146"/>
        <v>273</v>
      </c>
      <c r="AF717" s="8">
        <f t="shared" si="147"/>
        <v>113.39999999999998</v>
      </c>
      <c r="AG717" s="9">
        <f t="shared" si="148"/>
        <v>0.29347826086956519</v>
      </c>
      <c r="AH717" s="10">
        <f t="shared" si="149"/>
        <v>2025</v>
      </c>
      <c r="AI717" s="10">
        <f t="shared" si="150"/>
        <v>2</v>
      </c>
      <c r="AJ717" s="10" t="str">
        <f t="shared" si="151"/>
        <v>2025-02</v>
      </c>
      <c r="AK717" s="10" t="str">
        <f t="shared" si="152"/>
        <v>T1</v>
      </c>
      <c r="AL717" s="10" t="str">
        <f t="shared" si="153"/>
        <v>40-49</v>
      </c>
      <c r="AM717" s="10" t="str">
        <f t="shared" si="154"/>
        <v>bon</v>
      </c>
      <c r="AN717" s="10" t="s">
        <v>2838</v>
      </c>
      <c r="AO717" s="10" t="str">
        <f t="shared" si="155"/>
        <v>Faible</v>
      </c>
    </row>
    <row r="718" spans="1:41">
      <c r="A718" t="s">
        <v>2176</v>
      </c>
      <c r="B718" s="2">
        <v>45823</v>
      </c>
      <c r="C718" t="s">
        <v>841</v>
      </c>
      <c r="D718" t="s">
        <v>162</v>
      </c>
      <c r="E718" t="s">
        <v>277</v>
      </c>
      <c r="F718" t="s">
        <v>413</v>
      </c>
      <c r="G718">
        <v>2</v>
      </c>
      <c r="H718" s="4">
        <v>35</v>
      </c>
      <c r="I718" s="3">
        <v>0.1</v>
      </c>
      <c r="J718" t="s">
        <v>63</v>
      </c>
      <c r="K718" t="s">
        <v>46</v>
      </c>
      <c r="L718" t="s">
        <v>842</v>
      </c>
      <c r="M718" t="s">
        <v>54</v>
      </c>
      <c r="N718" t="s">
        <v>101</v>
      </c>
      <c r="O718" t="s">
        <v>166</v>
      </c>
      <c r="P718" t="s">
        <v>103</v>
      </c>
      <c r="Q718" t="s">
        <v>143</v>
      </c>
      <c r="R718" t="s">
        <v>279</v>
      </c>
      <c r="S718" t="s">
        <v>54</v>
      </c>
      <c r="T718" t="s">
        <v>415</v>
      </c>
      <c r="U718" s="5">
        <v>26</v>
      </c>
      <c r="V718" s="5" t="s">
        <v>56</v>
      </c>
      <c r="W718" s="5">
        <v>20</v>
      </c>
      <c r="X718" s="5">
        <v>8.4</v>
      </c>
      <c r="Y718" s="5">
        <v>1</v>
      </c>
      <c r="Z718" s="5" t="s">
        <v>71</v>
      </c>
      <c r="AA718" s="6">
        <v>24.15</v>
      </c>
      <c r="AB718" s="8">
        <f t="shared" si="143"/>
        <v>70</v>
      </c>
      <c r="AC718" s="8">
        <f t="shared" si="144"/>
        <v>7</v>
      </c>
      <c r="AD718" s="8">
        <f t="shared" si="145"/>
        <v>63</v>
      </c>
      <c r="AE718" s="8">
        <f t="shared" si="146"/>
        <v>48.3</v>
      </c>
      <c r="AF718" s="8">
        <f t="shared" si="147"/>
        <v>14.700000000000003</v>
      </c>
      <c r="AG718" s="9">
        <f t="shared" si="148"/>
        <v>0.23333333333333336</v>
      </c>
      <c r="AH718" s="10">
        <f t="shared" si="149"/>
        <v>2025</v>
      </c>
      <c r="AI718" s="10">
        <f t="shared" si="150"/>
        <v>6</v>
      </c>
      <c r="AJ718" s="10" t="str">
        <f t="shared" si="151"/>
        <v>2025-06</v>
      </c>
      <c r="AK718" s="10" t="str">
        <f t="shared" si="152"/>
        <v>T2</v>
      </c>
      <c r="AL718" s="10" t="str">
        <f t="shared" si="153"/>
        <v>22-29</v>
      </c>
      <c r="AM718" s="10" t="str">
        <f t="shared" si="154"/>
        <v>bon</v>
      </c>
      <c r="AN718" s="10" t="s">
        <v>2838</v>
      </c>
      <c r="AO718" s="10" t="str">
        <f t="shared" si="155"/>
        <v>Faible</v>
      </c>
    </row>
    <row r="719" spans="1:41">
      <c r="A719" t="s">
        <v>2177</v>
      </c>
      <c r="B719" s="2">
        <v>45895</v>
      </c>
      <c r="C719" t="s">
        <v>1149</v>
      </c>
      <c r="D719" t="s">
        <v>174</v>
      </c>
      <c r="E719" t="s">
        <v>207</v>
      </c>
      <c r="F719" t="s">
        <v>968</v>
      </c>
      <c r="G719">
        <v>1</v>
      </c>
      <c r="H719" s="4">
        <v>780</v>
      </c>
      <c r="I719" s="3">
        <v>0.05</v>
      </c>
      <c r="J719" t="s">
        <v>63</v>
      </c>
      <c r="K719" t="s">
        <v>46</v>
      </c>
      <c r="L719" t="s">
        <v>1150</v>
      </c>
      <c r="M719" t="s">
        <v>65</v>
      </c>
      <c r="N719" t="s">
        <v>255</v>
      </c>
      <c r="O719" t="s">
        <v>177</v>
      </c>
      <c r="P719" t="s">
        <v>103</v>
      </c>
      <c r="Q719" t="s">
        <v>114</v>
      </c>
      <c r="R719" t="s">
        <v>210</v>
      </c>
      <c r="S719" t="s">
        <v>79</v>
      </c>
      <c r="T719" t="s">
        <v>970</v>
      </c>
      <c r="U719" s="5">
        <v>48</v>
      </c>
      <c r="V719" s="5" t="s">
        <v>56</v>
      </c>
      <c r="W719" s="5">
        <v>54</v>
      </c>
      <c r="X719" s="5">
        <v>5</v>
      </c>
      <c r="Y719" s="5">
        <v>8</v>
      </c>
      <c r="Z719" s="5" t="s">
        <v>57</v>
      </c>
      <c r="AA719" s="6">
        <v>468</v>
      </c>
      <c r="AB719" s="8">
        <f t="shared" si="143"/>
        <v>780</v>
      </c>
      <c r="AC719" s="8">
        <f t="shared" si="144"/>
        <v>39</v>
      </c>
      <c r="AD719" s="8">
        <f t="shared" si="145"/>
        <v>741</v>
      </c>
      <c r="AE719" s="8">
        <f t="shared" si="146"/>
        <v>468</v>
      </c>
      <c r="AF719" s="8">
        <f t="shared" si="147"/>
        <v>273</v>
      </c>
      <c r="AG719" s="9">
        <f t="shared" si="148"/>
        <v>0.36842105263157893</v>
      </c>
      <c r="AH719" s="10">
        <f t="shared" si="149"/>
        <v>2025</v>
      </c>
      <c r="AI719" s="10">
        <f t="shared" si="150"/>
        <v>8</v>
      </c>
      <c r="AJ719" s="10" t="str">
        <f t="shared" si="151"/>
        <v>2025-08</v>
      </c>
      <c r="AK719" s="10" t="str">
        <f t="shared" si="152"/>
        <v>T3</v>
      </c>
      <c r="AL719" s="10" t="str">
        <f t="shared" si="153"/>
        <v>40-49</v>
      </c>
      <c r="AM719" s="10" t="str">
        <f t="shared" si="154"/>
        <v>moyen</v>
      </c>
      <c r="AN719" s="10" t="s">
        <v>2837</v>
      </c>
      <c r="AO719" s="10" t="str">
        <f t="shared" si="155"/>
        <v>Moyenne</v>
      </c>
    </row>
    <row r="720" spans="1:41">
      <c r="A720" t="s">
        <v>2178</v>
      </c>
      <c r="B720" s="2">
        <v>45718</v>
      </c>
      <c r="C720" t="s">
        <v>2179</v>
      </c>
      <c r="D720" t="s">
        <v>188</v>
      </c>
      <c r="E720" t="s">
        <v>109</v>
      </c>
      <c r="F720" t="s">
        <v>89</v>
      </c>
      <c r="G720">
        <v>3</v>
      </c>
      <c r="H720" s="4">
        <v>350</v>
      </c>
      <c r="I720" s="3">
        <v>0.02</v>
      </c>
      <c r="J720" t="s">
        <v>45</v>
      </c>
      <c r="K720" t="s">
        <v>46</v>
      </c>
      <c r="L720" t="s">
        <v>2180</v>
      </c>
      <c r="M720" t="s">
        <v>48</v>
      </c>
      <c r="N720" t="s">
        <v>101</v>
      </c>
      <c r="O720" t="s">
        <v>192</v>
      </c>
      <c r="P720" t="s">
        <v>51</v>
      </c>
      <c r="Q720" t="s">
        <v>114</v>
      </c>
      <c r="R720" t="s">
        <v>115</v>
      </c>
      <c r="S720" t="s">
        <v>65</v>
      </c>
      <c r="T720" t="s">
        <v>93</v>
      </c>
      <c r="U720" s="5">
        <v>48</v>
      </c>
      <c r="V720" s="5" t="s">
        <v>85</v>
      </c>
      <c r="W720" s="5">
        <v>17</v>
      </c>
      <c r="X720" s="5">
        <v>5.3</v>
      </c>
      <c r="Y720" s="5">
        <v>6</v>
      </c>
      <c r="Z720" s="5" t="s">
        <v>71</v>
      </c>
      <c r="AA720" s="6">
        <v>213.5</v>
      </c>
      <c r="AB720" s="8">
        <f t="shared" si="143"/>
        <v>1050</v>
      </c>
      <c r="AC720" s="8">
        <f t="shared" si="144"/>
        <v>21</v>
      </c>
      <c r="AD720" s="8">
        <f t="shared" si="145"/>
        <v>1029</v>
      </c>
      <c r="AE720" s="8">
        <f t="shared" si="146"/>
        <v>640.5</v>
      </c>
      <c r="AF720" s="8">
        <f t="shared" si="147"/>
        <v>388.5</v>
      </c>
      <c r="AG720" s="9">
        <f t="shared" si="148"/>
        <v>0.37755102040816324</v>
      </c>
      <c r="AH720" s="10">
        <f t="shared" si="149"/>
        <v>2025</v>
      </c>
      <c r="AI720" s="10">
        <f t="shared" si="150"/>
        <v>3</v>
      </c>
      <c r="AJ720" s="10" t="str">
        <f t="shared" si="151"/>
        <v>2025-03</v>
      </c>
      <c r="AK720" s="10" t="str">
        <f t="shared" si="152"/>
        <v>T1</v>
      </c>
      <c r="AL720" s="10" t="str">
        <f t="shared" si="153"/>
        <v>40-49</v>
      </c>
      <c r="AM720" s="10" t="str">
        <f t="shared" si="154"/>
        <v>moyen</v>
      </c>
      <c r="AN720" s="10" t="s">
        <v>2839</v>
      </c>
      <c r="AO720" s="10" t="str">
        <f t="shared" si="155"/>
        <v>Elevée</v>
      </c>
    </row>
    <row r="721" spans="1:41">
      <c r="A721" t="s">
        <v>2181</v>
      </c>
      <c r="B721" s="2">
        <v>45785</v>
      </c>
      <c r="C721" t="s">
        <v>2182</v>
      </c>
      <c r="D721" t="s">
        <v>181</v>
      </c>
      <c r="E721" t="s">
        <v>277</v>
      </c>
      <c r="F721" t="s">
        <v>164</v>
      </c>
      <c r="G721">
        <v>1</v>
      </c>
      <c r="H721" s="4">
        <v>145</v>
      </c>
      <c r="I721" s="3">
        <v>0.1</v>
      </c>
      <c r="J721" t="s">
        <v>45</v>
      </c>
      <c r="K721" t="s">
        <v>46</v>
      </c>
      <c r="L721" t="s">
        <v>2183</v>
      </c>
      <c r="M721" t="s">
        <v>123</v>
      </c>
      <c r="N721" t="s">
        <v>49</v>
      </c>
      <c r="O721" t="s">
        <v>184</v>
      </c>
      <c r="P721" t="s">
        <v>103</v>
      </c>
      <c r="Q721" t="s">
        <v>52</v>
      </c>
      <c r="R721" t="s">
        <v>279</v>
      </c>
      <c r="S721" t="s">
        <v>54</v>
      </c>
      <c r="T721" t="s">
        <v>168</v>
      </c>
      <c r="U721" s="5">
        <v>53</v>
      </c>
      <c r="V721" s="5" t="s">
        <v>56</v>
      </c>
      <c r="W721" s="5">
        <v>35</v>
      </c>
      <c r="X721" s="5">
        <v>6.7</v>
      </c>
      <c r="Y721" s="5">
        <v>4</v>
      </c>
      <c r="Z721" s="5" t="s">
        <v>57</v>
      </c>
      <c r="AA721" s="6">
        <v>97.15</v>
      </c>
      <c r="AB721" s="8">
        <f t="shared" si="143"/>
        <v>145</v>
      </c>
      <c r="AC721" s="8">
        <f t="shared" si="144"/>
        <v>14.5</v>
      </c>
      <c r="AD721" s="8">
        <f t="shared" si="145"/>
        <v>130.5</v>
      </c>
      <c r="AE721" s="8">
        <f t="shared" si="146"/>
        <v>97.15</v>
      </c>
      <c r="AF721" s="8">
        <f t="shared" si="147"/>
        <v>33.349999999999994</v>
      </c>
      <c r="AG721" s="9">
        <f t="shared" si="148"/>
        <v>0.25555555555555554</v>
      </c>
      <c r="AH721" s="10">
        <f t="shared" si="149"/>
        <v>2025</v>
      </c>
      <c r="AI721" s="10">
        <f t="shared" si="150"/>
        <v>5</v>
      </c>
      <c r="AJ721" s="10" t="str">
        <f t="shared" si="151"/>
        <v>2025-05</v>
      </c>
      <c r="AK721" s="10" t="str">
        <f t="shared" si="152"/>
        <v>T2</v>
      </c>
      <c r="AL721" s="10" t="str">
        <f t="shared" si="153"/>
        <v>50+</v>
      </c>
      <c r="AM721" s="10" t="str">
        <f t="shared" si="154"/>
        <v>moyen</v>
      </c>
      <c r="AN721" s="10" t="s">
        <v>2839</v>
      </c>
      <c r="AO721" s="10" t="str">
        <f t="shared" si="155"/>
        <v>Faible</v>
      </c>
    </row>
    <row r="722" spans="1:41">
      <c r="A722" t="s">
        <v>2184</v>
      </c>
      <c r="B722" s="2">
        <v>45832</v>
      </c>
      <c r="C722" t="s">
        <v>2185</v>
      </c>
      <c r="D722" t="s">
        <v>74</v>
      </c>
      <c r="E722" t="s">
        <v>75</v>
      </c>
      <c r="F722" t="s">
        <v>156</v>
      </c>
      <c r="G722">
        <v>5</v>
      </c>
      <c r="H722" s="4">
        <v>95</v>
      </c>
      <c r="I722" s="3">
        <v>0.05</v>
      </c>
      <c r="J722" t="s">
        <v>63</v>
      </c>
      <c r="K722" t="s">
        <v>46</v>
      </c>
      <c r="L722" t="s">
        <v>2186</v>
      </c>
      <c r="M722" t="s">
        <v>65</v>
      </c>
      <c r="N722" t="s">
        <v>112</v>
      </c>
      <c r="O722" t="s">
        <v>81</v>
      </c>
      <c r="P722" t="s">
        <v>82</v>
      </c>
      <c r="Q722" t="s">
        <v>52</v>
      </c>
      <c r="R722" t="s">
        <v>83</v>
      </c>
      <c r="S722" t="s">
        <v>69</v>
      </c>
      <c r="T722" t="s">
        <v>159</v>
      </c>
      <c r="U722" s="5">
        <v>38</v>
      </c>
      <c r="V722" s="5" t="s">
        <v>85</v>
      </c>
      <c r="W722" s="5">
        <v>51</v>
      </c>
      <c r="X722" s="5">
        <v>5.7</v>
      </c>
      <c r="Y722" s="5">
        <v>5</v>
      </c>
      <c r="Z722" s="5" t="s">
        <v>94</v>
      </c>
      <c r="AA722" s="6">
        <v>70.3</v>
      </c>
      <c r="AB722" s="8">
        <f t="shared" si="143"/>
        <v>475</v>
      </c>
      <c r="AC722" s="8">
        <f t="shared" si="144"/>
        <v>23.75</v>
      </c>
      <c r="AD722" s="8">
        <f t="shared" si="145"/>
        <v>451.25</v>
      </c>
      <c r="AE722" s="8">
        <f t="shared" si="146"/>
        <v>351.5</v>
      </c>
      <c r="AF722" s="8">
        <f t="shared" si="147"/>
        <v>99.75</v>
      </c>
      <c r="AG722" s="9">
        <f t="shared" si="148"/>
        <v>0.22105263157894736</v>
      </c>
      <c r="AH722" s="10">
        <f t="shared" si="149"/>
        <v>2025</v>
      </c>
      <c r="AI722" s="10">
        <f t="shared" si="150"/>
        <v>6</v>
      </c>
      <c r="AJ722" s="10" t="str">
        <f t="shared" si="151"/>
        <v>2025-06</v>
      </c>
      <c r="AK722" s="10" t="str">
        <f t="shared" si="152"/>
        <v>T2</v>
      </c>
      <c r="AL722" s="10" t="str">
        <f t="shared" si="153"/>
        <v>30-39</v>
      </c>
      <c r="AM722" s="10" t="str">
        <f t="shared" si="154"/>
        <v>moyen</v>
      </c>
      <c r="AN722" s="10" t="s">
        <v>2839</v>
      </c>
      <c r="AO722" s="10" t="str">
        <f t="shared" si="155"/>
        <v>Faible</v>
      </c>
    </row>
    <row r="723" spans="1:41">
      <c r="A723" t="s">
        <v>2187</v>
      </c>
      <c r="B723" s="2">
        <v>45729</v>
      </c>
      <c r="C723" t="s">
        <v>247</v>
      </c>
      <c r="D723" t="s">
        <v>97</v>
      </c>
      <c r="E723" t="s">
        <v>345</v>
      </c>
      <c r="F723" t="s">
        <v>62</v>
      </c>
      <c r="G723">
        <v>1</v>
      </c>
      <c r="H723" s="4">
        <v>520</v>
      </c>
      <c r="I723" s="3">
        <v>0.05</v>
      </c>
      <c r="J723" t="s">
        <v>90</v>
      </c>
      <c r="K723" t="s">
        <v>46</v>
      </c>
      <c r="L723" t="s">
        <v>249</v>
      </c>
      <c r="M723" t="s">
        <v>65</v>
      </c>
      <c r="N723" t="s">
        <v>112</v>
      </c>
      <c r="O723" t="s">
        <v>102</v>
      </c>
      <c r="P723" t="s">
        <v>103</v>
      </c>
      <c r="Q723" t="s">
        <v>52</v>
      </c>
      <c r="R723" t="s">
        <v>347</v>
      </c>
      <c r="S723" t="s">
        <v>54</v>
      </c>
      <c r="T723" t="s">
        <v>70</v>
      </c>
      <c r="U723" s="5">
        <v>31</v>
      </c>
      <c r="V723" s="5" t="s">
        <v>56</v>
      </c>
      <c r="W723" s="5">
        <v>50</v>
      </c>
      <c r="X723" s="5">
        <v>7.1</v>
      </c>
      <c r="Y723" s="5">
        <v>4</v>
      </c>
      <c r="Z723" s="5" t="s">
        <v>117</v>
      </c>
      <c r="AA723" s="6">
        <v>348.4</v>
      </c>
      <c r="AB723" s="8">
        <f t="shared" si="143"/>
        <v>520</v>
      </c>
      <c r="AC723" s="8">
        <f t="shared" si="144"/>
        <v>26</v>
      </c>
      <c r="AD723" s="8">
        <f t="shared" si="145"/>
        <v>494</v>
      </c>
      <c r="AE723" s="8">
        <f t="shared" si="146"/>
        <v>348.4</v>
      </c>
      <c r="AF723" s="8">
        <f t="shared" si="147"/>
        <v>145.60000000000002</v>
      </c>
      <c r="AG723" s="9">
        <f t="shared" si="148"/>
        <v>0.29473684210526319</v>
      </c>
      <c r="AH723" s="10">
        <f t="shared" si="149"/>
        <v>2025</v>
      </c>
      <c r="AI723" s="10">
        <f t="shared" si="150"/>
        <v>3</v>
      </c>
      <c r="AJ723" s="10" t="str">
        <f t="shared" si="151"/>
        <v>2025-03</v>
      </c>
      <c r="AK723" s="10" t="str">
        <f t="shared" si="152"/>
        <v>T1</v>
      </c>
      <c r="AL723" s="10" t="str">
        <f t="shared" si="153"/>
        <v>30-39</v>
      </c>
      <c r="AM723" s="10" t="str">
        <f t="shared" si="154"/>
        <v>bon</v>
      </c>
      <c r="AN723" s="10" t="s">
        <v>2839</v>
      </c>
      <c r="AO723" s="10" t="str">
        <f t="shared" si="155"/>
        <v>Faible</v>
      </c>
    </row>
    <row r="724" spans="1:41">
      <c r="A724" t="s">
        <v>2188</v>
      </c>
      <c r="B724" s="2">
        <v>45926</v>
      </c>
      <c r="C724" t="s">
        <v>2189</v>
      </c>
      <c r="D724" t="s">
        <v>333</v>
      </c>
      <c r="E724" t="s">
        <v>120</v>
      </c>
      <c r="F724" t="s">
        <v>502</v>
      </c>
      <c r="G724">
        <v>5</v>
      </c>
      <c r="H724" s="4">
        <v>65</v>
      </c>
      <c r="I724" s="3">
        <v>0</v>
      </c>
      <c r="J724" t="s">
        <v>90</v>
      </c>
      <c r="K724" t="s">
        <v>46</v>
      </c>
      <c r="L724" t="s">
        <v>2190</v>
      </c>
      <c r="M724" t="s">
        <v>65</v>
      </c>
      <c r="N724" t="s">
        <v>255</v>
      </c>
      <c r="O724" t="s">
        <v>336</v>
      </c>
      <c r="P724" t="s">
        <v>51</v>
      </c>
      <c r="Q724" t="s">
        <v>52</v>
      </c>
      <c r="R724" t="s">
        <v>124</v>
      </c>
      <c r="S724" t="s">
        <v>48</v>
      </c>
      <c r="T724" t="s">
        <v>504</v>
      </c>
      <c r="U724" s="5">
        <v>37</v>
      </c>
      <c r="V724" s="5" t="s">
        <v>85</v>
      </c>
      <c r="W724" s="5">
        <v>8</v>
      </c>
      <c r="X724" s="5">
        <v>7.1</v>
      </c>
      <c r="Y724" s="5">
        <v>4</v>
      </c>
      <c r="Z724" s="5" t="s">
        <v>94</v>
      </c>
      <c r="AA724" s="6">
        <v>47.45</v>
      </c>
      <c r="AB724" s="8">
        <f t="shared" si="143"/>
        <v>325</v>
      </c>
      <c r="AC724" s="8">
        <f t="shared" si="144"/>
        <v>0</v>
      </c>
      <c r="AD724" s="8">
        <f t="shared" si="145"/>
        <v>325</v>
      </c>
      <c r="AE724" s="8">
        <f t="shared" si="146"/>
        <v>237.25</v>
      </c>
      <c r="AF724" s="8">
        <f t="shared" si="147"/>
        <v>87.75</v>
      </c>
      <c r="AG724" s="9">
        <f t="shared" si="148"/>
        <v>0.27</v>
      </c>
      <c r="AH724" s="10">
        <f t="shared" si="149"/>
        <v>2025</v>
      </c>
      <c r="AI724" s="10">
        <f t="shared" si="150"/>
        <v>9</v>
      </c>
      <c r="AJ724" s="10" t="str">
        <f t="shared" si="151"/>
        <v>2025-09</v>
      </c>
      <c r="AK724" s="10" t="str">
        <f t="shared" si="152"/>
        <v>T3</v>
      </c>
      <c r="AL724" s="10" t="str">
        <f t="shared" si="153"/>
        <v>30-39</v>
      </c>
      <c r="AM724" s="10" t="str">
        <f t="shared" si="154"/>
        <v>bon</v>
      </c>
      <c r="AN724" s="10" t="s">
        <v>2839</v>
      </c>
      <c r="AO724" s="10" t="str">
        <f t="shared" si="155"/>
        <v>Faible</v>
      </c>
    </row>
    <row r="725" spans="1:41">
      <c r="A725" t="s">
        <v>2191</v>
      </c>
      <c r="B725" s="2">
        <v>46017</v>
      </c>
      <c r="C725" t="s">
        <v>2192</v>
      </c>
      <c r="D725" t="s">
        <v>340</v>
      </c>
      <c r="E725" t="s">
        <v>129</v>
      </c>
      <c r="F725" t="s">
        <v>130</v>
      </c>
      <c r="G725">
        <v>2</v>
      </c>
      <c r="H725" s="4">
        <v>22</v>
      </c>
      <c r="I725" s="3">
        <v>0</v>
      </c>
      <c r="J725" t="s">
        <v>90</v>
      </c>
      <c r="K725" t="s">
        <v>46</v>
      </c>
      <c r="L725" t="s">
        <v>2193</v>
      </c>
      <c r="M725" t="s">
        <v>54</v>
      </c>
      <c r="N725" t="s">
        <v>80</v>
      </c>
      <c r="O725" t="s">
        <v>342</v>
      </c>
      <c r="P725" t="s">
        <v>103</v>
      </c>
      <c r="Q725" t="s">
        <v>143</v>
      </c>
      <c r="R725" t="s">
        <v>134</v>
      </c>
      <c r="S725" t="s">
        <v>123</v>
      </c>
      <c r="T725" t="s">
        <v>135</v>
      </c>
      <c r="U725" s="5">
        <v>27</v>
      </c>
      <c r="V725" s="5" t="s">
        <v>85</v>
      </c>
      <c r="W725" s="5">
        <v>48</v>
      </c>
      <c r="X725" s="5">
        <v>3.5</v>
      </c>
      <c r="Y725" s="5">
        <v>8</v>
      </c>
      <c r="Z725" s="5" t="s">
        <v>94</v>
      </c>
      <c r="AA725" s="6">
        <v>14.96</v>
      </c>
      <c r="AB725" s="8">
        <f t="shared" si="143"/>
        <v>44</v>
      </c>
      <c r="AC725" s="8">
        <f t="shared" si="144"/>
        <v>0</v>
      </c>
      <c r="AD725" s="8">
        <f t="shared" si="145"/>
        <v>44</v>
      </c>
      <c r="AE725" s="8">
        <f t="shared" si="146"/>
        <v>29.92</v>
      </c>
      <c r="AF725" s="8">
        <f t="shared" si="147"/>
        <v>14.079999999999998</v>
      </c>
      <c r="AG725" s="9">
        <f t="shared" si="148"/>
        <v>0.31999999999999995</v>
      </c>
      <c r="AH725" s="10">
        <f t="shared" si="149"/>
        <v>2025</v>
      </c>
      <c r="AI725" s="10">
        <f t="shared" si="150"/>
        <v>12</v>
      </c>
      <c r="AJ725" s="10" t="str">
        <f t="shared" si="151"/>
        <v>2025-12</v>
      </c>
      <c r="AK725" s="10" t="str">
        <f t="shared" si="152"/>
        <v>T4</v>
      </c>
      <c r="AL725" s="10" t="str">
        <f t="shared" si="153"/>
        <v>22-29</v>
      </c>
      <c r="AM725" s="10" t="str">
        <f t="shared" si="154"/>
        <v>faible</v>
      </c>
      <c r="AN725" s="10" t="s">
        <v>2837</v>
      </c>
      <c r="AO725" s="10" t="str">
        <f t="shared" si="155"/>
        <v>Faible</v>
      </c>
    </row>
    <row r="726" spans="1:41">
      <c r="A726" t="s">
        <v>2194</v>
      </c>
      <c r="B726" s="2">
        <v>45782</v>
      </c>
      <c r="C726" t="s">
        <v>2195</v>
      </c>
      <c r="D726" t="s">
        <v>272</v>
      </c>
      <c r="E726" t="s">
        <v>226</v>
      </c>
      <c r="F726" t="s">
        <v>458</v>
      </c>
      <c r="G726">
        <v>6</v>
      </c>
      <c r="H726" s="4">
        <v>420</v>
      </c>
      <c r="I726" s="3">
        <v>0</v>
      </c>
      <c r="J726" t="s">
        <v>90</v>
      </c>
      <c r="K726" t="s">
        <v>46</v>
      </c>
      <c r="L726" t="s">
        <v>2196</v>
      </c>
      <c r="M726" t="s">
        <v>123</v>
      </c>
      <c r="N726" t="s">
        <v>112</v>
      </c>
      <c r="O726" t="s">
        <v>274</v>
      </c>
      <c r="P726" t="s">
        <v>133</v>
      </c>
      <c r="Q726" t="s">
        <v>114</v>
      </c>
      <c r="R726" t="s">
        <v>229</v>
      </c>
      <c r="S726" t="s">
        <v>48</v>
      </c>
      <c r="T726" t="s">
        <v>460</v>
      </c>
      <c r="U726" s="5">
        <v>38</v>
      </c>
      <c r="V726" s="5" t="s">
        <v>56</v>
      </c>
      <c r="W726" s="5">
        <v>39</v>
      </c>
      <c r="X726" s="5">
        <v>6.8</v>
      </c>
      <c r="Y726" s="5">
        <v>3</v>
      </c>
      <c r="Z726" s="5" t="s">
        <v>71</v>
      </c>
      <c r="AA726" s="6">
        <v>273</v>
      </c>
      <c r="AB726" s="8">
        <f t="shared" si="143"/>
        <v>2520</v>
      </c>
      <c r="AC726" s="8">
        <f t="shared" si="144"/>
        <v>0</v>
      </c>
      <c r="AD726" s="8">
        <f t="shared" si="145"/>
        <v>2520</v>
      </c>
      <c r="AE726" s="8">
        <f t="shared" si="146"/>
        <v>1638</v>
      </c>
      <c r="AF726" s="8">
        <f t="shared" si="147"/>
        <v>882</v>
      </c>
      <c r="AG726" s="9">
        <f t="shared" si="148"/>
        <v>0.35</v>
      </c>
      <c r="AH726" s="10">
        <f t="shared" si="149"/>
        <v>2025</v>
      </c>
      <c r="AI726" s="10">
        <f t="shared" si="150"/>
        <v>5</v>
      </c>
      <c r="AJ726" s="10" t="str">
        <f t="shared" si="151"/>
        <v>2025-05</v>
      </c>
      <c r="AK726" s="10" t="str">
        <f t="shared" si="152"/>
        <v>T2</v>
      </c>
      <c r="AL726" s="10" t="str">
        <f t="shared" si="153"/>
        <v>30-39</v>
      </c>
      <c r="AM726" s="10" t="str">
        <f t="shared" si="154"/>
        <v>moyen</v>
      </c>
      <c r="AN726" s="10" t="s">
        <v>2838</v>
      </c>
      <c r="AO726" s="10" t="str">
        <f t="shared" si="155"/>
        <v>Elevée</v>
      </c>
    </row>
    <row r="727" spans="1:41">
      <c r="A727" t="s">
        <v>2197</v>
      </c>
      <c r="B727" s="2">
        <v>45995</v>
      </c>
      <c r="C727" t="s">
        <v>2198</v>
      </c>
      <c r="D727" t="s">
        <v>128</v>
      </c>
      <c r="E727" t="s">
        <v>88</v>
      </c>
      <c r="F727" t="s">
        <v>1303</v>
      </c>
      <c r="G727">
        <v>20</v>
      </c>
      <c r="H727" s="4">
        <v>190</v>
      </c>
      <c r="I727" s="3">
        <v>0</v>
      </c>
      <c r="J727" t="s">
        <v>77</v>
      </c>
      <c r="K727" t="s">
        <v>46</v>
      </c>
      <c r="L727" t="s">
        <v>2199</v>
      </c>
      <c r="M727" t="s">
        <v>79</v>
      </c>
      <c r="N727" t="s">
        <v>80</v>
      </c>
      <c r="O727" t="s">
        <v>132</v>
      </c>
      <c r="P727" t="s">
        <v>133</v>
      </c>
      <c r="Q727" t="s">
        <v>52</v>
      </c>
      <c r="R727" t="s">
        <v>92</v>
      </c>
      <c r="S727" t="s">
        <v>48</v>
      </c>
      <c r="T727" t="s">
        <v>1305</v>
      </c>
      <c r="U727" s="5">
        <v>32</v>
      </c>
      <c r="V727" s="5" t="s">
        <v>85</v>
      </c>
      <c r="W727" s="5">
        <v>22</v>
      </c>
      <c r="X727" s="5">
        <v>3.5</v>
      </c>
      <c r="Y727" s="5">
        <v>8</v>
      </c>
      <c r="Z727" s="5" t="s">
        <v>117</v>
      </c>
      <c r="AA727" s="6">
        <v>148.19999999999999</v>
      </c>
      <c r="AB727" s="8">
        <f t="shared" si="143"/>
        <v>3800</v>
      </c>
      <c r="AC727" s="8">
        <f t="shared" si="144"/>
        <v>0</v>
      </c>
      <c r="AD727" s="8">
        <f t="shared" si="145"/>
        <v>3800</v>
      </c>
      <c r="AE727" s="8">
        <f t="shared" si="146"/>
        <v>2964</v>
      </c>
      <c r="AF727" s="8">
        <f t="shared" si="147"/>
        <v>836</v>
      </c>
      <c r="AG727" s="9">
        <f t="shared" si="148"/>
        <v>0.22</v>
      </c>
      <c r="AH727" s="10">
        <f t="shared" si="149"/>
        <v>2025</v>
      </c>
      <c r="AI727" s="10">
        <f t="shared" si="150"/>
        <v>12</v>
      </c>
      <c r="AJ727" s="10" t="str">
        <f t="shared" si="151"/>
        <v>2025-12</v>
      </c>
      <c r="AK727" s="10" t="str">
        <f t="shared" si="152"/>
        <v>T4</v>
      </c>
      <c r="AL727" s="10" t="str">
        <f t="shared" si="153"/>
        <v>30-39</v>
      </c>
      <c r="AM727" s="10" t="str">
        <f t="shared" si="154"/>
        <v>faible</v>
      </c>
      <c r="AN727" s="10" t="s">
        <v>2837</v>
      </c>
      <c r="AO727" s="10" t="str">
        <f t="shared" si="155"/>
        <v>Elevée</v>
      </c>
    </row>
    <row r="728" spans="1:41">
      <c r="A728" t="s">
        <v>2200</v>
      </c>
      <c r="B728" s="2">
        <v>45678</v>
      </c>
      <c r="C728" t="s">
        <v>2201</v>
      </c>
      <c r="D728" t="s">
        <v>333</v>
      </c>
      <c r="E728" t="s">
        <v>345</v>
      </c>
      <c r="F728" t="s">
        <v>130</v>
      </c>
      <c r="G728">
        <v>1</v>
      </c>
      <c r="H728" s="4">
        <v>65</v>
      </c>
      <c r="I728" s="3">
        <v>0</v>
      </c>
      <c r="J728" t="s">
        <v>77</v>
      </c>
      <c r="K728" t="s">
        <v>46</v>
      </c>
      <c r="L728" t="s">
        <v>2202</v>
      </c>
      <c r="M728" t="s">
        <v>69</v>
      </c>
      <c r="N728" t="s">
        <v>255</v>
      </c>
      <c r="O728" t="s">
        <v>336</v>
      </c>
      <c r="P728" t="s">
        <v>51</v>
      </c>
      <c r="Q728" t="s">
        <v>52</v>
      </c>
      <c r="R728" t="s">
        <v>347</v>
      </c>
      <c r="S728" t="s">
        <v>54</v>
      </c>
      <c r="T728" t="s">
        <v>135</v>
      </c>
      <c r="U728" s="5">
        <v>32</v>
      </c>
      <c r="V728" s="5" t="s">
        <v>85</v>
      </c>
      <c r="W728" s="5">
        <v>49</v>
      </c>
      <c r="X728" s="5">
        <v>2.9</v>
      </c>
      <c r="Y728" s="5">
        <v>9</v>
      </c>
      <c r="Z728" s="5" t="s">
        <v>117</v>
      </c>
      <c r="AA728" s="6">
        <v>47.45</v>
      </c>
      <c r="AB728" s="8">
        <f t="shared" si="143"/>
        <v>65</v>
      </c>
      <c r="AC728" s="8">
        <f t="shared" si="144"/>
        <v>0</v>
      </c>
      <c r="AD728" s="8">
        <f t="shared" si="145"/>
        <v>65</v>
      </c>
      <c r="AE728" s="8">
        <f t="shared" si="146"/>
        <v>47.45</v>
      </c>
      <c r="AF728" s="8">
        <f t="shared" si="147"/>
        <v>17.549999999999997</v>
      </c>
      <c r="AG728" s="9">
        <f t="shared" si="148"/>
        <v>0.26999999999999996</v>
      </c>
      <c r="AH728" s="10">
        <f t="shared" si="149"/>
        <v>2025</v>
      </c>
      <c r="AI728" s="10">
        <f t="shared" si="150"/>
        <v>1</v>
      </c>
      <c r="AJ728" s="10" t="str">
        <f t="shared" si="151"/>
        <v>2025-01</v>
      </c>
      <c r="AK728" s="10" t="str">
        <f t="shared" si="152"/>
        <v>T1</v>
      </c>
      <c r="AL728" s="10" t="str">
        <f t="shared" si="153"/>
        <v>30-39</v>
      </c>
      <c r="AM728" s="10" t="str">
        <f t="shared" si="154"/>
        <v>faible</v>
      </c>
      <c r="AN728" s="10" t="s">
        <v>2837</v>
      </c>
      <c r="AO728" s="10" t="str">
        <f t="shared" si="155"/>
        <v>Faible</v>
      </c>
    </row>
    <row r="729" spans="1:41">
      <c r="A729" t="s">
        <v>2203</v>
      </c>
      <c r="B729" s="2">
        <v>45919</v>
      </c>
      <c r="C729" t="s">
        <v>423</v>
      </c>
      <c r="D729" t="s">
        <v>138</v>
      </c>
      <c r="E729" t="s">
        <v>315</v>
      </c>
      <c r="F729" t="s">
        <v>197</v>
      </c>
      <c r="G729">
        <v>4</v>
      </c>
      <c r="H729" s="4">
        <v>120</v>
      </c>
      <c r="I729" s="3">
        <v>0</v>
      </c>
      <c r="J729" t="s">
        <v>77</v>
      </c>
      <c r="K729" t="s">
        <v>46</v>
      </c>
      <c r="L729" t="s">
        <v>425</v>
      </c>
      <c r="M729" t="s">
        <v>54</v>
      </c>
      <c r="N729" t="s">
        <v>80</v>
      </c>
      <c r="O729" t="s">
        <v>142</v>
      </c>
      <c r="P729" t="s">
        <v>51</v>
      </c>
      <c r="Q729" t="s">
        <v>143</v>
      </c>
      <c r="R729" t="s">
        <v>317</v>
      </c>
      <c r="S729" t="s">
        <v>69</v>
      </c>
      <c r="T729" t="s">
        <v>199</v>
      </c>
      <c r="U729" s="5">
        <v>52</v>
      </c>
      <c r="V729" s="5" t="s">
        <v>85</v>
      </c>
      <c r="W729" s="5">
        <v>25</v>
      </c>
      <c r="X729" s="5">
        <v>4.3</v>
      </c>
      <c r="Y729" s="5">
        <v>9</v>
      </c>
      <c r="Z729" s="5" t="s">
        <v>94</v>
      </c>
      <c r="AA729" s="6">
        <v>73.2</v>
      </c>
      <c r="AB729" s="8">
        <f t="shared" si="143"/>
        <v>480</v>
      </c>
      <c r="AC729" s="8">
        <f t="shared" si="144"/>
        <v>0</v>
      </c>
      <c r="AD729" s="8">
        <f t="shared" si="145"/>
        <v>480</v>
      </c>
      <c r="AE729" s="8">
        <f t="shared" si="146"/>
        <v>292.8</v>
      </c>
      <c r="AF729" s="8">
        <f t="shared" si="147"/>
        <v>187.2</v>
      </c>
      <c r="AG729" s="9">
        <f t="shared" si="148"/>
        <v>0.38999999999999996</v>
      </c>
      <c r="AH729" s="10">
        <f t="shared" si="149"/>
        <v>2025</v>
      </c>
      <c r="AI729" s="10">
        <f t="shared" si="150"/>
        <v>9</v>
      </c>
      <c r="AJ729" s="10" t="str">
        <f t="shared" si="151"/>
        <v>2025-09</v>
      </c>
      <c r="AK729" s="10" t="str">
        <f t="shared" si="152"/>
        <v>T3</v>
      </c>
      <c r="AL729" s="10" t="str">
        <f t="shared" si="153"/>
        <v>50+</v>
      </c>
      <c r="AM729" s="10" t="str">
        <f t="shared" si="154"/>
        <v>faible</v>
      </c>
      <c r="AN729" s="10" t="s">
        <v>2837</v>
      </c>
      <c r="AO729" s="10" t="str">
        <f t="shared" si="155"/>
        <v>Faible</v>
      </c>
    </row>
    <row r="730" spans="1:41">
      <c r="A730" t="s">
        <v>2204</v>
      </c>
      <c r="B730" s="2">
        <v>45782</v>
      </c>
      <c r="C730" t="s">
        <v>686</v>
      </c>
      <c r="D730" t="s">
        <v>74</v>
      </c>
      <c r="E730" t="s">
        <v>98</v>
      </c>
      <c r="F730" t="s">
        <v>361</v>
      </c>
      <c r="G730">
        <v>5</v>
      </c>
      <c r="H730" s="4">
        <v>95</v>
      </c>
      <c r="I730" s="3">
        <v>0.1</v>
      </c>
      <c r="J730" t="s">
        <v>45</v>
      </c>
      <c r="K730" t="s">
        <v>46</v>
      </c>
      <c r="L730" t="s">
        <v>687</v>
      </c>
      <c r="M730" t="s">
        <v>79</v>
      </c>
      <c r="N730" t="s">
        <v>101</v>
      </c>
      <c r="O730" t="s">
        <v>81</v>
      </c>
      <c r="P730" t="s">
        <v>82</v>
      </c>
      <c r="Q730" t="s">
        <v>52</v>
      </c>
      <c r="R730" t="s">
        <v>104</v>
      </c>
      <c r="S730" t="s">
        <v>79</v>
      </c>
      <c r="T730" t="s">
        <v>363</v>
      </c>
      <c r="U730" s="5">
        <v>30</v>
      </c>
      <c r="V730" s="5" t="s">
        <v>85</v>
      </c>
      <c r="W730" s="5">
        <v>9</v>
      </c>
      <c r="X730" s="5">
        <v>4.9000000000000004</v>
      </c>
      <c r="Y730" s="5">
        <v>6</v>
      </c>
      <c r="Z730" s="5" t="s">
        <v>117</v>
      </c>
      <c r="AA730" s="6">
        <v>70.3</v>
      </c>
      <c r="AB730" s="8">
        <f t="shared" si="143"/>
        <v>475</v>
      </c>
      <c r="AC730" s="8">
        <f t="shared" si="144"/>
        <v>47.5</v>
      </c>
      <c r="AD730" s="8">
        <f t="shared" si="145"/>
        <v>427.5</v>
      </c>
      <c r="AE730" s="8">
        <f t="shared" si="146"/>
        <v>351.5</v>
      </c>
      <c r="AF730" s="8">
        <f t="shared" si="147"/>
        <v>76</v>
      </c>
      <c r="AG730" s="9">
        <f t="shared" si="148"/>
        <v>0.17777777777777778</v>
      </c>
      <c r="AH730" s="10">
        <f t="shared" si="149"/>
        <v>2025</v>
      </c>
      <c r="AI730" s="10">
        <f t="shared" si="150"/>
        <v>5</v>
      </c>
      <c r="AJ730" s="10" t="str">
        <f t="shared" si="151"/>
        <v>2025-05</v>
      </c>
      <c r="AK730" s="10" t="str">
        <f t="shared" si="152"/>
        <v>T2</v>
      </c>
      <c r="AL730" s="10" t="str">
        <f t="shared" si="153"/>
        <v>30-39</v>
      </c>
      <c r="AM730" s="10" t="str">
        <f t="shared" si="154"/>
        <v>faible</v>
      </c>
      <c r="AN730" s="10" t="s">
        <v>2839</v>
      </c>
      <c r="AO730" s="10" t="str">
        <f t="shared" si="155"/>
        <v>Faible</v>
      </c>
    </row>
    <row r="731" spans="1:41">
      <c r="A731" t="s">
        <v>2205</v>
      </c>
      <c r="B731" s="2">
        <v>45708</v>
      </c>
      <c r="C731" t="s">
        <v>2206</v>
      </c>
      <c r="D731" t="s">
        <v>272</v>
      </c>
      <c r="E731" t="s">
        <v>277</v>
      </c>
      <c r="F731" t="s">
        <v>429</v>
      </c>
      <c r="G731">
        <v>1</v>
      </c>
      <c r="H731" s="4">
        <v>420</v>
      </c>
      <c r="I731" s="3">
        <v>0.05</v>
      </c>
      <c r="J731" t="s">
        <v>90</v>
      </c>
      <c r="K731" t="s">
        <v>46</v>
      </c>
      <c r="L731" t="s">
        <v>2207</v>
      </c>
      <c r="M731" t="s">
        <v>69</v>
      </c>
      <c r="N731" t="s">
        <v>101</v>
      </c>
      <c r="O731" t="s">
        <v>274</v>
      </c>
      <c r="P731" t="s">
        <v>133</v>
      </c>
      <c r="Q731" t="s">
        <v>114</v>
      </c>
      <c r="R731" t="s">
        <v>279</v>
      </c>
      <c r="S731" t="s">
        <v>54</v>
      </c>
      <c r="T731" t="s">
        <v>431</v>
      </c>
      <c r="U731" s="5">
        <v>58</v>
      </c>
      <c r="V731" s="5" t="s">
        <v>56</v>
      </c>
      <c r="W731" s="5">
        <v>26</v>
      </c>
      <c r="X731" s="5">
        <v>6.8</v>
      </c>
      <c r="Y731" s="5">
        <v>5</v>
      </c>
      <c r="Z731" s="5" t="s">
        <v>71</v>
      </c>
      <c r="AA731" s="6">
        <v>273</v>
      </c>
      <c r="AB731" s="8">
        <f t="shared" si="143"/>
        <v>420</v>
      </c>
      <c r="AC731" s="8">
        <f t="shared" si="144"/>
        <v>21</v>
      </c>
      <c r="AD731" s="8">
        <f t="shared" si="145"/>
        <v>399</v>
      </c>
      <c r="AE731" s="8">
        <f t="shared" si="146"/>
        <v>273</v>
      </c>
      <c r="AF731" s="8">
        <f t="shared" si="147"/>
        <v>126</v>
      </c>
      <c r="AG731" s="9">
        <f t="shared" si="148"/>
        <v>0.31578947368421051</v>
      </c>
      <c r="AH731" s="10">
        <f t="shared" si="149"/>
        <v>2025</v>
      </c>
      <c r="AI731" s="10">
        <f t="shared" si="150"/>
        <v>2</v>
      </c>
      <c r="AJ731" s="10" t="str">
        <f t="shared" si="151"/>
        <v>2025-02</v>
      </c>
      <c r="AK731" s="10" t="str">
        <f t="shared" si="152"/>
        <v>T1</v>
      </c>
      <c r="AL731" s="10" t="str">
        <f t="shared" si="153"/>
        <v>50+</v>
      </c>
      <c r="AM731" s="10" t="str">
        <f t="shared" si="154"/>
        <v>moyen</v>
      </c>
      <c r="AN731" s="10" t="s">
        <v>2839</v>
      </c>
      <c r="AO731" s="10" t="str">
        <f t="shared" si="155"/>
        <v>Faible</v>
      </c>
    </row>
    <row r="732" spans="1:41">
      <c r="A732" t="s">
        <v>2208</v>
      </c>
      <c r="B732" s="2">
        <v>45920</v>
      </c>
      <c r="C732" t="s">
        <v>2209</v>
      </c>
      <c r="D732" t="s">
        <v>42</v>
      </c>
      <c r="E732" t="s">
        <v>214</v>
      </c>
      <c r="F732" t="s">
        <v>676</v>
      </c>
      <c r="G732">
        <v>20</v>
      </c>
      <c r="H732" s="4">
        <v>260</v>
      </c>
      <c r="I732" s="3">
        <v>0</v>
      </c>
      <c r="J732" t="s">
        <v>45</v>
      </c>
      <c r="K732" t="s">
        <v>46</v>
      </c>
      <c r="L732" t="s">
        <v>2210</v>
      </c>
      <c r="M732" t="s">
        <v>79</v>
      </c>
      <c r="N732" t="s">
        <v>112</v>
      </c>
      <c r="O732" t="s">
        <v>50</v>
      </c>
      <c r="P732" t="s">
        <v>51</v>
      </c>
      <c r="Q732" t="s">
        <v>52</v>
      </c>
      <c r="R732" t="s">
        <v>216</v>
      </c>
      <c r="S732" t="s">
        <v>65</v>
      </c>
      <c r="T732" t="s">
        <v>678</v>
      </c>
      <c r="U732" s="5">
        <v>47</v>
      </c>
      <c r="V732" s="5" t="s">
        <v>56</v>
      </c>
      <c r="W732" s="5">
        <v>21</v>
      </c>
      <c r="X732" s="5">
        <v>7.1</v>
      </c>
      <c r="Y732" s="5">
        <v>4</v>
      </c>
      <c r="Z732" s="5" t="s">
        <v>71</v>
      </c>
      <c r="AA732" s="6">
        <v>189.8</v>
      </c>
      <c r="AB732" s="8">
        <f t="shared" si="143"/>
        <v>5200</v>
      </c>
      <c r="AC732" s="8">
        <f t="shared" si="144"/>
        <v>0</v>
      </c>
      <c r="AD732" s="8">
        <f t="shared" si="145"/>
        <v>5200</v>
      </c>
      <c r="AE732" s="8">
        <f t="shared" si="146"/>
        <v>3796</v>
      </c>
      <c r="AF732" s="8">
        <f t="shared" si="147"/>
        <v>1404</v>
      </c>
      <c r="AG732" s="9">
        <f t="shared" si="148"/>
        <v>0.27</v>
      </c>
      <c r="AH732" s="10">
        <f t="shared" si="149"/>
        <v>2025</v>
      </c>
      <c r="AI732" s="10">
        <f t="shared" si="150"/>
        <v>9</v>
      </c>
      <c r="AJ732" s="10" t="str">
        <f t="shared" si="151"/>
        <v>2025-09</v>
      </c>
      <c r="AK732" s="10" t="str">
        <f t="shared" si="152"/>
        <v>T3</v>
      </c>
      <c r="AL732" s="10" t="str">
        <f t="shared" si="153"/>
        <v>40-49</v>
      </c>
      <c r="AM732" s="10" t="str">
        <f t="shared" si="154"/>
        <v>bon</v>
      </c>
      <c r="AN732" s="10" t="s">
        <v>2839</v>
      </c>
      <c r="AO732" s="10" t="str">
        <f t="shared" si="155"/>
        <v>Elevée</v>
      </c>
    </row>
    <row r="733" spans="1:41">
      <c r="A733" t="s">
        <v>2211</v>
      </c>
      <c r="B733" s="2">
        <v>45792</v>
      </c>
      <c r="C733" t="s">
        <v>2212</v>
      </c>
      <c r="D733" t="s">
        <v>60</v>
      </c>
      <c r="E733" t="s">
        <v>163</v>
      </c>
      <c r="F733" t="s">
        <v>487</v>
      </c>
      <c r="G733">
        <v>2</v>
      </c>
      <c r="H733" s="4">
        <v>180</v>
      </c>
      <c r="I733" s="3">
        <v>0.1</v>
      </c>
      <c r="J733" t="s">
        <v>63</v>
      </c>
      <c r="K733" t="s">
        <v>46</v>
      </c>
      <c r="L733" t="s">
        <v>2213</v>
      </c>
      <c r="M733" t="s">
        <v>69</v>
      </c>
      <c r="N733" t="s">
        <v>101</v>
      </c>
      <c r="O733" t="s">
        <v>66</v>
      </c>
      <c r="P733" t="s">
        <v>67</v>
      </c>
      <c r="Q733" t="s">
        <v>52</v>
      </c>
      <c r="R733" t="s">
        <v>167</v>
      </c>
      <c r="S733" t="s">
        <v>123</v>
      </c>
      <c r="T733" t="s">
        <v>489</v>
      </c>
      <c r="U733" s="5">
        <v>55</v>
      </c>
      <c r="V733" s="5" t="s">
        <v>85</v>
      </c>
      <c r="W733" s="5">
        <v>40</v>
      </c>
      <c r="X733" s="5">
        <v>3.1</v>
      </c>
      <c r="Y733" s="5">
        <v>9</v>
      </c>
      <c r="Z733" s="5" t="s">
        <v>117</v>
      </c>
      <c r="AA733" s="6">
        <v>129.6</v>
      </c>
      <c r="AB733" s="8">
        <f t="shared" si="143"/>
        <v>360</v>
      </c>
      <c r="AC733" s="8">
        <f t="shared" si="144"/>
        <v>36</v>
      </c>
      <c r="AD733" s="8">
        <f t="shared" si="145"/>
        <v>324</v>
      </c>
      <c r="AE733" s="8">
        <f t="shared" si="146"/>
        <v>259.2</v>
      </c>
      <c r="AF733" s="8">
        <f t="shared" si="147"/>
        <v>64.800000000000011</v>
      </c>
      <c r="AG733" s="9">
        <f t="shared" si="148"/>
        <v>0.20000000000000004</v>
      </c>
      <c r="AH733" s="10">
        <f t="shared" si="149"/>
        <v>2025</v>
      </c>
      <c r="AI733" s="10">
        <f t="shared" si="150"/>
        <v>5</v>
      </c>
      <c r="AJ733" s="10" t="str">
        <f t="shared" si="151"/>
        <v>2025-05</v>
      </c>
      <c r="AK733" s="10" t="str">
        <f t="shared" si="152"/>
        <v>T2</v>
      </c>
      <c r="AL733" s="10" t="str">
        <f t="shared" si="153"/>
        <v>50+</v>
      </c>
      <c r="AM733" s="10" t="str">
        <f t="shared" si="154"/>
        <v>faible</v>
      </c>
      <c r="AN733" s="10" t="s">
        <v>2837</v>
      </c>
      <c r="AO733" s="10" t="str">
        <f t="shared" si="155"/>
        <v>Faible</v>
      </c>
    </row>
    <row r="734" spans="1:41">
      <c r="A734" t="s">
        <v>2214</v>
      </c>
      <c r="B734" s="2">
        <v>46001</v>
      </c>
      <c r="C734" t="s">
        <v>2215</v>
      </c>
      <c r="D734" t="s">
        <v>148</v>
      </c>
      <c r="E734" t="s">
        <v>120</v>
      </c>
      <c r="F734" t="s">
        <v>202</v>
      </c>
      <c r="G734">
        <v>4</v>
      </c>
      <c r="H734" s="4">
        <v>110</v>
      </c>
      <c r="I734" s="3">
        <v>0</v>
      </c>
      <c r="J734" t="s">
        <v>63</v>
      </c>
      <c r="K734" t="s">
        <v>46</v>
      </c>
      <c r="L734" t="s">
        <v>2216</v>
      </c>
      <c r="M734" t="s">
        <v>65</v>
      </c>
      <c r="N734" t="s">
        <v>112</v>
      </c>
      <c r="O734" t="s">
        <v>151</v>
      </c>
      <c r="P734" t="s">
        <v>103</v>
      </c>
      <c r="Q734" t="s">
        <v>114</v>
      </c>
      <c r="R734" t="s">
        <v>124</v>
      </c>
      <c r="S734" t="s">
        <v>48</v>
      </c>
      <c r="T734" t="s">
        <v>204</v>
      </c>
      <c r="U734" s="5">
        <v>28</v>
      </c>
      <c r="V734" s="5" t="s">
        <v>85</v>
      </c>
      <c r="W734" s="5">
        <v>10</v>
      </c>
      <c r="X734" s="5">
        <v>6.1</v>
      </c>
      <c r="Y734" s="5">
        <v>5</v>
      </c>
      <c r="Z734" s="5" t="s">
        <v>71</v>
      </c>
      <c r="AA734" s="6">
        <v>72.599999999999994</v>
      </c>
      <c r="AB734" s="8">
        <f t="shared" si="143"/>
        <v>440</v>
      </c>
      <c r="AC734" s="8">
        <f t="shared" si="144"/>
        <v>0</v>
      </c>
      <c r="AD734" s="8">
        <f t="shared" si="145"/>
        <v>440</v>
      </c>
      <c r="AE734" s="8">
        <f t="shared" si="146"/>
        <v>290.39999999999998</v>
      </c>
      <c r="AF734" s="8">
        <f t="shared" si="147"/>
        <v>149.60000000000002</v>
      </c>
      <c r="AG734" s="9">
        <f t="shared" si="148"/>
        <v>0.34</v>
      </c>
      <c r="AH734" s="10">
        <f t="shared" si="149"/>
        <v>2025</v>
      </c>
      <c r="AI734" s="10">
        <f t="shared" si="150"/>
        <v>12</v>
      </c>
      <c r="AJ734" s="10" t="str">
        <f t="shared" si="151"/>
        <v>2025-12</v>
      </c>
      <c r="AK734" s="10" t="str">
        <f t="shared" si="152"/>
        <v>T4</v>
      </c>
      <c r="AL734" s="10" t="str">
        <f t="shared" si="153"/>
        <v>22-29</v>
      </c>
      <c r="AM734" s="10" t="str">
        <f t="shared" si="154"/>
        <v>moyen</v>
      </c>
      <c r="AN734" s="10" t="s">
        <v>2839</v>
      </c>
      <c r="AO734" s="10" t="str">
        <f t="shared" si="155"/>
        <v>Faible</v>
      </c>
    </row>
    <row r="735" spans="1:41">
      <c r="A735" t="s">
        <v>2217</v>
      </c>
      <c r="B735" s="2">
        <v>45918</v>
      </c>
      <c r="C735" t="s">
        <v>1551</v>
      </c>
      <c r="D735" t="s">
        <v>42</v>
      </c>
      <c r="E735" t="s">
        <v>277</v>
      </c>
      <c r="F735" t="s">
        <v>267</v>
      </c>
      <c r="G735">
        <v>5</v>
      </c>
      <c r="H735" s="4">
        <v>260</v>
      </c>
      <c r="I735" s="3">
        <v>0.08</v>
      </c>
      <c r="J735" t="s">
        <v>45</v>
      </c>
      <c r="K735" t="s">
        <v>46</v>
      </c>
      <c r="L735" t="s">
        <v>1552</v>
      </c>
      <c r="M735" t="s">
        <v>54</v>
      </c>
      <c r="N735" t="s">
        <v>255</v>
      </c>
      <c r="O735" t="s">
        <v>50</v>
      </c>
      <c r="P735" t="s">
        <v>51</v>
      </c>
      <c r="Q735" t="s">
        <v>52</v>
      </c>
      <c r="R735" t="s">
        <v>279</v>
      </c>
      <c r="S735" t="s">
        <v>54</v>
      </c>
      <c r="T735" t="s">
        <v>269</v>
      </c>
      <c r="U735" s="5">
        <v>49</v>
      </c>
      <c r="V735" s="5" t="s">
        <v>85</v>
      </c>
      <c r="W735" s="5">
        <v>23</v>
      </c>
      <c r="X735" s="5">
        <v>8.3000000000000007</v>
      </c>
      <c r="Y735" s="5">
        <v>2</v>
      </c>
      <c r="Z735" s="5" t="s">
        <v>94</v>
      </c>
      <c r="AA735" s="6">
        <v>189.8</v>
      </c>
      <c r="AB735" s="8">
        <f t="shared" si="143"/>
        <v>1300</v>
      </c>
      <c r="AC735" s="8">
        <f t="shared" si="144"/>
        <v>104</v>
      </c>
      <c r="AD735" s="8">
        <f t="shared" si="145"/>
        <v>1196</v>
      </c>
      <c r="AE735" s="8">
        <f t="shared" si="146"/>
        <v>949</v>
      </c>
      <c r="AF735" s="8">
        <f t="shared" si="147"/>
        <v>247</v>
      </c>
      <c r="AG735" s="9">
        <f t="shared" si="148"/>
        <v>0.20652173913043478</v>
      </c>
      <c r="AH735" s="10">
        <f t="shared" si="149"/>
        <v>2025</v>
      </c>
      <c r="AI735" s="10">
        <f t="shared" si="150"/>
        <v>9</v>
      </c>
      <c r="AJ735" s="10" t="str">
        <f t="shared" si="151"/>
        <v>2025-09</v>
      </c>
      <c r="AK735" s="10" t="str">
        <f t="shared" si="152"/>
        <v>T3</v>
      </c>
      <c r="AL735" s="10" t="str">
        <f t="shared" si="153"/>
        <v>40-49</v>
      </c>
      <c r="AM735" s="10" t="str">
        <f t="shared" si="154"/>
        <v>bon</v>
      </c>
      <c r="AN735" s="10" t="s">
        <v>2838</v>
      </c>
      <c r="AO735" s="10" t="str">
        <f t="shared" si="155"/>
        <v>Elevée</v>
      </c>
    </row>
    <row r="736" spans="1:41">
      <c r="A736" t="s">
        <v>2218</v>
      </c>
      <c r="B736" s="2">
        <v>45696</v>
      </c>
      <c r="C736" t="s">
        <v>2219</v>
      </c>
      <c r="D736" t="s">
        <v>74</v>
      </c>
      <c r="E736" t="s">
        <v>277</v>
      </c>
      <c r="F736" t="s">
        <v>253</v>
      </c>
      <c r="G736">
        <v>2</v>
      </c>
      <c r="H736" s="4">
        <v>95</v>
      </c>
      <c r="I736" s="3">
        <v>0</v>
      </c>
      <c r="J736" t="s">
        <v>63</v>
      </c>
      <c r="K736" t="s">
        <v>46</v>
      </c>
      <c r="L736" t="s">
        <v>2220</v>
      </c>
      <c r="M736" t="s">
        <v>79</v>
      </c>
      <c r="N736" t="s">
        <v>49</v>
      </c>
      <c r="O736" t="s">
        <v>81</v>
      </c>
      <c r="P736" t="s">
        <v>82</v>
      </c>
      <c r="Q736" t="s">
        <v>52</v>
      </c>
      <c r="R736" t="s">
        <v>279</v>
      </c>
      <c r="S736" t="s">
        <v>54</v>
      </c>
      <c r="T736" t="s">
        <v>256</v>
      </c>
      <c r="U736" s="5">
        <v>55</v>
      </c>
      <c r="V736" s="5" t="s">
        <v>56</v>
      </c>
      <c r="W736" s="5">
        <v>68</v>
      </c>
      <c r="X736" s="5">
        <v>5.3</v>
      </c>
      <c r="Y736" s="5">
        <v>6</v>
      </c>
      <c r="Z736" s="5" t="s">
        <v>57</v>
      </c>
      <c r="AA736" s="6">
        <v>70.3</v>
      </c>
      <c r="AB736" s="8">
        <f t="shared" si="143"/>
        <v>190</v>
      </c>
      <c r="AC736" s="8">
        <f t="shared" si="144"/>
        <v>0</v>
      </c>
      <c r="AD736" s="8">
        <f t="shared" si="145"/>
        <v>190</v>
      </c>
      <c r="AE736" s="8">
        <f t="shared" si="146"/>
        <v>140.6</v>
      </c>
      <c r="AF736" s="8">
        <f t="shared" si="147"/>
        <v>49.400000000000006</v>
      </c>
      <c r="AG736" s="9">
        <f t="shared" si="148"/>
        <v>0.26</v>
      </c>
      <c r="AH736" s="10">
        <f t="shared" si="149"/>
        <v>2025</v>
      </c>
      <c r="AI736" s="10">
        <f t="shared" si="150"/>
        <v>2</v>
      </c>
      <c r="AJ736" s="10" t="str">
        <f t="shared" si="151"/>
        <v>2025-02</v>
      </c>
      <c r="AK736" s="10" t="str">
        <f t="shared" si="152"/>
        <v>T1</v>
      </c>
      <c r="AL736" s="10" t="str">
        <f t="shared" si="153"/>
        <v>50+</v>
      </c>
      <c r="AM736" s="10" t="str">
        <f t="shared" si="154"/>
        <v>moyen</v>
      </c>
      <c r="AN736" s="10" t="s">
        <v>2839</v>
      </c>
      <c r="AO736" s="10" t="str">
        <f t="shared" si="155"/>
        <v>Faible</v>
      </c>
    </row>
    <row r="737" spans="1:41">
      <c r="A737" t="s">
        <v>2221</v>
      </c>
      <c r="B737" s="2">
        <v>45800</v>
      </c>
      <c r="C737" t="s">
        <v>2222</v>
      </c>
      <c r="D737" t="s">
        <v>42</v>
      </c>
      <c r="E737" t="s">
        <v>219</v>
      </c>
      <c r="F737" t="s">
        <v>334</v>
      </c>
      <c r="G737">
        <v>2</v>
      </c>
      <c r="H737" s="4">
        <v>260</v>
      </c>
      <c r="I737" s="3">
        <v>0.02</v>
      </c>
      <c r="J737" t="s">
        <v>77</v>
      </c>
      <c r="K737" t="s">
        <v>46</v>
      </c>
      <c r="L737" t="s">
        <v>2223</v>
      </c>
      <c r="M737" t="s">
        <v>54</v>
      </c>
      <c r="N737" t="s">
        <v>255</v>
      </c>
      <c r="O737" t="s">
        <v>50</v>
      </c>
      <c r="P737" t="s">
        <v>51</v>
      </c>
      <c r="Q737" t="s">
        <v>52</v>
      </c>
      <c r="R737" t="s">
        <v>222</v>
      </c>
      <c r="S737" t="s">
        <v>123</v>
      </c>
      <c r="T737" t="s">
        <v>337</v>
      </c>
      <c r="U737" s="5">
        <v>37</v>
      </c>
      <c r="V737" s="5" t="s">
        <v>56</v>
      </c>
      <c r="W737" s="5">
        <v>61</v>
      </c>
      <c r="X737" s="5">
        <v>6.3</v>
      </c>
      <c r="Y737" s="5">
        <v>5</v>
      </c>
      <c r="Z737" s="5" t="s">
        <v>117</v>
      </c>
      <c r="AA737" s="6">
        <v>189.8</v>
      </c>
      <c r="AB737" s="8">
        <f t="shared" si="143"/>
        <v>520</v>
      </c>
      <c r="AC737" s="8">
        <f t="shared" si="144"/>
        <v>10.4</v>
      </c>
      <c r="AD737" s="8">
        <f t="shared" si="145"/>
        <v>509.6</v>
      </c>
      <c r="AE737" s="8">
        <f t="shared" si="146"/>
        <v>379.6</v>
      </c>
      <c r="AF737" s="8">
        <f t="shared" si="147"/>
        <v>130</v>
      </c>
      <c r="AG737" s="9">
        <f t="shared" si="148"/>
        <v>0.25510204081632654</v>
      </c>
      <c r="AH737" s="10">
        <f t="shared" si="149"/>
        <v>2025</v>
      </c>
      <c r="AI737" s="10">
        <f t="shared" si="150"/>
        <v>5</v>
      </c>
      <c r="AJ737" s="10" t="str">
        <f t="shared" si="151"/>
        <v>2025-05</v>
      </c>
      <c r="AK737" s="10" t="str">
        <f t="shared" si="152"/>
        <v>T2</v>
      </c>
      <c r="AL737" s="10" t="str">
        <f t="shared" si="153"/>
        <v>30-39</v>
      </c>
      <c r="AM737" s="10" t="str">
        <f t="shared" si="154"/>
        <v>moyen</v>
      </c>
      <c r="AN737" s="10" t="s">
        <v>2839</v>
      </c>
      <c r="AO737" s="10" t="str">
        <f t="shared" si="155"/>
        <v>Moyenne</v>
      </c>
    </row>
    <row r="738" spans="1:41">
      <c r="A738" t="s">
        <v>2224</v>
      </c>
      <c r="B738" s="2">
        <v>45898</v>
      </c>
      <c r="C738" t="s">
        <v>2225</v>
      </c>
      <c r="D738" t="s">
        <v>108</v>
      </c>
      <c r="E738" t="s">
        <v>43</v>
      </c>
      <c r="F738" t="s">
        <v>302</v>
      </c>
      <c r="G738">
        <v>2</v>
      </c>
      <c r="H738" s="4">
        <v>240</v>
      </c>
      <c r="I738" s="3">
        <v>0.02</v>
      </c>
      <c r="J738" t="s">
        <v>45</v>
      </c>
      <c r="K738" t="s">
        <v>46</v>
      </c>
      <c r="L738" t="s">
        <v>2226</v>
      </c>
      <c r="M738" t="s">
        <v>54</v>
      </c>
      <c r="N738" t="s">
        <v>80</v>
      </c>
      <c r="O738" t="s">
        <v>113</v>
      </c>
      <c r="P738" t="s">
        <v>82</v>
      </c>
      <c r="Q738" t="s">
        <v>114</v>
      </c>
      <c r="R738" t="s">
        <v>53</v>
      </c>
      <c r="S738" t="s">
        <v>54</v>
      </c>
      <c r="T738" t="s">
        <v>304</v>
      </c>
      <c r="U738" s="5">
        <v>54</v>
      </c>
      <c r="V738" s="5" t="s">
        <v>56</v>
      </c>
      <c r="W738" s="5">
        <v>18</v>
      </c>
      <c r="X738" s="5">
        <v>5.6</v>
      </c>
      <c r="Y738" s="5">
        <v>5</v>
      </c>
      <c r="Z738" s="5" t="s">
        <v>94</v>
      </c>
      <c r="AA738" s="6">
        <v>177.6</v>
      </c>
      <c r="AB738" s="8">
        <f t="shared" si="143"/>
        <v>480</v>
      </c>
      <c r="AC738" s="8">
        <f t="shared" si="144"/>
        <v>9.6</v>
      </c>
      <c r="AD738" s="8">
        <f t="shared" si="145"/>
        <v>470.4</v>
      </c>
      <c r="AE738" s="8">
        <f t="shared" si="146"/>
        <v>355.2</v>
      </c>
      <c r="AF738" s="8">
        <f t="shared" si="147"/>
        <v>115.19999999999999</v>
      </c>
      <c r="AG738" s="9">
        <f t="shared" si="148"/>
        <v>0.24489795918367346</v>
      </c>
      <c r="AH738" s="10">
        <f t="shared" si="149"/>
        <v>2025</v>
      </c>
      <c r="AI738" s="10">
        <f t="shared" si="150"/>
        <v>8</v>
      </c>
      <c r="AJ738" s="10" t="str">
        <f t="shared" si="151"/>
        <v>2025-08</v>
      </c>
      <c r="AK738" s="10" t="str">
        <f t="shared" si="152"/>
        <v>T3</v>
      </c>
      <c r="AL738" s="10" t="str">
        <f t="shared" si="153"/>
        <v>50+</v>
      </c>
      <c r="AM738" s="10" t="str">
        <f t="shared" si="154"/>
        <v>moyen</v>
      </c>
      <c r="AN738" s="10" t="s">
        <v>2839</v>
      </c>
      <c r="AO738" s="10" t="str">
        <f t="shared" si="155"/>
        <v>Faible</v>
      </c>
    </row>
    <row r="739" spans="1:41">
      <c r="A739" t="s">
        <v>2227</v>
      </c>
      <c r="B739" s="2">
        <v>45922</v>
      </c>
      <c r="C739" t="s">
        <v>1902</v>
      </c>
      <c r="D739" t="s">
        <v>272</v>
      </c>
      <c r="E739" t="s">
        <v>189</v>
      </c>
      <c r="F739" t="s">
        <v>374</v>
      </c>
      <c r="G739">
        <v>3</v>
      </c>
      <c r="H739" s="4">
        <v>420</v>
      </c>
      <c r="I739" s="3">
        <v>0</v>
      </c>
      <c r="J739" t="s">
        <v>77</v>
      </c>
      <c r="K739" t="s">
        <v>46</v>
      </c>
      <c r="L739" t="s">
        <v>1903</v>
      </c>
      <c r="M739" t="s">
        <v>123</v>
      </c>
      <c r="N739" t="s">
        <v>80</v>
      </c>
      <c r="O739" t="s">
        <v>274</v>
      </c>
      <c r="P739" t="s">
        <v>133</v>
      </c>
      <c r="Q739" t="s">
        <v>114</v>
      </c>
      <c r="R739" t="s">
        <v>193</v>
      </c>
      <c r="S739" t="s">
        <v>79</v>
      </c>
      <c r="T739" t="s">
        <v>376</v>
      </c>
      <c r="U739" s="5">
        <v>59</v>
      </c>
      <c r="V739" s="5" t="s">
        <v>85</v>
      </c>
      <c r="W739" s="5">
        <v>33</v>
      </c>
      <c r="X739" s="5">
        <v>6.6</v>
      </c>
      <c r="Y739" s="5">
        <v>5</v>
      </c>
      <c r="Z739" s="5" t="s">
        <v>117</v>
      </c>
      <c r="AA739" s="6">
        <v>273</v>
      </c>
      <c r="AB739" s="8">
        <f t="shared" si="143"/>
        <v>1260</v>
      </c>
      <c r="AC739" s="8">
        <f t="shared" si="144"/>
        <v>0</v>
      </c>
      <c r="AD739" s="8">
        <f t="shared" si="145"/>
        <v>1260</v>
      </c>
      <c r="AE739" s="8">
        <f t="shared" si="146"/>
        <v>819</v>
      </c>
      <c r="AF739" s="8">
        <f t="shared" si="147"/>
        <v>441</v>
      </c>
      <c r="AG739" s="9">
        <f t="shared" si="148"/>
        <v>0.35</v>
      </c>
      <c r="AH739" s="10">
        <f t="shared" si="149"/>
        <v>2025</v>
      </c>
      <c r="AI739" s="10">
        <f t="shared" si="150"/>
        <v>9</v>
      </c>
      <c r="AJ739" s="10" t="str">
        <f t="shared" si="151"/>
        <v>2025-09</v>
      </c>
      <c r="AK739" s="10" t="str">
        <f t="shared" si="152"/>
        <v>T3</v>
      </c>
      <c r="AL739" s="10" t="str">
        <f t="shared" si="153"/>
        <v>50+</v>
      </c>
      <c r="AM739" s="10" t="str">
        <f t="shared" si="154"/>
        <v>moyen</v>
      </c>
      <c r="AN739" s="10" t="s">
        <v>2839</v>
      </c>
      <c r="AO739" s="10" t="str">
        <f t="shared" si="155"/>
        <v>Elevée</v>
      </c>
    </row>
    <row r="740" spans="1:41">
      <c r="A740" t="s">
        <v>2228</v>
      </c>
      <c r="B740" s="2">
        <v>45818</v>
      </c>
      <c r="C740" t="s">
        <v>2229</v>
      </c>
      <c r="D740" t="s">
        <v>74</v>
      </c>
      <c r="E740" t="s">
        <v>207</v>
      </c>
      <c r="F740" t="s">
        <v>156</v>
      </c>
      <c r="G740">
        <v>6</v>
      </c>
      <c r="H740" s="4">
        <v>95</v>
      </c>
      <c r="I740" s="3">
        <v>0</v>
      </c>
      <c r="J740" t="s">
        <v>45</v>
      </c>
      <c r="K740" t="s">
        <v>46</v>
      </c>
      <c r="L740" t="s">
        <v>2230</v>
      </c>
      <c r="M740" t="s">
        <v>123</v>
      </c>
      <c r="N740" t="s">
        <v>49</v>
      </c>
      <c r="O740" t="s">
        <v>81</v>
      </c>
      <c r="P740" t="s">
        <v>82</v>
      </c>
      <c r="Q740" t="s">
        <v>52</v>
      </c>
      <c r="R740" t="s">
        <v>210</v>
      </c>
      <c r="S740" t="s">
        <v>79</v>
      </c>
      <c r="T740" t="s">
        <v>159</v>
      </c>
      <c r="U740" s="5">
        <v>33</v>
      </c>
      <c r="V740" s="5" t="s">
        <v>85</v>
      </c>
      <c r="W740" s="5">
        <v>72</v>
      </c>
      <c r="X740" s="5">
        <v>7.3</v>
      </c>
      <c r="Y740" s="5">
        <v>3</v>
      </c>
      <c r="Z740" s="5" t="s">
        <v>57</v>
      </c>
      <c r="AA740" s="6">
        <v>70.3</v>
      </c>
      <c r="AB740" s="8">
        <f t="shared" si="143"/>
        <v>570</v>
      </c>
      <c r="AC740" s="8">
        <f t="shared" si="144"/>
        <v>0</v>
      </c>
      <c r="AD740" s="8">
        <f t="shared" si="145"/>
        <v>570</v>
      </c>
      <c r="AE740" s="8">
        <f t="shared" si="146"/>
        <v>421.79999999999995</v>
      </c>
      <c r="AF740" s="8">
        <f t="shared" si="147"/>
        <v>148.20000000000005</v>
      </c>
      <c r="AG740" s="9">
        <f t="shared" si="148"/>
        <v>0.26000000000000006</v>
      </c>
      <c r="AH740" s="10">
        <f t="shared" si="149"/>
        <v>2025</v>
      </c>
      <c r="AI740" s="10">
        <f t="shared" si="150"/>
        <v>6</v>
      </c>
      <c r="AJ740" s="10" t="str">
        <f t="shared" si="151"/>
        <v>2025-06</v>
      </c>
      <c r="AK740" s="10" t="str">
        <f t="shared" si="152"/>
        <v>T2</v>
      </c>
      <c r="AL740" s="10" t="str">
        <f t="shared" si="153"/>
        <v>30-39</v>
      </c>
      <c r="AM740" s="10" t="str">
        <f t="shared" si="154"/>
        <v>bon</v>
      </c>
      <c r="AN740" s="10" t="s">
        <v>2838</v>
      </c>
      <c r="AO740" s="10" t="str">
        <f t="shared" si="155"/>
        <v>Moyenne</v>
      </c>
    </row>
    <row r="741" spans="1:41">
      <c r="A741" t="s">
        <v>2231</v>
      </c>
      <c r="B741" s="2">
        <v>45829</v>
      </c>
      <c r="C741" t="s">
        <v>1701</v>
      </c>
      <c r="D741" t="s">
        <v>74</v>
      </c>
      <c r="E741" t="s">
        <v>88</v>
      </c>
      <c r="F741" t="s">
        <v>487</v>
      </c>
      <c r="G741">
        <v>2</v>
      </c>
      <c r="H741" s="4">
        <v>95</v>
      </c>
      <c r="I741" s="3">
        <v>0.02</v>
      </c>
      <c r="J741" t="s">
        <v>77</v>
      </c>
      <c r="K741" t="s">
        <v>46</v>
      </c>
      <c r="L741" t="s">
        <v>1702</v>
      </c>
      <c r="M741" t="s">
        <v>48</v>
      </c>
      <c r="N741" t="s">
        <v>255</v>
      </c>
      <c r="O741" t="s">
        <v>81</v>
      </c>
      <c r="P741" t="s">
        <v>82</v>
      </c>
      <c r="Q741" t="s">
        <v>52</v>
      </c>
      <c r="R741" t="s">
        <v>92</v>
      </c>
      <c r="S741" t="s">
        <v>48</v>
      </c>
      <c r="T741" t="s">
        <v>489</v>
      </c>
      <c r="U741" s="5">
        <v>28</v>
      </c>
      <c r="V741" s="5" t="s">
        <v>56</v>
      </c>
      <c r="W741" s="5">
        <v>17</v>
      </c>
      <c r="X741" s="5">
        <v>8</v>
      </c>
      <c r="Y741" s="5">
        <v>1</v>
      </c>
      <c r="Z741" s="5" t="s">
        <v>117</v>
      </c>
      <c r="AA741" s="6">
        <v>70.3</v>
      </c>
      <c r="AB741" s="8">
        <f t="shared" si="143"/>
        <v>190</v>
      </c>
      <c r="AC741" s="8">
        <f t="shared" si="144"/>
        <v>3.8000000000000003</v>
      </c>
      <c r="AD741" s="8">
        <f t="shared" si="145"/>
        <v>186.2</v>
      </c>
      <c r="AE741" s="8">
        <f t="shared" si="146"/>
        <v>140.6</v>
      </c>
      <c r="AF741" s="8">
        <f t="shared" si="147"/>
        <v>45.599999999999994</v>
      </c>
      <c r="AG741" s="9">
        <f t="shared" si="148"/>
        <v>0.24489795918367346</v>
      </c>
      <c r="AH741" s="10">
        <f t="shared" si="149"/>
        <v>2025</v>
      </c>
      <c r="AI741" s="10">
        <f t="shared" si="150"/>
        <v>6</v>
      </c>
      <c r="AJ741" s="10" t="str">
        <f t="shared" si="151"/>
        <v>2025-06</v>
      </c>
      <c r="AK741" s="10" t="str">
        <f t="shared" si="152"/>
        <v>T2</v>
      </c>
      <c r="AL741" s="10" t="str">
        <f t="shared" si="153"/>
        <v>22-29</v>
      </c>
      <c r="AM741" s="10" t="str">
        <f t="shared" si="154"/>
        <v>bon</v>
      </c>
      <c r="AN741" s="10" t="s">
        <v>2838</v>
      </c>
      <c r="AO741" s="10" t="str">
        <f t="shared" si="155"/>
        <v>Faible</v>
      </c>
    </row>
    <row r="742" spans="1:41">
      <c r="A742" t="s">
        <v>2232</v>
      </c>
      <c r="B742" s="2">
        <v>46010</v>
      </c>
      <c r="C742" t="s">
        <v>1520</v>
      </c>
      <c r="D742" t="s">
        <v>181</v>
      </c>
      <c r="E742" t="s">
        <v>98</v>
      </c>
      <c r="F742" t="s">
        <v>439</v>
      </c>
      <c r="G742">
        <v>2</v>
      </c>
      <c r="H742" s="4">
        <v>145</v>
      </c>
      <c r="I742" s="3">
        <v>0.08</v>
      </c>
      <c r="J742" t="s">
        <v>77</v>
      </c>
      <c r="K742" t="s">
        <v>46</v>
      </c>
      <c r="L742" t="s">
        <v>1521</v>
      </c>
      <c r="M742" t="s">
        <v>79</v>
      </c>
      <c r="N742" t="s">
        <v>80</v>
      </c>
      <c r="O742" t="s">
        <v>184</v>
      </c>
      <c r="P742" t="s">
        <v>103</v>
      </c>
      <c r="Q742" t="s">
        <v>52</v>
      </c>
      <c r="R742" t="s">
        <v>104</v>
      </c>
      <c r="S742" t="s">
        <v>79</v>
      </c>
      <c r="T742" t="s">
        <v>441</v>
      </c>
      <c r="U742" s="5">
        <v>51</v>
      </c>
      <c r="V742" s="5" t="s">
        <v>85</v>
      </c>
      <c r="W742" s="5">
        <v>9</v>
      </c>
      <c r="X742" s="5">
        <v>4.3</v>
      </c>
      <c r="Y742" s="5">
        <v>9</v>
      </c>
      <c r="Z742" s="5" t="s">
        <v>57</v>
      </c>
      <c r="AA742" s="6">
        <v>97.15</v>
      </c>
      <c r="AB742" s="8">
        <f t="shared" si="143"/>
        <v>290</v>
      </c>
      <c r="AC742" s="8">
        <f t="shared" si="144"/>
        <v>23.2</v>
      </c>
      <c r="AD742" s="8">
        <f t="shared" si="145"/>
        <v>266.8</v>
      </c>
      <c r="AE742" s="8">
        <f t="shared" si="146"/>
        <v>194.3</v>
      </c>
      <c r="AF742" s="8">
        <f t="shared" si="147"/>
        <v>72.5</v>
      </c>
      <c r="AG742" s="9">
        <f t="shared" si="148"/>
        <v>0.27173913043478259</v>
      </c>
      <c r="AH742" s="10">
        <f t="shared" si="149"/>
        <v>2025</v>
      </c>
      <c r="AI742" s="10">
        <f t="shared" si="150"/>
        <v>12</v>
      </c>
      <c r="AJ742" s="10" t="str">
        <f t="shared" si="151"/>
        <v>2025-12</v>
      </c>
      <c r="AK742" s="10" t="str">
        <f t="shared" si="152"/>
        <v>T4</v>
      </c>
      <c r="AL742" s="10" t="str">
        <f t="shared" si="153"/>
        <v>50+</v>
      </c>
      <c r="AM742" s="10" t="str">
        <f t="shared" si="154"/>
        <v>faible</v>
      </c>
      <c r="AN742" s="10" t="s">
        <v>2837</v>
      </c>
      <c r="AO742" s="10" t="str">
        <f t="shared" si="155"/>
        <v>Faible</v>
      </c>
    </row>
    <row r="743" spans="1:41">
      <c r="A743" t="s">
        <v>2233</v>
      </c>
      <c r="B743" s="2">
        <v>45924</v>
      </c>
      <c r="C743" t="s">
        <v>2234</v>
      </c>
      <c r="D743" t="s">
        <v>181</v>
      </c>
      <c r="E743" t="s">
        <v>139</v>
      </c>
      <c r="F743" t="s">
        <v>89</v>
      </c>
      <c r="G743">
        <v>1</v>
      </c>
      <c r="H743" s="4">
        <v>145</v>
      </c>
      <c r="I743" s="3">
        <v>0.08</v>
      </c>
      <c r="J743" t="s">
        <v>77</v>
      </c>
      <c r="K743" t="s">
        <v>46</v>
      </c>
      <c r="L743" t="s">
        <v>2235</v>
      </c>
      <c r="M743" t="s">
        <v>54</v>
      </c>
      <c r="N743" t="s">
        <v>101</v>
      </c>
      <c r="O743" t="s">
        <v>184</v>
      </c>
      <c r="P743" t="s">
        <v>103</v>
      </c>
      <c r="Q743" t="s">
        <v>52</v>
      </c>
      <c r="R743" t="s">
        <v>144</v>
      </c>
      <c r="S743" t="s">
        <v>65</v>
      </c>
      <c r="T743" t="s">
        <v>93</v>
      </c>
      <c r="U743" s="5">
        <v>37</v>
      </c>
      <c r="V743" s="5" t="s">
        <v>85</v>
      </c>
      <c r="W743" s="5">
        <v>68</v>
      </c>
      <c r="X743" s="5">
        <v>8.1999999999999993</v>
      </c>
      <c r="Y743" s="5">
        <v>1</v>
      </c>
      <c r="Z743" s="5" t="s">
        <v>117</v>
      </c>
      <c r="AA743" s="6">
        <v>97.15</v>
      </c>
      <c r="AB743" s="8">
        <f t="shared" si="143"/>
        <v>145</v>
      </c>
      <c r="AC743" s="8">
        <f t="shared" si="144"/>
        <v>11.6</v>
      </c>
      <c r="AD743" s="8">
        <f t="shared" si="145"/>
        <v>133.4</v>
      </c>
      <c r="AE743" s="8">
        <f t="shared" si="146"/>
        <v>97.15</v>
      </c>
      <c r="AF743" s="8">
        <f t="shared" si="147"/>
        <v>36.25</v>
      </c>
      <c r="AG743" s="9">
        <f t="shared" si="148"/>
        <v>0.27173913043478259</v>
      </c>
      <c r="AH743" s="10">
        <f t="shared" si="149"/>
        <v>2025</v>
      </c>
      <c r="AI743" s="10">
        <f t="shared" si="150"/>
        <v>9</v>
      </c>
      <c r="AJ743" s="10" t="str">
        <f t="shared" si="151"/>
        <v>2025-09</v>
      </c>
      <c r="AK743" s="10" t="str">
        <f t="shared" si="152"/>
        <v>T3</v>
      </c>
      <c r="AL743" s="10" t="str">
        <f t="shared" si="153"/>
        <v>30-39</v>
      </c>
      <c r="AM743" s="10" t="str">
        <f t="shared" si="154"/>
        <v>bon</v>
      </c>
      <c r="AN743" s="10" t="s">
        <v>2838</v>
      </c>
      <c r="AO743" s="10" t="str">
        <f t="shared" si="155"/>
        <v>Faible</v>
      </c>
    </row>
    <row r="744" spans="1:41">
      <c r="A744" t="s">
        <v>2236</v>
      </c>
      <c r="B744" s="2">
        <v>45989</v>
      </c>
      <c r="C744" t="s">
        <v>2112</v>
      </c>
      <c r="D744" t="s">
        <v>108</v>
      </c>
      <c r="E744" t="s">
        <v>75</v>
      </c>
      <c r="F744" t="s">
        <v>779</v>
      </c>
      <c r="G744">
        <v>4</v>
      </c>
      <c r="H744" s="4">
        <v>240</v>
      </c>
      <c r="I744" s="3">
        <v>0</v>
      </c>
      <c r="J744" t="s">
        <v>45</v>
      </c>
      <c r="K744" t="s">
        <v>46</v>
      </c>
      <c r="L744" t="s">
        <v>2113</v>
      </c>
      <c r="M744" t="s">
        <v>65</v>
      </c>
      <c r="N744" t="s">
        <v>112</v>
      </c>
      <c r="O744" t="s">
        <v>113</v>
      </c>
      <c r="P744" t="s">
        <v>82</v>
      </c>
      <c r="Q744" t="s">
        <v>114</v>
      </c>
      <c r="R744" t="s">
        <v>83</v>
      </c>
      <c r="S744" t="s">
        <v>69</v>
      </c>
      <c r="T744" t="s">
        <v>781</v>
      </c>
      <c r="U744" s="5">
        <v>33</v>
      </c>
      <c r="V744" s="5" t="s">
        <v>56</v>
      </c>
      <c r="W744" s="5">
        <v>60</v>
      </c>
      <c r="X744" s="5">
        <v>3.7</v>
      </c>
      <c r="Y744" s="5">
        <v>8</v>
      </c>
      <c r="Z744" s="5" t="s">
        <v>71</v>
      </c>
      <c r="AA744" s="6">
        <v>177.6</v>
      </c>
      <c r="AB744" s="8">
        <f t="shared" si="143"/>
        <v>960</v>
      </c>
      <c r="AC744" s="8">
        <f t="shared" si="144"/>
        <v>0</v>
      </c>
      <c r="AD744" s="8">
        <f t="shared" si="145"/>
        <v>960</v>
      </c>
      <c r="AE744" s="8">
        <f t="shared" si="146"/>
        <v>710.4</v>
      </c>
      <c r="AF744" s="8">
        <f t="shared" si="147"/>
        <v>249.60000000000002</v>
      </c>
      <c r="AG744" s="9">
        <f t="shared" si="148"/>
        <v>0.26</v>
      </c>
      <c r="AH744" s="10">
        <f t="shared" si="149"/>
        <v>2025</v>
      </c>
      <c r="AI744" s="10">
        <f t="shared" si="150"/>
        <v>11</v>
      </c>
      <c r="AJ744" s="10" t="str">
        <f t="shared" si="151"/>
        <v>2025-11</v>
      </c>
      <c r="AK744" s="10" t="str">
        <f t="shared" si="152"/>
        <v>T4</v>
      </c>
      <c r="AL744" s="10" t="str">
        <f t="shared" si="153"/>
        <v>30-39</v>
      </c>
      <c r="AM744" s="10" t="str">
        <f t="shared" si="154"/>
        <v>faible</v>
      </c>
      <c r="AN744" s="10" t="s">
        <v>2837</v>
      </c>
      <c r="AO744" s="10" t="str">
        <f t="shared" si="155"/>
        <v>Moyenne</v>
      </c>
    </row>
    <row r="745" spans="1:41">
      <c r="A745" t="s">
        <v>2237</v>
      </c>
      <c r="B745" s="2">
        <v>45732</v>
      </c>
      <c r="C745" t="s">
        <v>2238</v>
      </c>
      <c r="D745" t="s">
        <v>155</v>
      </c>
      <c r="E745" t="s">
        <v>61</v>
      </c>
      <c r="F745" t="s">
        <v>238</v>
      </c>
      <c r="G745">
        <v>1</v>
      </c>
      <c r="H745" s="4">
        <v>48</v>
      </c>
      <c r="I745" s="3">
        <v>0</v>
      </c>
      <c r="J745" t="s">
        <v>77</v>
      </c>
      <c r="K745" t="s">
        <v>46</v>
      </c>
      <c r="L745" t="s">
        <v>2239</v>
      </c>
      <c r="M745" t="s">
        <v>123</v>
      </c>
      <c r="N745" t="s">
        <v>80</v>
      </c>
      <c r="O745" t="s">
        <v>158</v>
      </c>
      <c r="P745" t="s">
        <v>51</v>
      </c>
      <c r="Q745" t="s">
        <v>143</v>
      </c>
      <c r="R745" t="s">
        <v>68</v>
      </c>
      <c r="S745" t="s">
        <v>69</v>
      </c>
      <c r="T745" t="s">
        <v>240</v>
      </c>
      <c r="U745" s="5">
        <v>31</v>
      </c>
      <c r="V745" s="5" t="s">
        <v>56</v>
      </c>
      <c r="W745" s="5">
        <v>53</v>
      </c>
      <c r="X745" s="5">
        <v>7.3</v>
      </c>
      <c r="Y745" s="5">
        <v>4</v>
      </c>
      <c r="Z745" s="5" t="s">
        <v>94</v>
      </c>
      <c r="AA745" s="6">
        <v>37.44</v>
      </c>
      <c r="AB745" s="8">
        <f t="shared" si="143"/>
        <v>48</v>
      </c>
      <c r="AC745" s="8">
        <f t="shared" si="144"/>
        <v>0</v>
      </c>
      <c r="AD745" s="8">
        <f t="shared" si="145"/>
        <v>48</v>
      </c>
      <c r="AE745" s="8">
        <f t="shared" si="146"/>
        <v>37.44</v>
      </c>
      <c r="AF745" s="8">
        <f t="shared" si="147"/>
        <v>10.560000000000002</v>
      </c>
      <c r="AG745" s="9">
        <f t="shared" si="148"/>
        <v>0.22000000000000006</v>
      </c>
      <c r="AH745" s="10">
        <f t="shared" si="149"/>
        <v>2025</v>
      </c>
      <c r="AI745" s="10">
        <f t="shared" si="150"/>
        <v>3</v>
      </c>
      <c r="AJ745" s="10" t="str">
        <f t="shared" si="151"/>
        <v>2025-03</v>
      </c>
      <c r="AK745" s="10" t="str">
        <f t="shared" si="152"/>
        <v>T1</v>
      </c>
      <c r="AL745" s="10" t="str">
        <f t="shared" si="153"/>
        <v>30-39</v>
      </c>
      <c r="AM745" s="10" t="str">
        <f t="shared" si="154"/>
        <v>bon</v>
      </c>
      <c r="AN745" s="10" t="s">
        <v>2839</v>
      </c>
      <c r="AO745" s="10" t="str">
        <f t="shared" si="155"/>
        <v>Faible</v>
      </c>
    </row>
    <row r="746" spans="1:41">
      <c r="A746" t="s">
        <v>2240</v>
      </c>
      <c r="B746" s="2">
        <v>45754</v>
      </c>
      <c r="C746" t="s">
        <v>2241</v>
      </c>
      <c r="D746" t="s">
        <v>148</v>
      </c>
      <c r="E746" t="s">
        <v>120</v>
      </c>
      <c r="F746" t="s">
        <v>282</v>
      </c>
      <c r="G746">
        <v>4</v>
      </c>
      <c r="H746" s="4">
        <v>110</v>
      </c>
      <c r="I746" s="3">
        <v>0</v>
      </c>
      <c r="J746" t="s">
        <v>63</v>
      </c>
      <c r="K746" t="s">
        <v>46</v>
      </c>
      <c r="L746" t="s">
        <v>2242</v>
      </c>
      <c r="M746" t="s">
        <v>69</v>
      </c>
      <c r="N746" t="s">
        <v>112</v>
      </c>
      <c r="O746" t="s">
        <v>151</v>
      </c>
      <c r="P746" t="s">
        <v>103</v>
      </c>
      <c r="Q746" t="s">
        <v>114</v>
      </c>
      <c r="R746" t="s">
        <v>124</v>
      </c>
      <c r="S746" t="s">
        <v>48</v>
      </c>
      <c r="T746" t="s">
        <v>284</v>
      </c>
      <c r="U746" s="5">
        <v>32</v>
      </c>
      <c r="V746" s="5" t="s">
        <v>85</v>
      </c>
      <c r="W746" s="5">
        <v>28</v>
      </c>
      <c r="X746" s="5">
        <v>4.3</v>
      </c>
      <c r="Y746" s="5">
        <v>9</v>
      </c>
      <c r="Z746" s="5" t="s">
        <v>71</v>
      </c>
      <c r="AA746" s="6">
        <v>72.599999999999994</v>
      </c>
      <c r="AB746" s="8">
        <f t="shared" si="143"/>
        <v>440</v>
      </c>
      <c r="AC746" s="8">
        <f t="shared" si="144"/>
        <v>0</v>
      </c>
      <c r="AD746" s="8">
        <f t="shared" si="145"/>
        <v>440</v>
      </c>
      <c r="AE746" s="8">
        <f t="shared" si="146"/>
        <v>290.39999999999998</v>
      </c>
      <c r="AF746" s="8">
        <f t="shared" si="147"/>
        <v>149.60000000000002</v>
      </c>
      <c r="AG746" s="9">
        <f t="shared" si="148"/>
        <v>0.34</v>
      </c>
      <c r="AH746" s="10">
        <f t="shared" si="149"/>
        <v>2025</v>
      </c>
      <c r="AI746" s="10">
        <f t="shared" si="150"/>
        <v>4</v>
      </c>
      <c r="AJ746" s="10" t="str">
        <f t="shared" si="151"/>
        <v>2025-04</v>
      </c>
      <c r="AK746" s="10" t="str">
        <f t="shared" si="152"/>
        <v>T2</v>
      </c>
      <c r="AL746" s="10" t="str">
        <f t="shared" si="153"/>
        <v>30-39</v>
      </c>
      <c r="AM746" s="10" t="str">
        <f t="shared" si="154"/>
        <v>faible</v>
      </c>
      <c r="AN746" s="10" t="s">
        <v>2837</v>
      </c>
      <c r="AO746" s="10" t="str">
        <f t="shared" si="155"/>
        <v>Faible</v>
      </c>
    </row>
    <row r="747" spans="1:41">
      <c r="A747" t="s">
        <v>2243</v>
      </c>
      <c r="B747" s="2">
        <v>45684</v>
      </c>
      <c r="C747" t="s">
        <v>2244</v>
      </c>
      <c r="D747" t="s">
        <v>333</v>
      </c>
      <c r="E747" t="s">
        <v>88</v>
      </c>
      <c r="F747" t="s">
        <v>467</v>
      </c>
      <c r="G747">
        <v>20</v>
      </c>
      <c r="H747" s="4">
        <v>65</v>
      </c>
      <c r="I747" s="3">
        <v>0.08</v>
      </c>
      <c r="J747" t="s">
        <v>63</v>
      </c>
      <c r="K747" t="s">
        <v>46</v>
      </c>
      <c r="L747" t="s">
        <v>2245</v>
      </c>
      <c r="M747" t="s">
        <v>48</v>
      </c>
      <c r="N747" t="s">
        <v>112</v>
      </c>
      <c r="O747" t="s">
        <v>336</v>
      </c>
      <c r="P747" t="s">
        <v>51</v>
      </c>
      <c r="Q747" t="s">
        <v>52</v>
      </c>
      <c r="R747" t="s">
        <v>92</v>
      </c>
      <c r="S747" t="s">
        <v>48</v>
      </c>
      <c r="T747" t="s">
        <v>469</v>
      </c>
      <c r="U747" s="5">
        <v>41</v>
      </c>
      <c r="V747" s="5" t="s">
        <v>85</v>
      </c>
      <c r="W747" s="5">
        <v>22</v>
      </c>
      <c r="X747" s="5">
        <v>8.4</v>
      </c>
      <c r="Y747" s="5">
        <v>1</v>
      </c>
      <c r="Z747" s="5" t="s">
        <v>117</v>
      </c>
      <c r="AA747" s="6">
        <v>47.45</v>
      </c>
      <c r="AB747" s="8">
        <f t="shared" si="143"/>
        <v>1300</v>
      </c>
      <c r="AC747" s="8">
        <f t="shared" si="144"/>
        <v>104</v>
      </c>
      <c r="AD747" s="8">
        <f t="shared" si="145"/>
        <v>1196</v>
      </c>
      <c r="AE747" s="8">
        <f t="shared" si="146"/>
        <v>949</v>
      </c>
      <c r="AF747" s="8">
        <f t="shared" si="147"/>
        <v>247</v>
      </c>
      <c r="AG747" s="9">
        <f t="shared" si="148"/>
        <v>0.20652173913043478</v>
      </c>
      <c r="AH747" s="10">
        <f t="shared" si="149"/>
        <v>2025</v>
      </c>
      <c r="AI747" s="10">
        <f t="shared" si="150"/>
        <v>1</v>
      </c>
      <c r="AJ747" s="10" t="str">
        <f t="shared" si="151"/>
        <v>2025-01</v>
      </c>
      <c r="AK747" s="10" t="str">
        <f t="shared" si="152"/>
        <v>T1</v>
      </c>
      <c r="AL747" s="10" t="str">
        <f t="shared" si="153"/>
        <v>40-49</v>
      </c>
      <c r="AM747" s="10" t="str">
        <f t="shared" si="154"/>
        <v>bon</v>
      </c>
      <c r="AN747" s="10" t="s">
        <v>2838</v>
      </c>
      <c r="AO747" s="10" t="str">
        <f t="shared" si="155"/>
        <v>Elevée</v>
      </c>
    </row>
    <row r="748" spans="1:41">
      <c r="A748" t="s">
        <v>2246</v>
      </c>
      <c r="B748" s="2">
        <v>45719</v>
      </c>
      <c r="C748" t="s">
        <v>1165</v>
      </c>
      <c r="D748" t="s">
        <v>333</v>
      </c>
      <c r="E748" t="s">
        <v>226</v>
      </c>
      <c r="F748" t="s">
        <v>361</v>
      </c>
      <c r="G748">
        <v>1</v>
      </c>
      <c r="H748" s="4">
        <v>65</v>
      </c>
      <c r="I748" s="3">
        <v>0</v>
      </c>
      <c r="J748" t="s">
        <v>77</v>
      </c>
      <c r="K748" t="s">
        <v>46</v>
      </c>
      <c r="L748" t="s">
        <v>1166</v>
      </c>
      <c r="M748" t="s">
        <v>69</v>
      </c>
      <c r="N748" t="s">
        <v>49</v>
      </c>
      <c r="O748" t="s">
        <v>336</v>
      </c>
      <c r="P748" t="s">
        <v>51</v>
      </c>
      <c r="Q748" t="s">
        <v>52</v>
      </c>
      <c r="R748" t="s">
        <v>229</v>
      </c>
      <c r="S748" t="s">
        <v>48</v>
      </c>
      <c r="T748" t="s">
        <v>363</v>
      </c>
      <c r="U748" s="5">
        <v>58</v>
      </c>
      <c r="V748" s="5" t="s">
        <v>56</v>
      </c>
      <c r="W748" s="5">
        <v>49</v>
      </c>
      <c r="X748" s="5">
        <v>3.3</v>
      </c>
      <c r="Y748" s="5">
        <v>9</v>
      </c>
      <c r="Z748" s="5" t="s">
        <v>94</v>
      </c>
      <c r="AA748" s="6">
        <v>47.45</v>
      </c>
      <c r="AB748" s="8">
        <f t="shared" si="143"/>
        <v>65</v>
      </c>
      <c r="AC748" s="8">
        <f t="shared" si="144"/>
        <v>0</v>
      </c>
      <c r="AD748" s="8">
        <f t="shared" si="145"/>
        <v>65</v>
      </c>
      <c r="AE748" s="8">
        <f t="shared" si="146"/>
        <v>47.45</v>
      </c>
      <c r="AF748" s="8">
        <f t="shared" si="147"/>
        <v>17.549999999999997</v>
      </c>
      <c r="AG748" s="9">
        <f t="shared" si="148"/>
        <v>0.26999999999999996</v>
      </c>
      <c r="AH748" s="10">
        <f t="shared" si="149"/>
        <v>2025</v>
      </c>
      <c r="AI748" s="10">
        <f t="shared" si="150"/>
        <v>3</v>
      </c>
      <c r="AJ748" s="10" t="str">
        <f t="shared" si="151"/>
        <v>2025-03</v>
      </c>
      <c r="AK748" s="10" t="str">
        <f t="shared" si="152"/>
        <v>T1</v>
      </c>
      <c r="AL748" s="10" t="str">
        <f t="shared" si="153"/>
        <v>50+</v>
      </c>
      <c r="AM748" s="10" t="str">
        <f t="shared" si="154"/>
        <v>faible</v>
      </c>
      <c r="AN748" s="10" t="s">
        <v>2837</v>
      </c>
      <c r="AO748" s="10" t="str">
        <f t="shared" si="155"/>
        <v>Faible</v>
      </c>
    </row>
    <row r="749" spans="1:41">
      <c r="A749" t="s">
        <v>2247</v>
      </c>
      <c r="B749" s="2">
        <v>45713</v>
      </c>
      <c r="C749" t="s">
        <v>1351</v>
      </c>
      <c r="D749" t="s">
        <v>188</v>
      </c>
      <c r="E749" t="s">
        <v>214</v>
      </c>
      <c r="F749" t="s">
        <v>467</v>
      </c>
      <c r="G749">
        <v>3</v>
      </c>
      <c r="H749" s="4">
        <v>350</v>
      </c>
      <c r="I749" s="3">
        <v>0</v>
      </c>
      <c r="J749" t="s">
        <v>45</v>
      </c>
      <c r="K749" t="s">
        <v>46</v>
      </c>
      <c r="L749" t="s">
        <v>1352</v>
      </c>
      <c r="M749" t="s">
        <v>54</v>
      </c>
      <c r="N749" t="s">
        <v>49</v>
      </c>
      <c r="O749" t="s">
        <v>192</v>
      </c>
      <c r="P749" t="s">
        <v>51</v>
      </c>
      <c r="Q749" t="s">
        <v>114</v>
      </c>
      <c r="R749" t="s">
        <v>216</v>
      </c>
      <c r="S749" t="s">
        <v>65</v>
      </c>
      <c r="T749" t="s">
        <v>469</v>
      </c>
      <c r="U749" s="5">
        <v>36</v>
      </c>
      <c r="V749" s="5" t="s">
        <v>85</v>
      </c>
      <c r="W749" s="5">
        <v>15</v>
      </c>
      <c r="X749" s="5">
        <v>8.6999999999999993</v>
      </c>
      <c r="Y749" s="5">
        <v>2</v>
      </c>
      <c r="Z749" s="5" t="s">
        <v>94</v>
      </c>
      <c r="AA749" s="6">
        <v>213.5</v>
      </c>
      <c r="AB749" s="8">
        <f t="shared" si="143"/>
        <v>1050</v>
      </c>
      <c r="AC749" s="8">
        <f t="shared" si="144"/>
        <v>0</v>
      </c>
      <c r="AD749" s="8">
        <f t="shared" si="145"/>
        <v>1050</v>
      </c>
      <c r="AE749" s="8">
        <f t="shared" si="146"/>
        <v>640.5</v>
      </c>
      <c r="AF749" s="8">
        <f t="shared" si="147"/>
        <v>409.5</v>
      </c>
      <c r="AG749" s="9">
        <f t="shared" si="148"/>
        <v>0.39</v>
      </c>
      <c r="AH749" s="10">
        <f t="shared" si="149"/>
        <v>2025</v>
      </c>
      <c r="AI749" s="10">
        <f t="shared" si="150"/>
        <v>2</v>
      </c>
      <c r="AJ749" s="10" t="str">
        <f t="shared" si="151"/>
        <v>2025-02</v>
      </c>
      <c r="AK749" s="10" t="str">
        <f t="shared" si="152"/>
        <v>T1</v>
      </c>
      <c r="AL749" s="10" t="str">
        <f t="shared" si="153"/>
        <v>30-39</v>
      </c>
      <c r="AM749" s="10" t="str">
        <f t="shared" si="154"/>
        <v>bon</v>
      </c>
      <c r="AN749" s="10" t="s">
        <v>2838</v>
      </c>
      <c r="AO749" s="10" t="str">
        <f t="shared" si="155"/>
        <v>Elevée</v>
      </c>
    </row>
    <row r="750" spans="1:41">
      <c r="A750" t="s">
        <v>2248</v>
      </c>
      <c r="B750" s="2">
        <v>45996</v>
      </c>
      <c r="C750" t="s">
        <v>2249</v>
      </c>
      <c r="D750" t="s">
        <v>181</v>
      </c>
      <c r="E750" t="s">
        <v>219</v>
      </c>
      <c r="F750" t="s">
        <v>553</v>
      </c>
      <c r="G750">
        <v>3</v>
      </c>
      <c r="H750" s="4">
        <v>145</v>
      </c>
      <c r="I750" s="3">
        <v>0</v>
      </c>
      <c r="J750" t="s">
        <v>90</v>
      </c>
      <c r="K750" t="s">
        <v>46</v>
      </c>
      <c r="L750" t="s">
        <v>2250</v>
      </c>
      <c r="M750" t="s">
        <v>65</v>
      </c>
      <c r="N750" t="s">
        <v>112</v>
      </c>
      <c r="O750" t="s">
        <v>184</v>
      </c>
      <c r="P750" t="s">
        <v>103</v>
      </c>
      <c r="Q750" t="s">
        <v>52</v>
      </c>
      <c r="R750" t="s">
        <v>222</v>
      </c>
      <c r="S750" t="s">
        <v>123</v>
      </c>
      <c r="T750" t="s">
        <v>555</v>
      </c>
      <c r="U750" s="5">
        <v>24</v>
      </c>
      <c r="V750" s="5" t="s">
        <v>56</v>
      </c>
      <c r="W750" s="5">
        <v>55</v>
      </c>
      <c r="X750" s="5">
        <v>6.8</v>
      </c>
      <c r="Y750" s="5">
        <v>3</v>
      </c>
      <c r="Z750" s="5" t="s">
        <v>117</v>
      </c>
      <c r="AA750" s="6">
        <v>97.15</v>
      </c>
      <c r="AB750" s="8">
        <f t="shared" si="143"/>
        <v>435</v>
      </c>
      <c r="AC750" s="8">
        <f t="shared" si="144"/>
        <v>0</v>
      </c>
      <c r="AD750" s="8">
        <f t="shared" si="145"/>
        <v>435</v>
      </c>
      <c r="AE750" s="8">
        <f t="shared" si="146"/>
        <v>291.45000000000005</v>
      </c>
      <c r="AF750" s="8">
        <f t="shared" si="147"/>
        <v>143.54999999999995</v>
      </c>
      <c r="AG750" s="9">
        <f t="shared" si="148"/>
        <v>0.3299999999999999</v>
      </c>
      <c r="AH750" s="10">
        <f t="shared" si="149"/>
        <v>2025</v>
      </c>
      <c r="AI750" s="10">
        <f t="shared" si="150"/>
        <v>12</v>
      </c>
      <c r="AJ750" s="10" t="str">
        <f t="shared" si="151"/>
        <v>2025-12</v>
      </c>
      <c r="AK750" s="10" t="str">
        <f t="shared" si="152"/>
        <v>T4</v>
      </c>
      <c r="AL750" s="10" t="str">
        <f t="shared" si="153"/>
        <v>22-29</v>
      </c>
      <c r="AM750" s="10" t="str">
        <f t="shared" si="154"/>
        <v>moyen</v>
      </c>
      <c r="AN750" s="10" t="s">
        <v>2838</v>
      </c>
      <c r="AO750" s="10" t="str">
        <f t="shared" si="155"/>
        <v>Faible</v>
      </c>
    </row>
    <row r="751" spans="1:41">
      <c r="A751" t="s">
        <v>2251</v>
      </c>
      <c r="B751" s="2">
        <v>45941</v>
      </c>
      <c r="C751" t="s">
        <v>695</v>
      </c>
      <c r="D751" t="s">
        <v>162</v>
      </c>
      <c r="E751" t="s">
        <v>98</v>
      </c>
      <c r="F751" t="s">
        <v>287</v>
      </c>
      <c r="G751">
        <v>3</v>
      </c>
      <c r="H751" s="4">
        <v>35</v>
      </c>
      <c r="I751" s="3">
        <v>0.1</v>
      </c>
      <c r="J751" t="s">
        <v>45</v>
      </c>
      <c r="K751" t="s">
        <v>46</v>
      </c>
      <c r="L751" t="s">
        <v>696</v>
      </c>
      <c r="M751" t="s">
        <v>69</v>
      </c>
      <c r="N751" t="s">
        <v>101</v>
      </c>
      <c r="O751" t="s">
        <v>166</v>
      </c>
      <c r="P751" t="s">
        <v>103</v>
      </c>
      <c r="Q751" t="s">
        <v>143</v>
      </c>
      <c r="R751" t="s">
        <v>104</v>
      </c>
      <c r="S751" t="s">
        <v>79</v>
      </c>
      <c r="T751" t="s">
        <v>289</v>
      </c>
      <c r="U751" s="5">
        <v>27</v>
      </c>
      <c r="V751" s="5" t="s">
        <v>85</v>
      </c>
      <c r="W751" s="5">
        <v>25</v>
      </c>
      <c r="X751" s="5">
        <v>5.2</v>
      </c>
      <c r="Y751" s="5">
        <v>7</v>
      </c>
      <c r="Z751" s="5" t="s">
        <v>94</v>
      </c>
      <c r="AA751" s="6">
        <v>24.15</v>
      </c>
      <c r="AB751" s="8">
        <f t="shared" si="143"/>
        <v>105</v>
      </c>
      <c r="AC751" s="8">
        <f t="shared" si="144"/>
        <v>10.5</v>
      </c>
      <c r="AD751" s="8">
        <f t="shared" si="145"/>
        <v>94.5</v>
      </c>
      <c r="AE751" s="8">
        <f t="shared" si="146"/>
        <v>72.449999999999989</v>
      </c>
      <c r="AF751" s="8">
        <f t="shared" si="147"/>
        <v>22.050000000000011</v>
      </c>
      <c r="AG751" s="9">
        <f t="shared" si="148"/>
        <v>0.23333333333333345</v>
      </c>
      <c r="AH751" s="10">
        <f t="shared" si="149"/>
        <v>2025</v>
      </c>
      <c r="AI751" s="10">
        <f t="shared" si="150"/>
        <v>10</v>
      </c>
      <c r="AJ751" s="10" t="str">
        <f t="shared" si="151"/>
        <v>2025-10</v>
      </c>
      <c r="AK751" s="10" t="str">
        <f t="shared" si="152"/>
        <v>T4</v>
      </c>
      <c r="AL751" s="10" t="str">
        <f t="shared" si="153"/>
        <v>22-29</v>
      </c>
      <c r="AM751" s="10" t="str">
        <f t="shared" si="154"/>
        <v>moyen</v>
      </c>
      <c r="AN751" s="10" t="s">
        <v>2837</v>
      </c>
      <c r="AO751" s="10" t="str">
        <f t="shared" si="155"/>
        <v>Faible</v>
      </c>
    </row>
    <row r="752" spans="1:41">
      <c r="A752" t="s">
        <v>2252</v>
      </c>
      <c r="B752" s="2">
        <v>45666</v>
      </c>
      <c r="C752" t="s">
        <v>2253</v>
      </c>
      <c r="D752" t="s">
        <v>181</v>
      </c>
      <c r="E752" t="s">
        <v>61</v>
      </c>
      <c r="F752" t="s">
        <v>267</v>
      </c>
      <c r="G752">
        <v>10</v>
      </c>
      <c r="H752" s="4">
        <v>145</v>
      </c>
      <c r="I752" s="3">
        <v>0</v>
      </c>
      <c r="J752" t="s">
        <v>77</v>
      </c>
      <c r="K752" t="s">
        <v>46</v>
      </c>
      <c r="L752" t="s">
        <v>2254</v>
      </c>
      <c r="M752" t="s">
        <v>54</v>
      </c>
      <c r="N752" t="s">
        <v>80</v>
      </c>
      <c r="O752" t="s">
        <v>184</v>
      </c>
      <c r="P752" t="s">
        <v>103</v>
      </c>
      <c r="Q752" t="s">
        <v>52</v>
      </c>
      <c r="R752" t="s">
        <v>68</v>
      </c>
      <c r="S752" t="s">
        <v>69</v>
      </c>
      <c r="T752" t="s">
        <v>269</v>
      </c>
      <c r="U752" s="5">
        <v>52</v>
      </c>
      <c r="V752" s="5" t="s">
        <v>85</v>
      </c>
      <c r="W752" s="5">
        <v>6</v>
      </c>
      <c r="X752" s="5">
        <v>4</v>
      </c>
      <c r="Y752" s="5">
        <v>9</v>
      </c>
      <c r="Z752" s="5" t="s">
        <v>71</v>
      </c>
      <c r="AA752" s="6">
        <v>97.15</v>
      </c>
      <c r="AB752" s="8">
        <f t="shared" si="143"/>
        <v>1450</v>
      </c>
      <c r="AC752" s="8">
        <f t="shared" si="144"/>
        <v>0</v>
      </c>
      <c r="AD752" s="8">
        <f t="shared" si="145"/>
        <v>1450</v>
      </c>
      <c r="AE752" s="8">
        <f t="shared" si="146"/>
        <v>971.5</v>
      </c>
      <c r="AF752" s="8">
        <f t="shared" si="147"/>
        <v>478.5</v>
      </c>
      <c r="AG752" s="9">
        <f t="shared" si="148"/>
        <v>0.33</v>
      </c>
      <c r="AH752" s="10">
        <f t="shared" si="149"/>
        <v>2025</v>
      </c>
      <c r="AI752" s="10">
        <f t="shared" si="150"/>
        <v>1</v>
      </c>
      <c r="AJ752" s="10" t="str">
        <f t="shared" si="151"/>
        <v>2025-01</v>
      </c>
      <c r="AK752" s="10" t="str">
        <f t="shared" si="152"/>
        <v>T1</v>
      </c>
      <c r="AL752" s="10" t="str">
        <f t="shared" si="153"/>
        <v>50+</v>
      </c>
      <c r="AM752" s="10" t="str">
        <f t="shared" si="154"/>
        <v>faible</v>
      </c>
      <c r="AN752" s="10" t="s">
        <v>2837</v>
      </c>
      <c r="AO752" s="10" t="str">
        <f t="shared" si="155"/>
        <v>Elevée</v>
      </c>
    </row>
    <row r="753" spans="1:41">
      <c r="A753" t="s">
        <v>2255</v>
      </c>
      <c r="B753" s="2">
        <v>45866</v>
      </c>
      <c r="C753" t="s">
        <v>2256</v>
      </c>
      <c r="D753" t="s">
        <v>97</v>
      </c>
      <c r="E753" t="s">
        <v>163</v>
      </c>
      <c r="F753" t="s">
        <v>302</v>
      </c>
      <c r="G753">
        <v>1</v>
      </c>
      <c r="H753" s="4">
        <v>520</v>
      </c>
      <c r="I753" s="3">
        <v>0.02</v>
      </c>
      <c r="J753" t="s">
        <v>45</v>
      </c>
      <c r="K753" t="s">
        <v>46</v>
      </c>
      <c r="L753" t="s">
        <v>2257</v>
      </c>
      <c r="M753" t="s">
        <v>123</v>
      </c>
      <c r="N753" t="s">
        <v>255</v>
      </c>
      <c r="O753" t="s">
        <v>102</v>
      </c>
      <c r="P753" t="s">
        <v>103</v>
      </c>
      <c r="Q753" t="s">
        <v>52</v>
      </c>
      <c r="R753" t="s">
        <v>167</v>
      </c>
      <c r="S753" t="s">
        <v>123</v>
      </c>
      <c r="T753" t="s">
        <v>304</v>
      </c>
      <c r="U753" s="5">
        <v>25</v>
      </c>
      <c r="V753" s="5" t="s">
        <v>85</v>
      </c>
      <c r="W753" s="5">
        <v>35</v>
      </c>
      <c r="X753" s="5">
        <v>4.8</v>
      </c>
      <c r="Y753" s="5">
        <v>8</v>
      </c>
      <c r="Z753" s="5" t="s">
        <v>117</v>
      </c>
      <c r="AA753" s="6">
        <v>348.4</v>
      </c>
      <c r="AB753" s="8">
        <f t="shared" si="143"/>
        <v>520</v>
      </c>
      <c r="AC753" s="8">
        <f t="shared" si="144"/>
        <v>10.4</v>
      </c>
      <c r="AD753" s="8">
        <f t="shared" si="145"/>
        <v>509.6</v>
      </c>
      <c r="AE753" s="8">
        <f t="shared" si="146"/>
        <v>348.4</v>
      </c>
      <c r="AF753" s="8">
        <f t="shared" si="147"/>
        <v>161.20000000000005</v>
      </c>
      <c r="AG753" s="9">
        <f t="shared" si="148"/>
        <v>0.31632653061224497</v>
      </c>
      <c r="AH753" s="10">
        <f t="shared" si="149"/>
        <v>2025</v>
      </c>
      <c r="AI753" s="10">
        <f t="shared" si="150"/>
        <v>7</v>
      </c>
      <c r="AJ753" s="10" t="str">
        <f t="shared" si="151"/>
        <v>2025-07</v>
      </c>
      <c r="AK753" s="10" t="str">
        <f t="shared" si="152"/>
        <v>T3</v>
      </c>
      <c r="AL753" s="10" t="str">
        <f t="shared" si="153"/>
        <v>22-29</v>
      </c>
      <c r="AM753" s="10" t="str">
        <f t="shared" si="154"/>
        <v>faible</v>
      </c>
      <c r="AN753" s="10" t="s">
        <v>2837</v>
      </c>
      <c r="AO753" s="10" t="str">
        <f t="shared" si="155"/>
        <v>Moyenne</v>
      </c>
    </row>
    <row r="754" spans="1:41">
      <c r="A754" t="s">
        <v>2258</v>
      </c>
      <c r="B754" s="2">
        <v>45780</v>
      </c>
      <c r="C754" t="s">
        <v>2259</v>
      </c>
      <c r="D754" t="s">
        <v>340</v>
      </c>
      <c r="E754" t="s">
        <v>345</v>
      </c>
      <c r="F754" t="s">
        <v>76</v>
      </c>
      <c r="G754">
        <v>3</v>
      </c>
      <c r="H754" s="4">
        <v>22</v>
      </c>
      <c r="I754" s="3">
        <v>0.02</v>
      </c>
      <c r="J754" t="s">
        <v>63</v>
      </c>
      <c r="K754" t="s">
        <v>46</v>
      </c>
      <c r="L754" t="s">
        <v>2260</v>
      </c>
      <c r="M754" t="s">
        <v>69</v>
      </c>
      <c r="N754" t="s">
        <v>101</v>
      </c>
      <c r="O754" t="s">
        <v>342</v>
      </c>
      <c r="P754" t="s">
        <v>103</v>
      </c>
      <c r="Q754" t="s">
        <v>143</v>
      </c>
      <c r="R754" t="s">
        <v>347</v>
      </c>
      <c r="S754" t="s">
        <v>54</v>
      </c>
      <c r="T754" t="s">
        <v>84</v>
      </c>
      <c r="U754" s="5">
        <v>46</v>
      </c>
      <c r="V754" s="5" t="s">
        <v>85</v>
      </c>
      <c r="W754" s="5">
        <v>27</v>
      </c>
      <c r="X754" s="5">
        <v>4.8</v>
      </c>
      <c r="Y754" s="5">
        <v>6</v>
      </c>
      <c r="Z754" s="5" t="s">
        <v>117</v>
      </c>
      <c r="AA754" s="6">
        <v>14.96</v>
      </c>
      <c r="AB754" s="8">
        <f t="shared" si="143"/>
        <v>66</v>
      </c>
      <c r="AC754" s="8">
        <f t="shared" si="144"/>
        <v>1.32</v>
      </c>
      <c r="AD754" s="8">
        <f t="shared" si="145"/>
        <v>64.680000000000007</v>
      </c>
      <c r="AE754" s="8">
        <f t="shared" si="146"/>
        <v>44.88</v>
      </c>
      <c r="AF754" s="8">
        <f t="shared" si="147"/>
        <v>19.800000000000004</v>
      </c>
      <c r="AG754" s="9">
        <f t="shared" si="148"/>
        <v>0.30612244897959184</v>
      </c>
      <c r="AH754" s="10">
        <f t="shared" si="149"/>
        <v>2025</v>
      </c>
      <c r="AI754" s="10">
        <f t="shared" si="150"/>
        <v>5</v>
      </c>
      <c r="AJ754" s="10" t="str">
        <f t="shared" si="151"/>
        <v>2025-05</v>
      </c>
      <c r="AK754" s="10" t="str">
        <f t="shared" si="152"/>
        <v>T2</v>
      </c>
      <c r="AL754" s="10" t="str">
        <f t="shared" si="153"/>
        <v>40-49</v>
      </c>
      <c r="AM754" s="10" t="str">
        <f t="shared" si="154"/>
        <v>faible</v>
      </c>
      <c r="AN754" s="10" t="s">
        <v>2839</v>
      </c>
      <c r="AO754" s="10" t="str">
        <f t="shared" si="155"/>
        <v>Faible</v>
      </c>
    </row>
    <row r="755" spans="1:41">
      <c r="A755" t="s">
        <v>2261</v>
      </c>
      <c r="B755" s="2">
        <v>46022</v>
      </c>
      <c r="C755" t="s">
        <v>2262</v>
      </c>
      <c r="D755" t="s">
        <v>97</v>
      </c>
      <c r="E755" t="s">
        <v>214</v>
      </c>
      <c r="F755" t="s">
        <v>369</v>
      </c>
      <c r="G755">
        <v>2</v>
      </c>
      <c r="H755" s="4">
        <v>520</v>
      </c>
      <c r="I755" s="3">
        <v>0</v>
      </c>
      <c r="J755" t="s">
        <v>63</v>
      </c>
      <c r="K755" t="s">
        <v>46</v>
      </c>
      <c r="L755" t="s">
        <v>2263</v>
      </c>
      <c r="M755" t="s">
        <v>123</v>
      </c>
      <c r="N755" t="s">
        <v>80</v>
      </c>
      <c r="O755" t="s">
        <v>102</v>
      </c>
      <c r="P755" t="s">
        <v>103</v>
      </c>
      <c r="Q755" t="s">
        <v>52</v>
      </c>
      <c r="R755" t="s">
        <v>216</v>
      </c>
      <c r="S755" t="s">
        <v>65</v>
      </c>
      <c r="T755" t="s">
        <v>371</v>
      </c>
      <c r="U755" s="5">
        <v>28</v>
      </c>
      <c r="V755" s="5" t="s">
        <v>85</v>
      </c>
      <c r="W755" s="5">
        <v>66</v>
      </c>
      <c r="X755" s="5">
        <v>4.2</v>
      </c>
      <c r="Y755" s="5">
        <v>9</v>
      </c>
      <c r="Z755" s="5" t="s">
        <v>117</v>
      </c>
      <c r="AA755" s="6">
        <v>348.4</v>
      </c>
      <c r="AB755" s="8">
        <f t="shared" si="143"/>
        <v>1040</v>
      </c>
      <c r="AC755" s="8">
        <f t="shared" si="144"/>
        <v>0</v>
      </c>
      <c r="AD755" s="8">
        <f t="shared" si="145"/>
        <v>1040</v>
      </c>
      <c r="AE755" s="8">
        <f t="shared" si="146"/>
        <v>696.8</v>
      </c>
      <c r="AF755" s="8">
        <f t="shared" si="147"/>
        <v>343.20000000000005</v>
      </c>
      <c r="AG755" s="9">
        <f t="shared" si="148"/>
        <v>0.33000000000000007</v>
      </c>
      <c r="AH755" s="10">
        <f t="shared" si="149"/>
        <v>2025</v>
      </c>
      <c r="AI755" s="10">
        <f t="shared" si="150"/>
        <v>12</v>
      </c>
      <c r="AJ755" s="10" t="str">
        <f t="shared" si="151"/>
        <v>2025-12</v>
      </c>
      <c r="AK755" s="10" t="str">
        <f t="shared" si="152"/>
        <v>T4</v>
      </c>
      <c r="AL755" s="10" t="str">
        <f t="shared" si="153"/>
        <v>22-29</v>
      </c>
      <c r="AM755" s="10" t="str">
        <f t="shared" si="154"/>
        <v>faible</v>
      </c>
      <c r="AN755" s="10" t="s">
        <v>2837</v>
      </c>
      <c r="AO755" s="10" t="str">
        <f t="shared" si="155"/>
        <v>Elevée</v>
      </c>
    </row>
    <row r="756" spans="1:41">
      <c r="A756" t="s">
        <v>2264</v>
      </c>
      <c r="B756" s="2">
        <v>45797</v>
      </c>
      <c r="C756" t="s">
        <v>87</v>
      </c>
      <c r="D756" t="s">
        <v>138</v>
      </c>
      <c r="E756" t="s">
        <v>61</v>
      </c>
      <c r="F756" t="s">
        <v>110</v>
      </c>
      <c r="G756">
        <v>1</v>
      </c>
      <c r="H756" s="4">
        <v>120</v>
      </c>
      <c r="I756" s="3">
        <v>0.08</v>
      </c>
      <c r="J756" t="s">
        <v>63</v>
      </c>
      <c r="K756" t="s">
        <v>46</v>
      </c>
      <c r="L756" t="s">
        <v>91</v>
      </c>
      <c r="M756" t="s">
        <v>69</v>
      </c>
      <c r="N756" t="s">
        <v>80</v>
      </c>
      <c r="O756" t="s">
        <v>142</v>
      </c>
      <c r="P756" t="s">
        <v>51</v>
      </c>
      <c r="Q756" t="s">
        <v>143</v>
      </c>
      <c r="R756" t="s">
        <v>68</v>
      </c>
      <c r="S756" t="s">
        <v>69</v>
      </c>
      <c r="T756" t="s">
        <v>116</v>
      </c>
      <c r="U756" s="5">
        <v>40</v>
      </c>
      <c r="V756" s="5" t="s">
        <v>85</v>
      </c>
      <c r="W756" s="5">
        <v>70</v>
      </c>
      <c r="X756" s="5">
        <v>8.1</v>
      </c>
      <c r="Y756" s="5">
        <v>2</v>
      </c>
      <c r="Z756" s="5" t="s">
        <v>94</v>
      </c>
      <c r="AA756" s="6">
        <v>73.2</v>
      </c>
      <c r="AB756" s="8">
        <f t="shared" si="143"/>
        <v>120</v>
      </c>
      <c r="AC756" s="8">
        <f t="shared" si="144"/>
        <v>9.6</v>
      </c>
      <c r="AD756" s="8">
        <f t="shared" si="145"/>
        <v>110.4</v>
      </c>
      <c r="AE756" s="8">
        <f t="shared" si="146"/>
        <v>73.2</v>
      </c>
      <c r="AF756" s="8">
        <f t="shared" si="147"/>
        <v>37.200000000000003</v>
      </c>
      <c r="AG756" s="9">
        <f t="shared" si="148"/>
        <v>0.33695652173913043</v>
      </c>
      <c r="AH756" s="10">
        <f t="shared" si="149"/>
        <v>2025</v>
      </c>
      <c r="AI756" s="10">
        <f t="shared" si="150"/>
        <v>5</v>
      </c>
      <c r="AJ756" s="10" t="str">
        <f t="shared" si="151"/>
        <v>2025-05</v>
      </c>
      <c r="AK756" s="10" t="str">
        <f t="shared" si="152"/>
        <v>T2</v>
      </c>
      <c r="AL756" s="10" t="str">
        <f t="shared" si="153"/>
        <v>40-49</v>
      </c>
      <c r="AM756" s="10" t="str">
        <f t="shared" si="154"/>
        <v>bon</v>
      </c>
      <c r="AN756" s="10" t="s">
        <v>2838</v>
      </c>
      <c r="AO756" s="10" t="str">
        <f t="shared" si="155"/>
        <v>Faible</v>
      </c>
    </row>
    <row r="757" spans="1:41">
      <c r="A757" t="s">
        <v>2265</v>
      </c>
      <c r="B757" s="2">
        <v>45913</v>
      </c>
      <c r="C757" t="s">
        <v>1916</v>
      </c>
      <c r="D757" t="s">
        <v>108</v>
      </c>
      <c r="E757" t="s">
        <v>189</v>
      </c>
      <c r="F757" t="s">
        <v>287</v>
      </c>
      <c r="G757">
        <v>2</v>
      </c>
      <c r="H757" s="4">
        <v>240</v>
      </c>
      <c r="I757" s="3">
        <v>0.02</v>
      </c>
      <c r="J757" t="s">
        <v>63</v>
      </c>
      <c r="K757" t="s">
        <v>46</v>
      </c>
      <c r="L757" t="s">
        <v>1917</v>
      </c>
      <c r="M757" t="s">
        <v>65</v>
      </c>
      <c r="N757" t="s">
        <v>112</v>
      </c>
      <c r="O757" t="s">
        <v>113</v>
      </c>
      <c r="P757" t="s">
        <v>82</v>
      </c>
      <c r="Q757" t="s">
        <v>114</v>
      </c>
      <c r="R757" t="s">
        <v>193</v>
      </c>
      <c r="S757" t="s">
        <v>79</v>
      </c>
      <c r="T757" t="s">
        <v>289</v>
      </c>
      <c r="U757" s="5">
        <v>26</v>
      </c>
      <c r="V757" s="5" t="s">
        <v>56</v>
      </c>
      <c r="W757" s="5">
        <v>32</v>
      </c>
      <c r="X757" s="5">
        <v>7.4</v>
      </c>
      <c r="Y757" s="5">
        <v>4</v>
      </c>
      <c r="Z757" s="5" t="s">
        <v>57</v>
      </c>
      <c r="AA757" s="6">
        <v>177.6</v>
      </c>
      <c r="AB757" s="8">
        <f t="shared" si="143"/>
        <v>480</v>
      </c>
      <c r="AC757" s="8">
        <f t="shared" si="144"/>
        <v>9.6</v>
      </c>
      <c r="AD757" s="8">
        <f t="shared" si="145"/>
        <v>470.4</v>
      </c>
      <c r="AE757" s="8">
        <f t="shared" si="146"/>
        <v>355.2</v>
      </c>
      <c r="AF757" s="8">
        <f t="shared" si="147"/>
        <v>115.19999999999999</v>
      </c>
      <c r="AG757" s="9">
        <f t="shared" si="148"/>
        <v>0.24489795918367346</v>
      </c>
      <c r="AH757" s="10">
        <f t="shared" si="149"/>
        <v>2025</v>
      </c>
      <c r="AI757" s="10">
        <f t="shared" si="150"/>
        <v>9</v>
      </c>
      <c r="AJ757" s="10" t="str">
        <f t="shared" si="151"/>
        <v>2025-09</v>
      </c>
      <c r="AK757" s="10" t="str">
        <f t="shared" si="152"/>
        <v>T3</v>
      </c>
      <c r="AL757" s="10" t="str">
        <f t="shared" si="153"/>
        <v>22-29</v>
      </c>
      <c r="AM757" s="10" t="str">
        <f t="shared" si="154"/>
        <v>bon</v>
      </c>
      <c r="AN757" s="10" t="s">
        <v>2839</v>
      </c>
      <c r="AO757" s="10" t="str">
        <f t="shared" si="155"/>
        <v>Faible</v>
      </c>
    </row>
    <row r="758" spans="1:41">
      <c r="A758" t="s">
        <v>2266</v>
      </c>
      <c r="B758" s="2">
        <v>46015</v>
      </c>
      <c r="C758" t="s">
        <v>2128</v>
      </c>
      <c r="D758" t="s">
        <v>42</v>
      </c>
      <c r="E758" t="s">
        <v>214</v>
      </c>
      <c r="F758" t="s">
        <v>396</v>
      </c>
      <c r="G758">
        <v>3</v>
      </c>
      <c r="H758" s="4">
        <v>260</v>
      </c>
      <c r="I758" s="3">
        <v>0</v>
      </c>
      <c r="J758" t="s">
        <v>63</v>
      </c>
      <c r="K758" t="s">
        <v>46</v>
      </c>
      <c r="L758" t="s">
        <v>2129</v>
      </c>
      <c r="M758" t="s">
        <v>48</v>
      </c>
      <c r="N758" t="s">
        <v>255</v>
      </c>
      <c r="O758" t="s">
        <v>50</v>
      </c>
      <c r="P758" t="s">
        <v>51</v>
      </c>
      <c r="Q758" t="s">
        <v>52</v>
      </c>
      <c r="R758" t="s">
        <v>216</v>
      </c>
      <c r="S758" t="s">
        <v>65</v>
      </c>
      <c r="T758" t="s">
        <v>398</v>
      </c>
      <c r="U758" s="5">
        <v>43</v>
      </c>
      <c r="V758" s="5" t="s">
        <v>85</v>
      </c>
      <c r="W758" s="5">
        <v>58</v>
      </c>
      <c r="X758" s="5">
        <v>5.2</v>
      </c>
      <c r="Y758" s="5">
        <v>7</v>
      </c>
      <c r="Z758" s="5" t="s">
        <v>57</v>
      </c>
      <c r="AA758" s="6">
        <v>189.8</v>
      </c>
      <c r="AB758" s="8">
        <f t="shared" si="143"/>
        <v>780</v>
      </c>
      <c r="AC758" s="8">
        <f t="shared" si="144"/>
        <v>0</v>
      </c>
      <c r="AD758" s="8">
        <f t="shared" si="145"/>
        <v>780</v>
      </c>
      <c r="AE758" s="8">
        <f t="shared" si="146"/>
        <v>569.40000000000009</v>
      </c>
      <c r="AF758" s="8">
        <f t="shared" si="147"/>
        <v>210.59999999999991</v>
      </c>
      <c r="AG758" s="9">
        <f t="shared" si="148"/>
        <v>0.26999999999999991</v>
      </c>
      <c r="AH758" s="10">
        <f t="shared" si="149"/>
        <v>2025</v>
      </c>
      <c r="AI758" s="10">
        <f t="shared" si="150"/>
        <v>12</v>
      </c>
      <c r="AJ758" s="10" t="str">
        <f t="shared" si="151"/>
        <v>2025-12</v>
      </c>
      <c r="AK758" s="10" t="str">
        <f t="shared" si="152"/>
        <v>T4</v>
      </c>
      <c r="AL758" s="10" t="str">
        <f t="shared" si="153"/>
        <v>40-49</v>
      </c>
      <c r="AM758" s="10" t="str">
        <f t="shared" si="154"/>
        <v>moyen</v>
      </c>
      <c r="AN758" s="10" t="s">
        <v>2837</v>
      </c>
      <c r="AO758" s="10" t="str">
        <f t="shared" si="155"/>
        <v>Moyenne</v>
      </c>
    </row>
    <row r="759" spans="1:41">
      <c r="A759" t="s">
        <v>2267</v>
      </c>
      <c r="B759" s="2">
        <v>45785</v>
      </c>
      <c r="C759" t="s">
        <v>2268</v>
      </c>
      <c r="D759" t="s">
        <v>60</v>
      </c>
      <c r="E759" t="s">
        <v>226</v>
      </c>
      <c r="F759" t="s">
        <v>467</v>
      </c>
      <c r="G759">
        <v>4</v>
      </c>
      <c r="H759" s="4">
        <v>180</v>
      </c>
      <c r="I759" s="3">
        <v>0</v>
      </c>
      <c r="J759" t="s">
        <v>63</v>
      </c>
      <c r="K759" t="s">
        <v>46</v>
      </c>
      <c r="L759" t="s">
        <v>2269</v>
      </c>
      <c r="M759" t="s">
        <v>48</v>
      </c>
      <c r="N759" t="s">
        <v>101</v>
      </c>
      <c r="O759" t="s">
        <v>66</v>
      </c>
      <c r="P759" t="s">
        <v>67</v>
      </c>
      <c r="Q759" t="s">
        <v>52</v>
      </c>
      <c r="R759" t="s">
        <v>229</v>
      </c>
      <c r="S759" t="s">
        <v>48</v>
      </c>
      <c r="T759" t="s">
        <v>469</v>
      </c>
      <c r="U759" s="5">
        <v>41</v>
      </c>
      <c r="V759" s="5" t="s">
        <v>85</v>
      </c>
      <c r="W759" s="5">
        <v>15</v>
      </c>
      <c r="X759" s="5">
        <v>4.0999999999999996</v>
      </c>
      <c r="Y759" s="5">
        <v>7</v>
      </c>
      <c r="Z759" s="5" t="s">
        <v>94</v>
      </c>
      <c r="AA759" s="6">
        <v>129.6</v>
      </c>
      <c r="AB759" s="8">
        <f t="shared" si="143"/>
        <v>720</v>
      </c>
      <c r="AC759" s="8">
        <f t="shared" si="144"/>
        <v>0</v>
      </c>
      <c r="AD759" s="8">
        <f t="shared" si="145"/>
        <v>720</v>
      </c>
      <c r="AE759" s="8">
        <f t="shared" si="146"/>
        <v>518.4</v>
      </c>
      <c r="AF759" s="8">
        <f t="shared" si="147"/>
        <v>201.60000000000002</v>
      </c>
      <c r="AG759" s="9">
        <f t="shared" si="148"/>
        <v>0.28000000000000003</v>
      </c>
      <c r="AH759" s="10">
        <f t="shared" si="149"/>
        <v>2025</v>
      </c>
      <c r="AI759" s="10">
        <f t="shared" si="150"/>
        <v>5</v>
      </c>
      <c r="AJ759" s="10" t="str">
        <f t="shared" si="151"/>
        <v>2025-05</v>
      </c>
      <c r="AK759" s="10" t="str">
        <f t="shared" si="152"/>
        <v>T2</v>
      </c>
      <c r="AL759" s="10" t="str">
        <f t="shared" si="153"/>
        <v>40-49</v>
      </c>
      <c r="AM759" s="10" t="str">
        <f t="shared" si="154"/>
        <v>faible</v>
      </c>
      <c r="AN759" s="10" t="s">
        <v>2837</v>
      </c>
      <c r="AO759" s="10" t="str">
        <f t="shared" si="155"/>
        <v>Moyenne</v>
      </c>
    </row>
    <row r="760" spans="1:41">
      <c r="A760" t="s">
        <v>2270</v>
      </c>
      <c r="B760" s="2">
        <v>46015</v>
      </c>
      <c r="C760" t="s">
        <v>1991</v>
      </c>
      <c r="D760" t="s">
        <v>138</v>
      </c>
      <c r="E760" t="s">
        <v>163</v>
      </c>
      <c r="F760" t="s">
        <v>292</v>
      </c>
      <c r="G760">
        <v>1</v>
      </c>
      <c r="H760" s="4">
        <v>120</v>
      </c>
      <c r="I760" s="3">
        <v>0.08</v>
      </c>
      <c r="J760" t="s">
        <v>90</v>
      </c>
      <c r="K760" t="s">
        <v>46</v>
      </c>
      <c r="L760" t="s">
        <v>1992</v>
      </c>
      <c r="M760" t="s">
        <v>48</v>
      </c>
      <c r="N760" t="s">
        <v>255</v>
      </c>
      <c r="O760" t="s">
        <v>142</v>
      </c>
      <c r="P760" t="s">
        <v>51</v>
      </c>
      <c r="Q760" t="s">
        <v>143</v>
      </c>
      <c r="R760" t="s">
        <v>167</v>
      </c>
      <c r="S760" t="s">
        <v>123</v>
      </c>
      <c r="T760" t="s">
        <v>294</v>
      </c>
      <c r="U760" s="5">
        <v>22</v>
      </c>
      <c r="V760" s="5" t="s">
        <v>85</v>
      </c>
      <c r="W760" s="5">
        <v>52</v>
      </c>
      <c r="X760" s="5">
        <v>4</v>
      </c>
      <c r="Y760" s="5">
        <v>9</v>
      </c>
      <c r="Z760" s="5" t="s">
        <v>71</v>
      </c>
      <c r="AA760" s="6">
        <v>73.2</v>
      </c>
      <c r="AB760" s="8">
        <f t="shared" si="143"/>
        <v>120</v>
      </c>
      <c r="AC760" s="8">
        <f t="shared" si="144"/>
        <v>9.6</v>
      </c>
      <c r="AD760" s="8">
        <f t="shared" si="145"/>
        <v>110.4</v>
      </c>
      <c r="AE760" s="8">
        <f t="shared" si="146"/>
        <v>73.2</v>
      </c>
      <c r="AF760" s="8">
        <f t="shared" si="147"/>
        <v>37.200000000000003</v>
      </c>
      <c r="AG760" s="9">
        <f t="shared" si="148"/>
        <v>0.33695652173913043</v>
      </c>
      <c r="AH760" s="10">
        <f t="shared" si="149"/>
        <v>2025</v>
      </c>
      <c r="AI760" s="10">
        <f t="shared" si="150"/>
        <v>12</v>
      </c>
      <c r="AJ760" s="10" t="str">
        <f t="shared" si="151"/>
        <v>2025-12</v>
      </c>
      <c r="AK760" s="10" t="str">
        <f t="shared" si="152"/>
        <v>T4</v>
      </c>
      <c r="AL760" s="10" t="str">
        <f t="shared" si="153"/>
        <v>22-29</v>
      </c>
      <c r="AM760" s="10" t="str">
        <f t="shared" si="154"/>
        <v>faible</v>
      </c>
      <c r="AN760" s="10" t="s">
        <v>2837</v>
      </c>
      <c r="AO760" s="10" t="str">
        <f t="shared" si="155"/>
        <v>Faible</v>
      </c>
    </row>
    <row r="761" spans="1:41">
      <c r="A761" t="s">
        <v>2271</v>
      </c>
      <c r="B761" s="2">
        <v>45909</v>
      </c>
      <c r="C761" t="s">
        <v>2272</v>
      </c>
      <c r="D761" t="s">
        <v>60</v>
      </c>
      <c r="E761" t="s">
        <v>226</v>
      </c>
      <c r="F761" t="s">
        <v>287</v>
      </c>
      <c r="G761">
        <v>2</v>
      </c>
      <c r="H761" s="4">
        <v>180</v>
      </c>
      <c r="I761" s="3">
        <v>0.02</v>
      </c>
      <c r="J761" t="s">
        <v>63</v>
      </c>
      <c r="K761" t="s">
        <v>46</v>
      </c>
      <c r="L761" t="s">
        <v>2273</v>
      </c>
      <c r="M761" t="s">
        <v>123</v>
      </c>
      <c r="N761" t="s">
        <v>80</v>
      </c>
      <c r="O761" t="s">
        <v>66</v>
      </c>
      <c r="P761" t="s">
        <v>67</v>
      </c>
      <c r="Q761" t="s">
        <v>52</v>
      </c>
      <c r="R761" t="s">
        <v>229</v>
      </c>
      <c r="S761" t="s">
        <v>48</v>
      </c>
      <c r="T761" t="s">
        <v>289</v>
      </c>
      <c r="U761" s="5">
        <v>56</v>
      </c>
      <c r="V761" s="5" t="s">
        <v>56</v>
      </c>
      <c r="W761" s="5">
        <v>22</v>
      </c>
      <c r="X761" s="5">
        <v>8.4</v>
      </c>
      <c r="Y761" s="5">
        <v>1</v>
      </c>
      <c r="Z761" s="5" t="s">
        <v>94</v>
      </c>
      <c r="AA761" s="6">
        <v>129.6</v>
      </c>
      <c r="AB761" s="8">
        <f t="shared" si="143"/>
        <v>360</v>
      </c>
      <c r="AC761" s="8">
        <f t="shared" si="144"/>
        <v>7.2</v>
      </c>
      <c r="AD761" s="8">
        <f t="shared" si="145"/>
        <v>352.8</v>
      </c>
      <c r="AE761" s="8">
        <f t="shared" si="146"/>
        <v>259.2</v>
      </c>
      <c r="AF761" s="8">
        <f t="shared" si="147"/>
        <v>93.600000000000023</v>
      </c>
      <c r="AG761" s="9">
        <f t="shared" si="148"/>
        <v>0.26530612244897966</v>
      </c>
      <c r="AH761" s="10">
        <f t="shared" si="149"/>
        <v>2025</v>
      </c>
      <c r="AI761" s="10">
        <f t="shared" si="150"/>
        <v>9</v>
      </c>
      <c r="AJ761" s="10" t="str">
        <f t="shared" si="151"/>
        <v>2025-09</v>
      </c>
      <c r="AK761" s="10" t="str">
        <f t="shared" si="152"/>
        <v>T3</v>
      </c>
      <c r="AL761" s="10" t="str">
        <f t="shared" si="153"/>
        <v>50+</v>
      </c>
      <c r="AM761" s="10" t="str">
        <f t="shared" si="154"/>
        <v>bon</v>
      </c>
      <c r="AN761" s="10" t="s">
        <v>2838</v>
      </c>
      <c r="AO761" s="10" t="str">
        <f t="shared" si="155"/>
        <v>Faible</v>
      </c>
    </row>
    <row r="762" spans="1:41">
      <c r="A762" t="s">
        <v>2274</v>
      </c>
      <c r="B762" s="2">
        <v>45845</v>
      </c>
      <c r="C762" t="s">
        <v>2275</v>
      </c>
      <c r="D762" t="s">
        <v>60</v>
      </c>
      <c r="E762" t="s">
        <v>163</v>
      </c>
      <c r="F762" t="s">
        <v>467</v>
      </c>
      <c r="G762">
        <v>6</v>
      </c>
      <c r="H762" s="4">
        <v>180</v>
      </c>
      <c r="I762" s="3">
        <v>0</v>
      </c>
      <c r="J762" t="s">
        <v>63</v>
      </c>
      <c r="K762" t="s">
        <v>46</v>
      </c>
      <c r="L762" t="s">
        <v>2276</v>
      </c>
      <c r="M762" t="s">
        <v>65</v>
      </c>
      <c r="N762" t="s">
        <v>101</v>
      </c>
      <c r="O762" t="s">
        <v>66</v>
      </c>
      <c r="P762" t="s">
        <v>67</v>
      </c>
      <c r="Q762" t="s">
        <v>52</v>
      </c>
      <c r="R762" t="s">
        <v>167</v>
      </c>
      <c r="S762" t="s">
        <v>123</v>
      </c>
      <c r="T762" t="s">
        <v>469</v>
      </c>
      <c r="U762" s="5">
        <v>42</v>
      </c>
      <c r="V762" s="5" t="s">
        <v>56</v>
      </c>
      <c r="W762" s="5">
        <v>41</v>
      </c>
      <c r="X762" s="5">
        <v>4.9000000000000004</v>
      </c>
      <c r="Y762" s="5">
        <v>6</v>
      </c>
      <c r="Z762" s="5" t="s">
        <v>94</v>
      </c>
      <c r="AA762" s="6">
        <v>129.6</v>
      </c>
      <c r="AB762" s="8">
        <f t="shared" si="143"/>
        <v>1080</v>
      </c>
      <c r="AC762" s="8">
        <f t="shared" si="144"/>
        <v>0</v>
      </c>
      <c r="AD762" s="8">
        <f t="shared" si="145"/>
        <v>1080</v>
      </c>
      <c r="AE762" s="8">
        <f t="shared" si="146"/>
        <v>777.59999999999991</v>
      </c>
      <c r="AF762" s="8">
        <f t="shared" si="147"/>
        <v>302.40000000000009</v>
      </c>
      <c r="AG762" s="9">
        <f t="shared" si="148"/>
        <v>0.28000000000000008</v>
      </c>
      <c r="AH762" s="10">
        <f t="shared" si="149"/>
        <v>2025</v>
      </c>
      <c r="AI762" s="10">
        <f t="shared" si="150"/>
        <v>7</v>
      </c>
      <c r="AJ762" s="10" t="str">
        <f t="shared" si="151"/>
        <v>2025-07</v>
      </c>
      <c r="AK762" s="10" t="str">
        <f t="shared" si="152"/>
        <v>T3</v>
      </c>
      <c r="AL762" s="10" t="str">
        <f t="shared" si="153"/>
        <v>40-49</v>
      </c>
      <c r="AM762" s="10" t="str">
        <f t="shared" si="154"/>
        <v>faible</v>
      </c>
      <c r="AN762" s="10" t="s">
        <v>2839</v>
      </c>
      <c r="AO762" s="10" t="str">
        <f t="shared" si="155"/>
        <v>Elevée</v>
      </c>
    </row>
    <row r="763" spans="1:41">
      <c r="A763" t="s">
        <v>2277</v>
      </c>
      <c r="B763" s="2">
        <v>45844</v>
      </c>
      <c r="C763" t="s">
        <v>2278</v>
      </c>
      <c r="D763" t="s">
        <v>181</v>
      </c>
      <c r="E763" t="s">
        <v>219</v>
      </c>
      <c r="F763" t="s">
        <v>310</v>
      </c>
      <c r="G763">
        <v>1</v>
      </c>
      <c r="H763" s="4">
        <v>145</v>
      </c>
      <c r="I763" s="3">
        <v>0</v>
      </c>
      <c r="J763" t="s">
        <v>90</v>
      </c>
      <c r="K763" t="s">
        <v>46</v>
      </c>
      <c r="L763" t="s">
        <v>2279</v>
      </c>
      <c r="M763" t="s">
        <v>123</v>
      </c>
      <c r="N763" t="s">
        <v>49</v>
      </c>
      <c r="O763" t="s">
        <v>184</v>
      </c>
      <c r="P763" t="s">
        <v>103</v>
      </c>
      <c r="Q763" t="s">
        <v>52</v>
      </c>
      <c r="R763" t="s">
        <v>222</v>
      </c>
      <c r="S763" t="s">
        <v>123</v>
      </c>
      <c r="T763" t="s">
        <v>312</v>
      </c>
      <c r="U763" s="5">
        <v>40</v>
      </c>
      <c r="V763" s="5" t="s">
        <v>85</v>
      </c>
      <c r="W763" s="5">
        <v>44</v>
      </c>
      <c r="X763" s="5">
        <v>6</v>
      </c>
      <c r="Y763" s="5">
        <v>4</v>
      </c>
      <c r="Z763" s="5" t="s">
        <v>71</v>
      </c>
      <c r="AA763" s="6">
        <v>97.15</v>
      </c>
      <c r="AB763" s="8">
        <f t="shared" si="143"/>
        <v>145</v>
      </c>
      <c r="AC763" s="8">
        <f t="shared" si="144"/>
        <v>0</v>
      </c>
      <c r="AD763" s="8">
        <f t="shared" si="145"/>
        <v>145</v>
      </c>
      <c r="AE763" s="8">
        <f t="shared" si="146"/>
        <v>97.15</v>
      </c>
      <c r="AF763" s="8">
        <f t="shared" si="147"/>
        <v>47.849999999999994</v>
      </c>
      <c r="AG763" s="9">
        <f t="shared" si="148"/>
        <v>0.32999999999999996</v>
      </c>
      <c r="AH763" s="10">
        <f t="shared" si="149"/>
        <v>2025</v>
      </c>
      <c r="AI763" s="10">
        <f t="shared" si="150"/>
        <v>7</v>
      </c>
      <c r="AJ763" s="10" t="str">
        <f t="shared" si="151"/>
        <v>2025-07</v>
      </c>
      <c r="AK763" s="10" t="str">
        <f t="shared" si="152"/>
        <v>T3</v>
      </c>
      <c r="AL763" s="10" t="str">
        <f t="shared" si="153"/>
        <v>40-49</v>
      </c>
      <c r="AM763" s="10" t="str">
        <f t="shared" si="154"/>
        <v>moyen</v>
      </c>
      <c r="AN763" s="10" t="s">
        <v>2839</v>
      </c>
      <c r="AO763" s="10" t="str">
        <f t="shared" si="155"/>
        <v>Faible</v>
      </c>
    </row>
    <row r="764" spans="1:41">
      <c r="A764" t="s">
        <v>2280</v>
      </c>
      <c r="B764" s="2">
        <v>45786</v>
      </c>
      <c r="C764" t="s">
        <v>2281</v>
      </c>
      <c r="D764" t="s">
        <v>174</v>
      </c>
      <c r="E764" t="s">
        <v>61</v>
      </c>
      <c r="F764" t="s">
        <v>197</v>
      </c>
      <c r="G764">
        <v>1</v>
      </c>
      <c r="H764" s="4">
        <v>780</v>
      </c>
      <c r="I764" s="3">
        <v>0</v>
      </c>
      <c r="J764" t="s">
        <v>63</v>
      </c>
      <c r="K764" t="s">
        <v>46</v>
      </c>
      <c r="L764" t="s">
        <v>2282</v>
      </c>
      <c r="M764" t="s">
        <v>69</v>
      </c>
      <c r="N764" t="s">
        <v>80</v>
      </c>
      <c r="O764" t="s">
        <v>177</v>
      </c>
      <c r="P764" t="s">
        <v>103</v>
      </c>
      <c r="Q764" t="s">
        <v>114</v>
      </c>
      <c r="R764" t="s">
        <v>68</v>
      </c>
      <c r="S764" t="s">
        <v>69</v>
      </c>
      <c r="T764" t="s">
        <v>199</v>
      </c>
      <c r="U764" s="5">
        <v>52</v>
      </c>
      <c r="V764" s="5" t="s">
        <v>56</v>
      </c>
      <c r="W764" s="5">
        <v>49</v>
      </c>
      <c r="X764" s="5">
        <v>7.2</v>
      </c>
      <c r="Y764" s="5">
        <v>2</v>
      </c>
      <c r="Z764" s="5" t="s">
        <v>71</v>
      </c>
      <c r="AA764" s="6">
        <v>468</v>
      </c>
      <c r="AB764" s="8">
        <f t="shared" si="143"/>
        <v>780</v>
      </c>
      <c r="AC764" s="8">
        <f t="shared" si="144"/>
        <v>0</v>
      </c>
      <c r="AD764" s="8">
        <f t="shared" si="145"/>
        <v>780</v>
      </c>
      <c r="AE764" s="8">
        <f t="shared" si="146"/>
        <v>468</v>
      </c>
      <c r="AF764" s="8">
        <f t="shared" si="147"/>
        <v>312</v>
      </c>
      <c r="AG764" s="9">
        <f t="shared" si="148"/>
        <v>0.4</v>
      </c>
      <c r="AH764" s="10">
        <f t="shared" si="149"/>
        <v>2025</v>
      </c>
      <c r="AI764" s="10">
        <f t="shared" si="150"/>
        <v>5</v>
      </c>
      <c r="AJ764" s="10" t="str">
        <f t="shared" si="151"/>
        <v>2025-05</v>
      </c>
      <c r="AK764" s="10" t="str">
        <f t="shared" si="152"/>
        <v>T2</v>
      </c>
      <c r="AL764" s="10" t="str">
        <f t="shared" si="153"/>
        <v>50+</v>
      </c>
      <c r="AM764" s="10" t="str">
        <f t="shared" si="154"/>
        <v>bon</v>
      </c>
      <c r="AN764" s="10" t="s">
        <v>2838</v>
      </c>
      <c r="AO764" s="10" t="str">
        <f t="shared" si="155"/>
        <v>Moyenne</v>
      </c>
    </row>
    <row r="765" spans="1:41">
      <c r="A765" t="s">
        <v>2283</v>
      </c>
      <c r="B765" s="2">
        <v>45753</v>
      </c>
      <c r="C765" t="s">
        <v>2284</v>
      </c>
      <c r="D765" t="s">
        <v>333</v>
      </c>
      <c r="E765" t="s">
        <v>109</v>
      </c>
      <c r="F765" t="s">
        <v>548</v>
      </c>
      <c r="G765">
        <v>1</v>
      </c>
      <c r="H765" s="4">
        <v>65</v>
      </c>
      <c r="I765" s="3">
        <v>0</v>
      </c>
      <c r="J765" t="s">
        <v>45</v>
      </c>
      <c r="K765" t="s">
        <v>46</v>
      </c>
      <c r="L765" t="s">
        <v>2285</v>
      </c>
      <c r="M765" t="s">
        <v>48</v>
      </c>
      <c r="N765" t="s">
        <v>80</v>
      </c>
      <c r="O765" t="s">
        <v>336</v>
      </c>
      <c r="P765" t="s">
        <v>51</v>
      </c>
      <c r="Q765" t="s">
        <v>52</v>
      </c>
      <c r="R765" t="s">
        <v>115</v>
      </c>
      <c r="S765" t="s">
        <v>65</v>
      </c>
      <c r="T765" t="s">
        <v>550</v>
      </c>
      <c r="U765" s="5">
        <v>46</v>
      </c>
      <c r="V765" s="5" t="s">
        <v>85</v>
      </c>
      <c r="W765" s="5">
        <v>31</v>
      </c>
      <c r="X765" s="5">
        <v>4.3</v>
      </c>
      <c r="Y765" s="5">
        <v>7</v>
      </c>
      <c r="Z765" s="5" t="s">
        <v>117</v>
      </c>
      <c r="AA765" s="6">
        <v>47.45</v>
      </c>
      <c r="AB765" s="8">
        <f t="shared" si="143"/>
        <v>65</v>
      </c>
      <c r="AC765" s="8">
        <f t="shared" si="144"/>
        <v>0</v>
      </c>
      <c r="AD765" s="8">
        <f t="shared" si="145"/>
        <v>65</v>
      </c>
      <c r="AE765" s="8">
        <f t="shared" si="146"/>
        <v>47.45</v>
      </c>
      <c r="AF765" s="8">
        <f t="shared" si="147"/>
        <v>17.549999999999997</v>
      </c>
      <c r="AG765" s="9">
        <f t="shared" si="148"/>
        <v>0.26999999999999996</v>
      </c>
      <c r="AH765" s="10">
        <f t="shared" si="149"/>
        <v>2025</v>
      </c>
      <c r="AI765" s="10">
        <f t="shared" si="150"/>
        <v>4</v>
      </c>
      <c r="AJ765" s="10" t="str">
        <f t="shared" si="151"/>
        <v>2025-04</v>
      </c>
      <c r="AK765" s="10" t="str">
        <f t="shared" si="152"/>
        <v>T2</v>
      </c>
      <c r="AL765" s="10" t="str">
        <f t="shared" si="153"/>
        <v>40-49</v>
      </c>
      <c r="AM765" s="10" t="str">
        <f t="shared" si="154"/>
        <v>faible</v>
      </c>
      <c r="AN765" s="10" t="s">
        <v>2837</v>
      </c>
      <c r="AO765" s="10" t="str">
        <f t="shared" si="155"/>
        <v>Faible</v>
      </c>
    </row>
    <row r="766" spans="1:41">
      <c r="A766" t="s">
        <v>2286</v>
      </c>
      <c r="B766" s="2">
        <v>45993</v>
      </c>
      <c r="C766" t="s">
        <v>1341</v>
      </c>
      <c r="D766" t="s">
        <v>174</v>
      </c>
      <c r="E766" t="s">
        <v>219</v>
      </c>
      <c r="F766" t="s">
        <v>44</v>
      </c>
      <c r="G766">
        <v>4</v>
      </c>
      <c r="H766" s="4">
        <v>780</v>
      </c>
      <c r="I766" s="3">
        <v>0.1</v>
      </c>
      <c r="J766" t="s">
        <v>45</v>
      </c>
      <c r="K766" t="s">
        <v>46</v>
      </c>
      <c r="L766" t="s">
        <v>1342</v>
      </c>
      <c r="M766" t="s">
        <v>79</v>
      </c>
      <c r="N766" t="s">
        <v>49</v>
      </c>
      <c r="O766" t="s">
        <v>177</v>
      </c>
      <c r="P766" t="s">
        <v>103</v>
      </c>
      <c r="Q766" t="s">
        <v>114</v>
      </c>
      <c r="R766" t="s">
        <v>222</v>
      </c>
      <c r="S766" t="s">
        <v>123</v>
      </c>
      <c r="T766" t="s">
        <v>55</v>
      </c>
      <c r="U766" s="5">
        <v>36</v>
      </c>
      <c r="V766" s="5" t="s">
        <v>85</v>
      </c>
      <c r="W766" s="5">
        <v>33</v>
      </c>
      <c r="X766" s="5">
        <v>6</v>
      </c>
      <c r="Y766" s="5">
        <v>6</v>
      </c>
      <c r="Z766" s="5" t="s">
        <v>94</v>
      </c>
      <c r="AA766" s="6">
        <v>468</v>
      </c>
      <c r="AB766" s="8">
        <f t="shared" si="143"/>
        <v>3120</v>
      </c>
      <c r="AC766" s="8">
        <f t="shared" si="144"/>
        <v>312</v>
      </c>
      <c r="AD766" s="8">
        <f t="shared" si="145"/>
        <v>2808</v>
      </c>
      <c r="AE766" s="8">
        <f t="shared" si="146"/>
        <v>1872</v>
      </c>
      <c r="AF766" s="8">
        <f t="shared" si="147"/>
        <v>936</v>
      </c>
      <c r="AG766" s="9">
        <f t="shared" si="148"/>
        <v>0.33333333333333331</v>
      </c>
      <c r="AH766" s="10">
        <f t="shared" si="149"/>
        <v>2025</v>
      </c>
      <c r="AI766" s="10">
        <f t="shared" si="150"/>
        <v>12</v>
      </c>
      <c r="AJ766" s="10" t="str">
        <f t="shared" si="151"/>
        <v>2025-12</v>
      </c>
      <c r="AK766" s="10" t="str">
        <f t="shared" si="152"/>
        <v>T4</v>
      </c>
      <c r="AL766" s="10" t="str">
        <f t="shared" si="153"/>
        <v>30-39</v>
      </c>
      <c r="AM766" s="10" t="str">
        <f t="shared" si="154"/>
        <v>moyen</v>
      </c>
      <c r="AN766" s="10" t="s">
        <v>2839</v>
      </c>
      <c r="AO766" s="10" t="str">
        <f t="shared" si="155"/>
        <v>Elevée</v>
      </c>
    </row>
    <row r="767" spans="1:41">
      <c r="A767" t="s">
        <v>2287</v>
      </c>
      <c r="B767" s="2">
        <v>45666</v>
      </c>
      <c r="C767" t="s">
        <v>2288</v>
      </c>
      <c r="D767" t="s">
        <v>333</v>
      </c>
      <c r="E767" t="s">
        <v>75</v>
      </c>
      <c r="F767" t="s">
        <v>259</v>
      </c>
      <c r="G767">
        <v>4</v>
      </c>
      <c r="H767" s="4">
        <v>65</v>
      </c>
      <c r="I767" s="3">
        <v>0</v>
      </c>
      <c r="J767" t="s">
        <v>90</v>
      </c>
      <c r="K767" t="s">
        <v>46</v>
      </c>
      <c r="L767" t="s">
        <v>2289</v>
      </c>
      <c r="M767" t="s">
        <v>65</v>
      </c>
      <c r="N767" t="s">
        <v>255</v>
      </c>
      <c r="O767" t="s">
        <v>336</v>
      </c>
      <c r="P767" t="s">
        <v>51</v>
      </c>
      <c r="Q767" t="s">
        <v>52</v>
      </c>
      <c r="R767" t="s">
        <v>83</v>
      </c>
      <c r="S767" t="s">
        <v>69</v>
      </c>
      <c r="T767" t="s">
        <v>261</v>
      </c>
      <c r="U767" s="5">
        <v>36</v>
      </c>
      <c r="V767" s="5" t="s">
        <v>56</v>
      </c>
      <c r="W767" s="5">
        <v>24</v>
      </c>
      <c r="X767" s="5">
        <v>6.2</v>
      </c>
      <c r="Y767" s="5">
        <v>4</v>
      </c>
      <c r="Z767" s="5" t="s">
        <v>117</v>
      </c>
      <c r="AA767" s="6">
        <v>47.45</v>
      </c>
      <c r="AB767" s="8">
        <f t="shared" si="143"/>
        <v>260</v>
      </c>
      <c r="AC767" s="8">
        <f t="shared" si="144"/>
        <v>0</v>
      </c>
      <c r="AD767" s="8">
        <f t="shared" si="145"/>
        <v>260</v>
      </c>
      <c r="AE767" s="8">
        <f t="shared" si="146"/>
        <v>189.8</v>
      </c>
      <c r="AF767" s="8">
        <f t="shared" si="147"/>
        <v>70.199999999999989</v>
      </c>
      <c r="AG767" s="9">
        <f t="shared" si="148"/>
        <v>0.26999999999999996</v>
      </c>
      <c r="AH767" s="10">
        <f t="shared" si="149"/>
        <v>2025</v>
      </c>
      <c r="AI767" s="10">
        <f t="shared" si="150"/>
        <v>1</v>
      </c>
      <c r="AJ767" s="10" t="str">
        <f t="shared" si="151"/>
        <v>2025-01</v>
      </c>
      <c r="AK767" s="10" t="str">
        <f t="shared" si="152"/>
        <v>T1</v>
      </c>
      <c r="AL767" s="10" t="str">
        <f t="shared" si="153"/>
        <v>30-39</v>
      </c>
      <c r="AM767" s="10" t="str">
        <f t="shared" si="154"/>
        <v>moyen</v>
      </c>
      <c r="AN767" s="10" t="s">
        <v>2839</v>
      </c>
      <c r="AO767" s="10" t="str">
        <f t="shared" si="155"/>
        <v>Faible</v>
      </c>
    </row>
    <row r="768" spans="1:41">
      <c r="A768" t="s">
        <v>2290</v>
      </c>
      <c r="B768" s="2">
        <v>45721</v>
      </c>
      <c r="C768" t="s">
        <v>2291</v>
      </c>
      <c r="D768" t="s">
        <v>340</v>
      </c>
      <c r="E768" t="s">
        <v>75</v>
      </c>
      <c r="F768" t="s">
        <v>374</v>
      </c>
      <c r="G768">
        <v>4</v>
      </c>
      <c r="H768" s="4">
        <v>22</v>
      </c>
      <c r="I768" s="3">
        <v>0.05</v>
      </c>
      <c r="J768" t="s">
        <v>77</v>
      </c>
      <c r="K768" t="s">
        <v>46</v>
      </c>
      <c r="L768" t="s">
        <v>2292</v>
      </c>
      <c r="M768" t="s">
        <v>79</v>
      </c>
      <c r="N768" t="s">
        <v>80</v>
      </c>
      <c r="O768" t="s">
        <v>342</v>
      </c>
      <c r="P768" t="s">
        <v>103</v>
      </c>
      <c r="Q768" t="s">
        <v>143</v>
      </c>
      <c r="R768" t="s">
        <v>83</v>
      </c>
      <c r="S768" t="s">
        <v>69</v>
      </c>
      <c r="T768" t="s">
        <v>376</v>
      </c>
      <c r="U768" s="5">
        <v>49</v>
      </c>
      <c r="V768" s="5" t="s">
        <v>56</v>
      </c>
      <c r="W768" s="5">
        <v>70</v>
      </c>
      <c r="X768" s="5">
        <v>3.3</v>
      </c>
      <c r="Y768" s="5">
        <v>9</v>
      </c>
      <c r="Z768" s="5" t="s">
        <v>117</v>
      </c>
      <c r="AA768" s="6">
        <v>14.96</v>
      </c>
      <c r="AB768" s="8">
        <f t="shared" si="143"/>
        <v>88</v>
      </c>
      <c r="AC768" s="8">
        <f t="shared" si="144"/>
        <v>4.4000000000000004</v>
      </c>
      <c r="AD768" s="8">
        <f t="shared" si="145"/>
        <v>83.6</v>
      </c>
      <c r="AE768" s="8">
        <f t="shared" si="146"/>
        <v>59.84</v>
      </c>
      <c r="AF768" s="8">
        <f t="shared" si="147"/>
        <v>23.759999999999991</v>
      </c>
      <c r="AG768" s="9">
        <f t="shared" si="148"/>
        <v>0.28421052631578936</v>
      </c>
      <c r="AH768" s="10">
        <f t="shared" si="149"/>
        <v>2025</v>
      </c>
      <c r="AI768" s="10">
        <f t="shared" si="150"/>
        <v>3</v>
      </c>
      <c r="AJ768" s="10" t="str">
        <f t="shared" si="151"/>
        <v>2025-03</v>
      </c>
      <c r="AK768" s="10" t="str">
        <f t="shared" si="152"/>
        <v>T1</v>
      </c>
      <c r="AL768" s="10" t="str">
        <f t="shared" si="153"/>
        <v>40-49</v>
      </c>
      <c r="AM768" s="10" t="str">
        <f t="shared" si="154"/>
        <v>faible</v>
      </c>
      <c r="AN768" s="10" t="s">
        <v>2837</v>
      </c>
      <c r="AO768" s="10" t="str">
        <f t="shared" si="155"/>
        <v>Faible</v>
      </c>
    </row>
    <row r="769" spans="1:41">
      <c r="A769" t="s">
        <v>2293</v>
      </c>
      <c r="B769" s="2">
        <v>45743</v>
      </c>
      <c r="C769" t="s">
        <v>2294</v>
      </c>
      <c r="D769" t="s">
        <v>188</v>
      </c>
      <c r="E769" t="s">
        <v>226</v>
      </c>
      <c r="F769" t="s">
        <v>248</v>
      </c>
      <c r="G769">
        <v>1</v>
      </c>
      <c r="H769" s="4">
        <v>350</v>
      </c>
      <c r="I769" s="3">
        <v>0</v>
      </c>
      <c r="J769" t="s">
        <v>45</v>
      </c>
      <c r="K769" t="s">
        <v>46</v>
      </c>
      <c r="L769" t="s">
        <v>2295</v>
      </c>
      <c r="M769" t="s">
        <v>69</v>
      </c>
      <c r="N769" t="s">
        <v>49</v>
      </c>
      <c r="O769" t="s">
        <v>192</v>
      </c>
      <c r="P769" t="s">
        <v>51</v>
      </c>
      <c r="Q769" t="s">
        <v>114</v>
      </c>
      <c r="R769" t="s">
        <v>229</v>
      </c>
      <c r="S769" t="s">
        <v>48</v>
      </c>
      <c r="T769" t="s">
        <v>250</v>
      </c>
      <c r="U769" s="5">
        <v>46</v>
      </c>
      <c r="V769" s="5" t="s">
        <v>56</v>
      </c>
      <c r="W769" s="5">
        <v>66</v>
      </c>
      <c r="X769" s="5">
        <v>7.6</v>
      </c>
      <c r="Y769" s="5">
        <v>2</v>
      </c>
      <c r="Z769" s="5" t="s">
        <v>94</v>
      </c>
      <c r="AA769" s="6">
        <v>213.5</v>
      </c>
      <c r="AB769" s="8">
        <f t="shared" si="143"/>
        <v>350</v>
      </c>
      <c r="AC769" s="8">
        <f t="shared" si="144"/>
        <v>0</v>
      </c>
      <c r="AD769" s="8">
        <f t="shared" si="145"/>
        <v>350</v>
      </c>
      <c r="AE769" s="8">
        <f t="shared" si="146"/>
        <v>213.5</v>
      </c>
      <c r="AF769" s="8">
        <f t="shared" si="147"/>
        <v>136.5</v>
      </c>
      <c r="AG769" s="9">
        <f t="shared" si="148"/>
        <v>0.39</v>
      </c>
      <c r="AH769" s="10">
        <f t="shared" si="149"/>
        <v>2025</v>
      </c>
      <c r="AI769" s="10">
        <f t="shared" si="150"/>
        <v>3</v>
      </c>
      <c r="AJ769" s="10" t="str">
        <f t="shared" si="151"/>
        <v>2025-03</v>
      </c>
      <c r="AK769" s="10" t="str">
        <f t="shared" si="152"/>
        <v>T1</v>
      </c>
      <c r="AL769" s="10" t="str">
        <f t="shared" si="153"/>
        <v>40-49</v>
      </c>
      <c r="AM769" s="10" t="str">
        <f t="shared" si="154"/>
        <v>bon</v>
      </c>
      <c r="AN769" s="10" t="s">
        <v>2838</v>
      </c>
      <c r="AO769" s="10" t="str">
        <f t="shared" si="155"/>
        <v>Faible</v>
      </c>
    </row>
    <row r="770" spans="1:41">
      <c r="A770" t="s">
        <v>2296</v>
      </c>
      <c r="B770" s="2">
        <v>45890</v>
      </c>
      <c r="C770" t="s">
        <v>2297</v>
      </c>
      <c r="D770" t="s">
        <v>340</v>
      </c>
      <c r="E770" t="s">
        <v>139</v>
      </c>
      <c r="F770" t="s">
        <v>259</v>
      </c>
      <c r="G770">
        <v>1</v>
      </c>
      <c r="H770" s="4">
        <v>22</v>
      </c>
      <c r="I770" s="3">
        <v>0</v>
      </c>
      <c r="J770" t="s">
        <v>45</v>
      </c>
      <c r="K770" t="s">
        <v>46</v>
      </c>
      <c r="L770" t="s">
        <v>2298</v>
      </c>
      <c r="M770" t="s">
        <v>69</v>
      </c>
      <c r="N770" t="s">
        <v>80</v>
      </c>
      <c r="O770" t="s">
        <v>342</v>
      </c>
      <c r="P770" t="s">
        <v>103</v>
      </c>
      <c r="Q770" t="s">
        <v>143</v>
      </c>
      <c r="R770" t="s">
        <v>144</v>
      </c>
      <c r="S770" t="s">
        <v>65</v>
      </c>
      <c r="T770" t="s">
        <v>261</v>
      </c>
      <c r="U770" s="5">
        <v>27</v>
      </c>
      <c r="V770" s="5" t="s">
        <v>85</v>
      </c>
      <c r="W770" s="5">
        <v>21</v>
      </c>
      <c r="X770" s="5">
        <v>4.5</v>
      </c>
      <c r="Y770" s="5">
        <v>7</v>
      </c>
      <c r="Z770" s="5" t="s">
        <v>94</v>
      </c>
      <c r="AA770" s="6">
        <v>14.96</v>
      </c>
      <c r="AB770" s="8">
        <f t="shared" si="143"/>
        <v>22</v>
      </c>
      <c r="AC770" s="8">
        <f t="shared" si="144"/>
        <v>0</v>
      </c>
      <c r="AD770" s="8">
        <f t="shared" si="145"/>
        <v>22</v>
      </c>
      <c r="AE770" s="8">
        <f t="shared" si="146"/>
        <v>14.96</v>
      </c>
      <c r="AF770" s="8">
        <f t="shared" si="147"/>
        <v>7.0399999999999991</v>
      </c>
      <c r="AG770" s="9">
        <f t="shared" si="148"/>
        <v>0.31999999999999995</v>
      </c>
      <c r="AH770" s="10">
        <f t="shared" si="149"/>
        <v>2025</v>
      </c>
      <c r="AI770" s="10">
        <f t="shared" si="150"/>
        <v>8</v>
      </c>
      <c r="AJ770" s="10" t="str">
        <f t="shared" si="151"/>
        <v>2025-08</v>
      </c>
      <c r="AK770" s="10" t="str">
        <f t="shared" si="152"/>
        <v>T3</v>
      </c>
      <c r="AL770" s="10" t="str">
        <f t="shared" si="153"/>
        <v>22-29</v>
      </c>
      <c r="AM770" s="10" t="str">
        <f t="shared" si="154"/>
        <v>faible</v>
      </c>
      <c r="AN770" s="10" t="s">
        <v>2837</v>
      </c>
      <c r="AO770" s="10" t="str">
        <f t="shared" si="155"/>
        <v>Faible</v>
      </c>
    </row>
    <row r="771" spans="1:41">
      <c r="A771" t="s">
        <v>2299</v>
      </c>
      <c r="B771" s="2">
        <v>45658</v>
      </c>
      <c r="C771" t="s">
        <v>2300</v>
      </c>
      <c r="D771" t="s">
        <v>174</v>
      </c>
      <c r="E771" t="s">
        <v>226</v>
      </c>
      <c r="F771" t="s">
        <v>248</v>
      </c>
      <c r="G771">
        <v>2</v>
      </c>
      <c r="H771" s="4">
        <v>780</v>
      </c>
      <c r="I771" s="3">
        <v>0.05</v>
      </c>
      <c r="J771" t="s">
        <v>63</v>
      </c>
      <c r="K771" t="s">
        <v>46</v>
      </c>
      <c r="L771" t="s">
        <v>2301</v>
      </c>
      <c r="M771" t="s">
        <v>79</v>
      </c>
      <c r="N771" t="s">
        <v>49</v>
      </c>
      <c r="O771" t="s">
        <v>177</v>
      </c>
      <c r="P771" t="s">
        <v>103</v>
      </c>
      <c r="Q771" t="s">
        <v>114</v>
      </c>
      <c r="R771" t="s">
        <v>229</v>
      </c>
      <c r="S771" t="s">
        <v>48</v>
      </c>
      <c r="T771" t="s">
        <v>250</v>
      </c>
      <c r="U771" s="5">
        <v>49</v>
      </c>
      <c r="V771" s="5" t="s">
        <v>85</v>
      </c>
      <c r="W771" s="5">
        <v>57</v>
      </c>
      <c r="X771" s="5">
        <v>5.6</v>
      </c>
      <c r="Y771" s="5">
        <v>7</v>
      </c>
      <c r="Z771" s="5" t="s">
        <v>71</v>
      </c>
      <c r="AA771" s="6">
        <v>468</v>
      </c>
      <c r="AB771" s="8">
        <f t="shared" ref="AB771:AB834" si="156">G771*H771</f>
        <v>1560</v>
      </c>
      <c r="AC771" s="8">
        <f t="shared" ref="AC771:AC834" si="157">I771*AB771</f>
        <v>78</v>
      </c>
      <c r="AD771" s="8">
        <f t="shared" ref="AD771:AD834" si="158">AB771-AC771</f>
        <v>1482</v>
      </c>
      <c r="AE771" s="8">
        <f t="shared" ref="AE771:AE834" si="159">G771*AA771</f>
        <v>936</v>
      </c>
      <c r="AF771" s="8">
        <f t="shared" ref="AF771:AF834" si="160">AD771-AE771</f>
        <v>546</v>
      </c>
      <c r="AG771" s="9">
        <f t="shared" ref="AG771:AG834" si="161">IFERROR(AF771/AD771,)</f>
        <v>0.36842105263157893</v>
      </c>
      <c r="AH771" s="10">
        <f t="shared" ref="AH771:AH834" si="162">YEAR(B771)</f>
        <v>2025</v>
      </c>
      <c r="AI771" s="10">
        <f t="shared" ref="AI771:AI834" si="163">MONTH(B771)</f>
        <v>1</v>
      </c>
      <c r="AJ771" s="10" t="str">
        <f t="shared" ref="AJ771:AJ834" si="164">TEXT(B771,"yyyy-mm")</f>
        <v>2025-01</v>
      </c>
      <c r="AK771" s="10" t="str">
        <f t="shared" ref="AK771:AK834" si="165">"T"&amp;ROUNDUP(MONTH(B771)/3,0)</f>
        <v>T1</v>
      </c>
      <c r="AL771" s="10" t="str">
        <f t="shared" ref="AL771:AL834" si="166">IF(U771&lt;30,"22-29",IF(U771&lt;40,"30-39",IF(U771&lt;50,"40-49","50+")))</f>
        <v>40-49</v>
      </c>
      <c r="AM771" s="10" t="str">
        <f t="shared" ref="AM771:AM834" si="167">IF(X771&lt;5,"faible",IF(X771&lt;7,"moyen",IF(X771&lt;9,"bon","excellent")))</f>
        <v>moyen</v>
      </c>
      <c r="AN771" s="10" t="s">
        <v>2837</v>
      </c>
      <c r="AO771" s="10" t="str">
        <f t="shared" ref="AO771:AO834" si="168">IF(AD771&gt;=1000,"Elevée",IF(AD771&gt;=500,"Moyenne","Faible"))</f>
        <v>Elevée</v>
      </c>
    </row>
    <row r="772" spans="1:41">
      <c r="A772" t="s">
        <v>2302</v>
      </c>
      <c r="B772" s="2">
        <v>45989</v>
      </c>
      <c r="C772" t="s">
        <v>1933</v>
      </c>
      <c r="D772" t="s">
        <v>148</v>
      </c>
      <c r="E772" t="s">
        <v>207</v>
      </c>
      <c r="F772" t="s">
        <v>233</v>
      </c>
      <c r="G772">
        <v>10</v>
      </c>
      <c r="H772" s="4">
        <v>110</v>
      </c>
      <c r="I772" s="3">
        <v>0</v>
      </c>
      <c r="J772" t="s">
        <v>63</v>
      </c>
      <c r="K772" t="s">
        <v>46</v>
      </c>
      <c r="L772" t="s">
        <v>1934</v>
      </c>
      <c r="M772" t="s">
        <v>79</v>
      </c>
      <c r="N772" t="s">
        <v>101</v>
      </c>
      <c r="O772" t="s">
        <v>151</v>
      </c>
      <c r="P772" t="s">
        <v>103</v>
      </c>
      <c r="Q772" t="s">
        <v>114</v>
      </c>
      <c r="R772" t="s">
        <v>210</v>
      </c>
      <c r="S772" t="s">
        <v>79</v>
      </c>
      <c r="T772" t="s">
        <v>235</v>
      </c>
      <c r="U772" s="5">
        <v>34</v>
      </c>
      <c r="V772" s="5" t="s">
        <v>85</v>
      </c>
      <c r="W772" s="5">
        <v>15</v>
      </c>
      <c r="X772" s="5">
        <v>5.7</v>
      </c>
      <c r="Y772" s="5">
        <v>6</v>
      </c>
      <c r="Z772" s="5" t="s">
        <v>117</v>
      </c>
      <c r="AA772" s="6">
        <v>72.599999999999994</v>
      </c>
      <c r="AB772" s="8">
        <f t="shared" si="156"/>
        <v>1100</v>
      </c>
      <c r="AC772" s="8">
        <f t="shared" si="157"/>
        <v>0</v>
      </c>
      <c r="AD772" s="8">
        <f t="shared" si="158"/>
        <v>1100</v>
      </c>
      <c r="AE772" s="8">
        <f t="shared" si="159"/>
        <v>726</v>
      </c>
      <c r="AF772" s="8">
        <f t="shared" si="160"/>
        <v>374</v>
      </c>
      <c r="AG772" s="9">
        <f t="shared" si="161"/>
        <v>0.34</v>
      </c>
      <c r="AH772" s="10">
        <f t="shared" si="162"/>
        <v>2025</v>
      </c>
      <c r="AI772" s="10">
        <f t="shared" si="163"/>
        <v>11</v>
      </c>
      <c r="AJ772" s="10" t="str">
        <f t="shared" si="164"/>
        <v>2025-11</v>
      </c>
      <c r="AK772" s="10" t="str">
        <f t="shared" si="165"/>
        <v>T4</v>
      </c>
      <c r="AL772" s="10" t="str">
        <f t="shared" si="166"/>
        <v>30-39</v>
      </c>
      <c r="AM772" s="10" t="str">
        <f t="shared" si="167"/>
        <v>moyen</v>
      </c>
      <c r="AN772" s="10" t="s">
        <v>2839</v>
      </c>
      <c r="AO772" s="10" t="str">
        <f t="shared" si="168"/>
        <v>Elevée</v>
      </c>
    </row>
    <row r="773" spans="1:41">
      <c r="A773" t="s">
        <v>2303</v>
      </c>
      <c r="B773" s="2">
        <v>45913</v>
      </c>
      <c r="C773" t="s">
        <v>1533</v>
      </c>
      <c r="D773" t="s">
        <v>333</v>
      </c>
      <c r="E773" t="s">
        <v>75</v>
      </c>
      <c r="F773" t="s">
        <v>458</v>
      </c>
      <c r="G773">
        <v>1</v>
      </c>
      <c r="H773" s="4">
        <v>65</v>
      </c>
      <c r="I773" s="3">
        <v>0</v>
      </c>
      <c r="J773" t="s">
        <v>45</v>
      </c>
      <c r="K773" t="s">
        <v>46</v>
      </c>
      <c r="L773" t="s">
        <v>1534</v>
      </c>
      <c r="M773" t="s">
        <v>69</v>
      </c>
      <c r="N773" t="s">
        <v>49</v>
      </c>
      <c r="O773" t="s">
        <v>336</v>
      </c>
      <c r="P773" t="s">
        <v>51</v>
      </c>
      <c r="Q773" t="s">
        <v>52</v>
      </c>
      <c r="R773" t="s">
        <v>83</v>
      </c>
      <c r="S773" t="s">
        <v>69</v>
      </c>
      <c r="T773" t="s">
        <v>460</v>
      </c>
      <c r="U773" s="5">
        <v>45</v>
      </c>
      <c r="V773" s="5" t="s">
        <v>85</v>
      </c>
      <c r="W773" s="5">
        <v>7</v>
      </c>
      <c r="X773" s="5">
        <v>8</v>
      </c>
      <c r="Y773" s="5">
        <v>1</v>
      </c>
      <c r="Z773" s="5" t="s">
        <v>94</v>
      </c>
      <c r="AA773" s="6">
        <v>47.45</v>
      </c>
      <c r="AB773" s="8">
        <f t="shared" si="156"/>
        <v>65</v>
      </c>
      <c r="AC773" s="8">
        <f t="shared" si="157"/>
        <v>0</v>
      </c>
      <c r="AD773" s="8">
        <f t="shared" si="158"/>
        <v>65</v>
      </c>
      <c r="AE773" s="8">
        <f t="shared" si="159"/>
        <v>47.45</v>
      </c>
      <c r="AF773" s="8">
        <f t="shared" si="160"/>
        <v>17.549999999999997</v>
      </c>
      <c r="AG773" s="9">
        <f t="shared" si="161"/>
        <v>0.26999999999999996</v>
      </c>
      <c r="AH773" s="10">
        <f t="shared" si="162"/>
        <v>2025</v>
      </c>
      <c r="AI773" s="10">
        <f t="shared" si="163"/>
        <v>9</v>
      </c>
      <c r="AJ773" s="10" t="str">
        <f t="shared" si="164"/>
        <v>2025-09</v>
      </c>
      <c r="AK773" s="10" t="str">
        <f t="shared" si="165"/>
        <v>T3</v>
      </c>
      <c r="AL773" s="10" t="str">
        <f t="shared" si="166"/>
        <v>40-49</v>
      </c>
      <c r="AM773" s="10" t="str">
        <f t="shared" si="167"/>
        <v>bon</v>
      </c>
      <c r="AN773" s="10" t="s">
        <v>2838</v>
      </c>
      <c r="AO773" s="10" t="str">
        <f t="shared" si="168"/>
        <v>Faible</v>
      </c>
    </row>
    <row r="774" spans="1:41">
      <c r="A774" t="s">
        <v>2304</v>
      </c>
      <c r="B774" s="2">
        <v>45869</v>
      </c>
      <c r="C774" t="s">
        <v>2305</v>
      </c>
      <c r="D774" t="s">
        <v>74</v>
      </c>
      <c r="E774" t="s">
        <v>345</v>
      </c>
      <c r="F774" t="s">
        <v>396</v>
      </c>
      <c r="G774">
        <v>2</v>
      </c>
      <c r="H774" s="4">
        <v>95</v>
      </c>
      <c r="I774" s="3">
        <v>0</v>
      </c>
      <c r="J774" t="s">
        <v>77</v>
      </c>
      <c r="K774" t="s">
        <v>46</v>
      </c>
      <c r="L774" t="s">
        <v>2306</v>
      </c>
      <c r="M774" t="s">
        <v>69</v>
      </c>
      <c r="N774" t="s">
        <v>112</v>
      </c>
      <c r="O774" t="s">
        <v>81</v>
      </c>
      <c r="P774" t="s">
        <v>82</v>
      </c>
      <c r="Q774" t="s">
        <v>52</v>
      </c>
      <c r="R774" t="s">
        <v>347</v>
      </c>
      <c r="S774" t="s">
        <v>54</v>
      </c>
      <c r="T774" t="s">
        <v>398</v>
      </c>
      <c r="U774" s="5">
        <v>44</v>
      </c>
      <c r="V774" s="5" t="s">
        <v>56</v>
      </c>
      <c r="W774" s="5">
        <v>59</v>
      </c>
      <c r="X774" s="5">
        <v>4.8</v>
      </c>
      <c r="Y774" s="5">
        <v>8</v>
      </c>
      <c r="Z774" s="5" t="s">
        <v>94</v>
      </c>
      <c r="AA774" s="6">
        <v>70.3</v>
      </c>
      <c r="AB774" s="8">
        <f t="shared" si="156"/>
        <v>190</v>
      </c>
      <c r="AC774" s="8">
        <f t="shared" si="157"/>
        <v>0</v>
      </c>
      <c r="AD774" s="8">
        <f t="shared" si="158"/>
        <v>190</v>
      </c>
      <c r="AE774" s="8">
        <f t="shared" si="159"/>
        <v>140.6</v>
      </c>
      <c r="AF774" s="8">
        <f t="shared" si="160"/>
        <v>49.400000000000006</v>
      </c>
      <c r="AG774" s="9">
        <f t="shared" si="161"/>
        <v>0.26</v>
      </c>
      <c r="AH774" s="10">
        <f t="shared" si="162"/>
        <v>2025</v>
      </c>
      <c r="AI774" s="10">
        <f t="shared" si="163"/>
        <v>7</v>
      </c>
      <c r="AJ774" s="10" t="str">
        <f t="shared" si="164"/>
        <v>2025-07</v>
      </c>
      <c r="AK774" s="10" t="str">
        <f t="shared" si="165"/>
        <v>T3</v>
      </c>
      <c r="AL774" s="10" t="str">
        <f t="shared" si="166"/>
        <v>40-49</v>
      </c>
      <c r="AM774" s="10" t="str">
        <f t="shared" si="167"/>
        <v>faible</v>
      </c>
      <c r="AN774" s="10" t="s">
        <v>2837</v>
      </c>
      <c r="AO774" s="10" t="str">
        <f t="shared" si="168"/>
        <v>Faible</v>
      </c>
    </row>
    <row r="775" spans="1:41">
      <c r="A775" t="s">
        <v>2307</v>
      </c>
      <c r="B775" s="2">
        <v>45880</v>
      </c>
      <c r="C775" t="s">
        <v>1800</v>
      </c>
      <c r="D775" t="s">
        <v>181</v>
      </c>
      <c r="E775" t="s">
        <v>120</v>
      </c>
      <c r="F775" t="s">
        <v>429</v>
      </c>
      <c r="G775">
        <v>4</v>
      </c>
      <c r="H775" s="4">
        <v>145</v>
      </c>
      <c r="I775" s="3">
        <v>0.1</v>
      </c>
      <c r="J775" t="s">
        <v>45</v>
      </c>
      <c r="K775" t="s">
        <v>46</v>
      </c>
      <c r="L775" t="s">
        <v>1801</v>
      </c>
      <c r="M775" t="s">
        <v>123</v>
      </c>
      <c r="N775" t="s">
        <v>49</v>
      </c>
      <c r="O775" t="s">
        <v>184</v>
      </c>
      <c r="P775" t="s">
        <v>103</v>
      </c>
      <c r="Q775" t="s">
        <v>52</v>
      </c>
      <c r="R775" t="s">
        <v>124</v>
      </c>
      <c r="S775" t="s">
        <v>48</v>
      </c>
      <c r="T775" t="s">
        <v>431</v>
      </c>
      <c r="U775" s="5">
        <v>43</v>
      </c>
      <c r="V775" s="5" t="s">
        <v>56</v>
      </c>
      <c r="W775" s="5">
        <v>56</v>
      </c>
      <c r="X775" s="5">
        <v>5</v>
      </c>
      <c r="Y775" s="5">
        <v>8</v>
      </c>
      <c r="Z775" s="5" t="s">
        <v>117</v>
      </c>
      <c r="AA775" s="6">
        <v>97.15</v>
      </c>
      <c r="AB775" s="8">
        <f t="shared" si="156"/>
        <v>580</v>
      </c>
      <c r="AC775" s="8">
        <f t="shared" si="157"/>
        <v>58</v>
      </c>
      <c r="AD775" s="8">
        <f t="shared" si="158"/>
        <v>522</v>
      </c>
      <c r="AE775" s="8">
        <f t="shared" si="159"/>
        <v>388.6</v>
      </c>
      <c r="AF775" s="8">
        <f t="shared" si="160"/>
        <v>133.39999999999998</v>
      </c>
      <c r="AG775" s="9">
        <f t="shared" si="161"/>
        <v>0.25555555555555554</v>
      </c>
      <c r="AH775" s="10">
        <f t="shared" si="162"/>
        <v>2025</v>
      </c>
      <c r="AI775" s="10">
        <f t="shared" si="163"/>
        <v>8</v>
      </c>
      <c r="AJ775" s="10" t="str">
        <f t="shared" si="164"/>
        <v>2025-08</v>
      </c>
      <c r="AK775" s="10" t="str">
        <f t="shared" si="165"/>
        <v>T3</v>
      </c>
      <c r="AL775" s="10" t="str">
        <f t="shared" si="166"/>
        <v>40-49</v>
      </c>
      <c r="AM775" s="10" t="str">
        <f t="shared" si="167"/>
        <v>moyen</v>
      </c>
      <c r="AN775" s="10" t="s">
        <v>2837</v>
      </c>
      <c r="AO775" s="10" t="str">
        <f t="shared" si="168"/>
        <v>Moyenne</v>
      </c>
    </row>
    <row r="776" spans="1:41">
      <c r="A776" t="s">
        <v>2308</v>
      </c>
      <c r="B776" s="2">
        <v>45730</v>
      </c>
      <c r="C776" t="s">
        <v>2309</v>
      </c>
      <c r="D776" t="s">
        <v>74</v>
      </c>
      <c r="E776" t="s">
        <v>226</v>
      </c>
      <c r="F776" t="s">
        <v>259</v>
      </c>
      <c r="G776">
        <v>1</v>
      </c>
      <c r="H776" s="4">
        <v>95</v>
      </c>
      <c r="I776" s="3">
        <v>0</v>
      </c>
      <c r="J776" t="s">
        <v>63</v>
      </c>
      <c r="K776" t="s">
        <v>46</v>
      </c>
      <c r="L776" t="s">
        <v>2310</v>
      </c>
      <c r="M776" t="s">
        <v>65</v>
      </c>
      <c r="N776" t="s">
        <v>49</v>
      </c>
      <c r="O776" t="s">
        <v>81</v>
      </c>
      <c r="P776" t="s">
        <v>82</v>
      </c>
      <c r="Q776" t="s">
        <v>52</v>
      </c>
      <c r="R776" t="s">
        <v>229</v>
      </c>
      <c r="S776" t="s">
        <v>48</v>
      </c>
      <c r="T776" t="s">
        <v>261</v>
      </c>
      <c r="U776" s="5">
        <v>50</v>
      </c>
      <c r="V776" s="5" t="s">
        <v>85</v>
      </c>
      <c r="W776" s="5">
        <v>46</v>
      </c>
      <c r="X776" s="5">
        <v>4.8</v>
      </c>
      <c r="Y776" s="5">
        <v>8</v>
      </c>
      <c r="Z776" s="5" t="s">
        <v>71</v>
      </c>
      <c r="AA776" s="6">
        <v>70.3</v>
      </c>
      <c r="AB776" s="8">
        <f t="shared" si="156"/>
        <v>95</v>
      </c>
      <c r="AC776" s="8">
        <f t="shared" si="157"/>
        <v>0</v>
      </c>
      <c r="AD776" s="8">
        <f t="shared" si="158"/>
        <v>95</v>
      </c>
      <c r="AE776" s="8">
        <f t="shared" si="159"/>
        <v>70.3</v>
      </c>
      <c r="AF776" s="8">
        <f t="shared" si="160"/>
        <v>24.700000000000003</v>
      </c>
      <c r="AG776" s="9">
        <f t="shared" si="161"/>
        <v>0.26</v>
      </c>
      <c r="AH776" s="10">
        <f t="shared" si="162"/>
        <v>2025</v>
      </c>
      <c r="AI776" s="10">
        <f t="shared" si="163"/>
        <v>3</v>
      </c>
      <c r="AJ776" s="10" t="str">
        <f t="shared" si="164"/>
        <v>2025-03</v>
      </c>
      <c r="AK776" s="10" t="str">
        <f t="shared" si="165"/>
        <v>T1</v>
      </c>
      <c r="AL776" s="10" t="str">
        <f t="shared" si="166"/>
        <v>50+</v>
      </c>
      <c r="AM776" s="10" t="str">
        <f t="shared" si="167"/>
        <v>faible</v>
      </c>
      <c r="AN776" s="10" t="s">
        <v>2837</v>
      </c>
      <c r="AO776" s="10" t="str">
        <f t="shared" si="168"/>
        <v>Faible</v>
      </c>
    </row>
    <row r="777" spans="1:41">
      <c r="A777" t="s">
        <v>2311</v>
      </c>
      <c r="B777" s="2">
        <v>45762</v>
      </c>
      <c r="C777" t="s">
        <v>412</v>
      </c>
      <c r="D777" t="s">
        <v>155</v>
      </c>
      <c r="E777" t="s">
        <v>139</v>
      </c>
      <c r="F777" t="s">
        <v>334</v>
      </c>
      <c r="G777">
        <v>2</v>
      </c>
      <c r="H777" s="4">
        <v>48</v>
      </c>
      <c r="I777" s="3">
        <v>0.02</v>
      </c>
      <c r="J777" t="s">
        <v>90</v>
      </c>
      <c r="K777" t="s">
        <v>46</v>
      </c>
      <c r="L777" t="s">
        <v>414</v>
      </c>
      <c r="M777" t="s">
        <v>79</v>
      </c>
      <c r="N777" t="s">
        <v>80</v>
      </c>
      <c r="O777" t="s">
        <v>158</v>
      </c>
      <c r="P777" t="s">
        <v>51</v>
      </c>
      <c r="Q777" t="s">
        <v>143</v>
      </c>
      <c r="R777" t="s">
        <v>144</v>
      </c>
      <c r="S777" t="s">
        <v>65</v>
      </c>
      <c r="T777" t="s">
        <v>337</v>
      </c>
      <c r="U777" s="5">
        <v>27</v>
      </c>
      <c r="V777" s="5" t="s">
        <v>56</v>
      </c>
      <c r="W777" s="5">
        <v>47</v>
      </c>
      <c r="X777" s="5">
        <v>8.6</v>
      </c>
      <c r="Y777" s="5">
        <v>1</v>
      </c>
      <c r="Z777" s="5" t="s">
        <v>117</v>
      </c>
      <c r="AA777" s="6">
        <v>37.44</v>
      </c>
      <c r="AB777" s="8">
        <f t="shared" si="156"/>
        <v>96</v>
      </c>
      <c r="AC777" s="8">
        <f t="shared" si="157"/>
        <v>1.92</v>
      </c>
      <c r="AD777" s="8">
        <f t="shared" si="158"/>
        <v>94.08</v>
      </c>
      <c r="AE777" s="8">
        <f t="shared" si="159"/>
        <v>74.88</v>
      </c>
      <c r="AF777" s="8">
        <f t="shared" si="160"/>
        <v>19.200000000000003</v>
      </c>
      <c r="AG777" s="9">
        <f t="shared" si="161"/>
        <v>0.20408163265306126</v>
      </c>
      <c r="AH777" s="10">
        <f t="shared" si="162"/>
        <v>2025</v>
      </c>
      <c r="AI777" s="10">
        <f t="shared" si="163"/>
        <v>4</v>
      </c>
      <c r="AJ777" s="10" t="str">
        <f t="shared" si="164"/>
        <v>2025-04</v>
      </c>
      <c r="AK777" s="10" t="str">
        <f t="shared" si="165"/>
        <v>T2</v>
      </c>
      <c r="AL777" s="10" t="str">
        <f t="shared" si="166"/>
        <v>22-29</v>
      </c>
      <c r="AM777" s="10" t="str">
        <f t="shared" si="167"/>
        <v>bon</v>
      </c>
      <c r="AN777" s="10" t="s">
        <v>2838</v>
      </c>
      <c r="AO777" s="10" t="str">
        <f t="shared" si="168"/>
        <v>Faible</v>
      </c>
    </row>
    <row r="778" spans="1:41">
      <c r="A778" t="s">
        <v>2312</v>
      </c>
      <c r="B778" s="2">
        <v>45685</v>
      </c>
      <c r="C778" t="s">
        <v>2313</v>
      </c>
      <c r="D778" t="s">
        <v>97</v>
      </c>
      <c r="E778" t="s">
        <v>43</v>
      </c>
      <c r="F778" t="s">
        <v>334</v>
      </c>
      <c r="G778">
        <v>2</v>
      </c>
      <c r="H778" s="4">
        <v>520</v>
      </c>
      <c r="I778" s="3">
        <v>0.02</v>
      </c>
      <c r="J778" t="s">
        <v>63</v>
      </c>
      <c r="K778" t="s">
        <v>46</v>
      </c>
      <c r="L778" t="s">
        <v>2314</v>
      </c>
      <c r="M778" t="s">
        <v>69</v>
      </c>
      <c r="N778" t="s">
        <v>101</v>
      </c>
      <c r="O778" t="s">
        <v>102</v>
      </c>
      <c r="P778" t="s">
        <v>103</v>
      </c>
      <c r="Q778" t="s">
        <v>52</v>
      </c>
      <c r="R778" t="s">
        <v>53</v>
      </c>
      <c r="S778" t="s">
        <v>54</v>
      </c>
      <c r="T778" t="s">
        <v>337</v>
      </c>
      <c r="U778" s="5">
        <v>54</v>
      </c>
      <c r="V778" s="5" t="s">
        <v>85</v>
      </c>
      <c r="W778" s="5">
        <v>5</v>
      </c>
      <c r="X778" s="5">
        <v>6.9</v>
      </c>
      <c r="Y778" s="5">
        <v>4</v>
      </c>
      <c r="Z778" s="5" t="s">
        <v>117</v>
      </c>
      <c r="AA778" s="6">
        <v>348.4</v>
      </c>
      <c r="AB778" s="8">
        <f t="shared" si="156"/>
        <v>1040</v>
      </c>
      <c r="AC778" s="8">
        <f t="shared" si="157"/>
        <v>20.8</v>
      </c>
      <c r="AD778" s="8">
        <f t="shared" si="158"/>
        <v>1019.2</v>
      </c>
      <c r="AE778" s="8">
        <f t="shared" si="159"/>
        <v>696.8</v>
      </c>
      <c r="AF778" s="8">
        <f t="shared" si="160"/>
        <v>322.40000000000009</v>
      </c>
      <c r="AG778" s="9">
        <f t="shared" si="161"/>
        <v>0.31632653061224497</v>
      </c>
      <c r="AH778" s="10">
        <f t="shared" si="162"/>
        <v>2025</v>
      </c>
      <c r="AI778" s="10">
        <f t="shared" si="163"/>
        <v>1</v>
      </c>
      <c r="AJ778" s="10" t="str">
        <f t="shared" si="164"/>
        <v>2025-01</v>
      </c>
      <c r="AK778" s="10" t="str">
        <f t="shared" si="165"/>
        <v>T1</v>
      </c>
      <c r="AL778" s="10" t="str">
        <f t="shared" si="166"/>
        <v>50+</v>
      </c>
      <c r="AM778" s="10" t="str">
        <f t="shared" si="167"/>
        <v>moyen</v>
      </c>
      <c r="AN778" s="10" t="s">
        <v>2839</v>
      </c>
      <c r="AO778" s="10" t="str">
        <f t="shared" si="168"/>
        <v>Elevée</v>
      </c>
    </row>
    <row r="779" spans="1:41">
      <c r="A779" t="s">
        <v>2315</v>
      </c>
      <c r="B779" s="2">
        <v>45902</v>
      </c>
      <c r="C779" t="s">
        <v>2316</v>
      </c>
      <c r="D779" t="s">
        <v>60</v>
      </c>
      <c r="E779" t="s">
        <v>207</v>
      </c>
      <c r="F779" t="s">
        <v>130</v>
      </c>
      <c r="G779">
        <v>1</v>
      </c>
      <c r="H779" s="4">
        <v>180</v>
      </c>
      <c r="I779" s="3">
        <v>0.1</v>
      </c>
      <c r="J779" t="s">
        <v>63</v>
      </c>
      <c r="K779" t="s">
        <v>46</v>
      </c>
      <c r="L779" t="s">
        <v>2317</v>
      </c>
      <c r="M779" t="s">
        <v>123</v>
      </c>
      <c r="N779" t="s">
        <v>101</v>
      </c>
      <c r="O779" t="s">
        <v>66</v>
      </c>
      <c r="P779" t="s">
        <v>67</v>
      </c>
      <c r="Q779" t="s">
        <v>52</v>
      </c>
      <c r="R779" t="s">
        <v>210</v>
      </c>
      <c r="S779" t="s">
        <v>79</v>
      </c>
      <c r="T779" t="s">
        <v>135</v>
      </c>
      <c r="U779" s="5">
        <v>57</v>
      </c>
      <c r="V779" s="5" t="s">
        <v>85</v>
      </c>
      <c r="W779" s="5">
        <v>41</v>
      </c>
      <c r="X779" s="5">
        <v>8.1</v>
      </c>
      <c r="Y779" s="5">
        <v>3</v>
      </c>
      <c r="Z779" s="5" t="s">
        <v>117</v>
      </c>
      <c r="AA779" s="6">
        <v>129.6</v>
      </c>
      <c r="AB779" s="8">
        <f t="shared" si="156"/>
        <v>180</v>
      </c>
      <c r="AC779" s="8">
        <f t="shared" si="157"/>
        <v>18</v>
      </c>
      <c r="AD779" s="8">
        <f t="shared" si="158"/>
        <v>162</v>
      </c>
      <c r="AE779" s="8">
        <f t="shared" si="159"/>
        <v>129.6</v>
      </c>
      <c r="AF779" s="8">
        <f t="shared" si="160"/>
        <v>32.400000000000006</v>
      </c>
      <c r="AG779" s="9">
        <f t="shared" si="161"/>
        <v>0.20000000000000004</v>
      </c>
      <c r="AH779" s="10">
        <f t="shared" si="162"/>
        <v>2025</v>
      </c>
      <c r="AI779" s="10">
        <f t="shared" si="163"/>
        <v>9</v>
      </c>
      <c r="AJ779" s="10" t="str">
        <f t="shared" si="164"/>
        <v>2025-09</v>
      </c>
      <c r="AK779" s="10" t="str">
        <f t="shared" si="165"/>
        <v>T3</v>
      </c>
      <c r="AL779" s="10" t="str">
        <f t="shared" si="166"/>
        <v>50+</v>
      </c>
      <c r="AM779" s="10" t="str">
        <f t="shared" si="167"/>
        <v>bon</v>
      </c>
      <c r="AN779" s="10" t="s">
        <v>2838</v>
      </c>
      <c r="AO779" s="10" t="str">
        <f t="shared" si="168"/>
        <v>Faible</v>
      </c>
    </row>
    <row r="780" spans="1:41">
      <c r="A780" t="s">
        <v>2318</v>
      </c>
      <c r="B780" s="2">
        <v>45917</v>
      </c>
      <c r="C780" t="s">
        <v>2319</v>
      </c>
      <c r="D780" t="s">
        <v>181</v>
      </c>
      <c r="E780" t="s">
        <v>43</v>
      </c>
      <c r="F780" t="s">
        <v>323</v>
      </c>
      <c r="G780">
        <v>1</v>
      </c>
      <c r="H780" s="4">
        <v>145</v>
      </c>
      <c r="I780" s="3">
        <v>0</v>
      </c>
      <c r="J780" t="s">
        <v>45</v>
      </c>
      <c r="K780" t="s">
        <v>46</v>
      </c>
      <c r="L780" t="s">
        <v>2320</v>
      </c>
      <c r="M780" t="s">
        <v>65</v>
      </c>
      <c r="N780" t="s">
        <v>101</v>
      </c>
      <c r="O780" t="s">
        <v>184</v>
      </c>
      <c r="P780" t="s">
        <v>103</v>
      </c>
      <c r="Q780" t="s">
        <v>52</v>
      </c>
      <c r="R780" t="s">
        <v>53</v>
      </c>
      <c r="S780" t="s">
        <v>54</v>
      </c>
      <c r="T780" t="s">
        <v>325</v>
      </c>
      <c r="U780" s="5">
        <v>26</v>
      </c>
      <c r="V780" s="5" t="s">
        <v>56</v>
      </c>
      <c r="W780" s="5">
        <v>63</v>
      </c>
      <c r="X780" s="5">
        <v>9.1</v>
      </c>
      <c r="Y780" s="5">
        <v>1</v>
      </c>
      <c r="Z780" s="5" t="s">
        <v>94</v>
      </c>
      <c r="AA780" s="6">
        <v>97.15</v>
      </c>
      <c r="AB780" s="8">
        <f t="shared" si="156"/>
        <v>145</v>
      </c>
      <c r="AC780" s="8">
        <f t="shared" si="157"/>
        <v>0</v>
      </c>
      <c r="AD780" s="8">
        <f t="shared" si="158"/>
        <v>145</v>
      </c>
      <c r="AE780" s="8">
        <f t="shared" si="159"/>
        <v>97.15</v>
      </c>
      <c r="AF780" s="8">
        <f t="shared" si="160"/>
        <v>47.849999999999994</v>
      </c>
      <c r="AG780" s="9">
        <f t="shared" si="161"/>
        <v>0.32999999999999996</v>
      </c>
      <c r="AH780" s="10">
        <f t="shared" si="162"/>
        <v>2025</v>
      </c>
      <c r="AI780" s="10">
        <f t="shared" si="163"/>
        <v>9</v>
      </c>
      <c r="AJ780" s="10" t="str">
        <f t="shared" si="164"/>
        <v>2025-09</v>
      </c>
      <c r="AK780" s="10" t="str">
        <f t="shared" si="165"/>
        <v>T3</v>
      </c>
      <c r="AL780" s="10" t="str">
        <f t="shared" si="166"/>
        <v>22-29</v>
      </c>
      <c r="AM780" s="10" t="str">
        <f t="shared" si="167"/>
        <v>excellent</v>
      </c>
      <c r="AN780" s="10" t="s">
        <v>2838</v>
      </c>
      <c r="AO780" s="10" t="str">
        <f t="shared" si="168"/>
        <v>Faible</v>
      </c>
    </row>
    <row r="781" spans="1:41">
      <c r="A781" t="s">
        <v>2321</v>
      </c>
      <c r="B781" s="2">
        <v>45769</v>
      </c>
      <c r="C781" t="s">
        <v>2322</v>
      </c>
      <c r="D781" t="s">
        <v>188</v>
      </c>
      <c r="E781" t="s">
        <v>120</v>
      </c>
      <c r="F781" t="s">
        <v>458</v>
      </c>
      <c r="G781">
        <v>3</v>
      </c>
      <c r="H781" s="4">
        <v>350</v>
      </c>
      <c r="I781" s="3">
        <v>0</v>
      </c>
      <c r="J781" t="s">
        <v>90</v>
      </c>
      <c r="K781" t="s">
        <v>46</v>
      </c>
      <c r="L781" t="s">
        <v>2323</v>
      </c>
      <c r="M781" t="s">
        <v>69</v>
      </c>
      <c r="N781" t="s">
        <v>80</v>
      </c>
      <c r="O781" t="s">
        <v>192</v>
      </c>
      <c r="P781" t="s">
        <v>51</v>
      </c>
      <c r="Q781" t="s">
        <v>114</v>
      </c>
      <c r="R781" t="s">
        <v>124</v>
      </c>
      <c r="S781" t="s">
        <v>48</v>
      </c>
      <c r="T781" t="s">
        <v>460</v>
      </c>
      <c r="U781" s="5">
        <v>48</v>
      </c>
      <c r="V781" s="5" t="s">
        <v>56</v>
      </c>
      <c r="W781" s="5">
        <v>4</v>
      </c>
      <c r="X781" s="5">
        <v>5.6</v>
      </c>
      <c r="Y781" s="5">
        <v>5</v>
      </c>
      <c r="Z781" s="5" t="s">
        <v>57</v>
      </c>
      <c r="AA781" s="6">
        <v>213.5</v>
      </c>
      <c r="AB781" s="8">
        <f t="shared" si="156"/>
        <v>1050</v>
      </c>
      <c r="AC781" s="8">
        <f t="shared" si="157"/>
        <v>0</v>
      </c>
      <c r="AD781" s="8">
        <f t="shared" si="158"/>
        <v>1050</v>
      </c>
      <c r="AE781" s="8">
        <f t="shared" si="159"/>
        <v>640.5</v>
      </c>
      <c r="AF781" s="8">
        <f t="shared" si="160"/>
        <v>409.5</v>
      </c>
      <c r="AG781" s="9">
        <f t="shared" si="161"/>
        <v>0.39</v>
      </c>
      <c r="AH781" s="10">
        <f t="shared" si="162"/>
        <v>2025</v>
      </c>
      <c r="AI781" s="10">
        <f t="shared" si="163"/>
        <v>4</v>
      </c>
      <c r="AJ781" s="10" t="str">
        <f t="shared" si="164"/>
        <v>2025-04</v>
      </c>
      <c r="AK781" s="10" t="str">
        <f t="shared" si="165"/>
        <v>T2</v>
      </c>
      <c r="AL781" s="10" t="str">
        <f t="shared" si="166"/>
        <v>40-49</v>
      </c>
      <c r="AM781" s="10" t="str">
        <f t="shared" si="167"/>
        <v>moyen</v>
      </c>
      <c r="AN781" s="10" t="s">
        <v>2839</v>
      </c>
      <c r="AO781" s="10" t="str">
        <f t="shared" si="168"/>
        <v>Elevée</v>
      </c>
    </row>
    <row r="782" spans="1:41">
      <c r="A782" t="s">
        <v>2324</v>
      </c>
      <c r="B782" s="2">
        <v>45825</v>
      </c>
      <c r="C782" t="s">
        <v>2325</v>
      </c>
      <c r="D782" t="s">
        <v>155</v>
      </c>
      <c r="E782" t="s">
        <v>315</v>
      </c>
      <c r="F782" t="s">
        <v>267</v>
      </c>
      <c r="G782">
        <v>2</v>
      </c>
      <c r="H782" s="4">
        <v>48</v>
      </c>
      <c r="I782" s="3">
        <v>0</v>
      </c>
      <c r="J782" t="s">
        <v>90</v>
      </c>
      <c r="K782" t="s">
        <v>46</v>
      </c>
      <c r="L782" t="s">
        <v>2326</v>
      </c>
      <c r="M782" t="s">
        <v>54</v>
      </c>
      <c r="N782" t="s">
        <v>101</v>
      </c>
      <c r="O782" t="s">
        <v>158</v>
      </c>
      <c r="P782" t="s">
        <v>51</v>
      </c>
      <c r="Q782" t="s">
        <v>143</v>
      </c>
      <c r="R782" t="s">
        <v>317</v>
      </c>
      <c r="S782" t="s">
        <v>69</v>
      </c>
      <c r="T782" t="s">
        <v>269</v>
      </c>
      <c r="U782" s="5">
        <v>57</v>
      </c>
      <c r="V782" s="5" t="s">
        <v>56</v>
      </c>
      <c r="W782" s="5">
        <v>12</v>
      </c>
      <c r="X782" s="5">
        <v>7.4</v>
      </c>
      <c r="Y782" s="5">
        <v>2</v>
      </c>
      <c r="Z782" s="5" t="s">
        <v>94</v>
      </c>
      <c r="AA782" s="6">
        <v>37.44</v>
      </c>
      <c r="AB782" s="8">
        <f t="shared" si="156"/>
        <v>96</v>
      </c>
      <c r="AC782" s="8">
        <f t="shared" si="157"/>
        <v>0</v>
      </c>
      <c r="AD782" s="8">
        <f t="shared" si="158"/>
        <v>96</v>
      </c>
      <c r="AE782" s="8">
        <f t="shared" si="159"/>
        <v>74.88</v>
      </c>
      <c r="AF782" s="8">
        <f t="shared" si="160"/>
        <v>21.120000000000005</v>
      </c>
      <c r="AG782" s="9">
        <f t="shared" si="161"/>
        <v>0.22000000000000006</v>
      </c>
      <c r="AH782" s="10">
        <f t="shared" si="162"/>
        <v>2025</v>
      </c>
      <c r="AI782" s="10">
        <f t="shared" si="163"/>
        <v>6</v>
      </c>
      <c r="AJ782" s="10" t="str">
        <f t="shared" si="164"/>
        <v>2025-06</v>
      </c>
      <c r="AK782" s="10" t="str">
        <f t="shared" si="165"/>
        <v>T2</v>
      </c>
      <c r="AL782" s="10" t="str">
        <f t="shared" si="166"/>
        <v>50+</v>
      </c>
      <c r="AM782" s="10" t="str">
        <f t="shared" si="167"/>
        <v>bon</v>
      </c>
      <c r="AN782" s="10" t="s">
        <v>2838</v>
      </c>
      <c r="AO782" s="10" t="str">
        <f t="shared" si="168"/>
        <v>Faible</v>
      </c>
    </row>
    <row r="783" spans="1:41">
      <c r="A783" t="s">
        <v>2327</v>
      </c>
      <c r="B783" s="2">
        <v>45883</v>
      </c>
      <c r="C783" t="s">
        <v>640</v>
      </c>
      <c r="D783" t="s">
        <v>148</v>
      </c>
      <c r="E783" t="s">
        <v>189</v>
      </c>
      <c r="F783" t="s">
        <v>424</v>
      </c>
      <c r="G783">
        <v>4</v>
      </c>
      <c r="H783" s="4">
        <v>110</v>
      </c>
      <c r="I783" s="3">
        <v>0.08</v>
      </c>
      <c r="J783" t="s">
        <v>77</v>
      </c>
      <c r="K783" t="s">
        <v>46</v>
      </c>
      <c r="L783" t="s">
        <v>641</v>
      </c>
      <c r="M783" t="s">
        <v>48</v>
      </c>
      <c r="N783" t="s">
        <v>112</v>
      </c>
      <c r="O783" t="s">
        <v>151</v>
      </c>
      <c r="P783" t="s">
        <v>103</v>
      </c>
      <c r="Q783" t="s">
        <v>114</v>
      </c>
      <c r="R783" t="s">
        <v>193</v>
      </c>
      <c r="S783" t="s">
        <v>79</v>
      </c>
      <c r="T783" t="s">
        <v>426</v>
      </c>
      <c r="U783" s="5">
        <v>52</v>
      </c>
      <c r="V783" s="5" t="s">
        <v>56</v>
      </c>
      <c r="W783" s="5">
        <v>53</v>
      </c>
      <c r="X783" s="5">
        <v>3.9</v>
      </c>
      <c r="Y783" s="5">
        <v>8</v>
      </c>
      <c r="Z783" s="5" t="s">
        <v>57</v>
      </c>
      <c r="AA783" s="6">
        <v>72.599999999999994</v>
      </c>
      <c r="AB783" s="8">
        <f t="shared" si="156"/>
        <v>440</v>
      </c>
      <c r="AC783" s="8">
        <f t="shared" si="157"/>
        <v>35.200000000000003</v>
      </c>
      <c r="AD783" s="8">
        <f t="shared" si="158"/>
        <v>404.8</v>
      </c>
      <c r="AE783" s="8">
        <f t="shared" si="159"/>
        <v>290.39999999999998</v>
      </c>
      <c r="AF783" s="8">
        <f t="shared" si="160"/>
        <v>114.40000000000003</v>
      </c>
      <c r="AG783" s="9">
        <f t="shared" si="161"/>
        <v>0.282608695652174</v>
      </c>
      <c r="AH783" s="10">
        <f t="shared" si="162"/>
        <v>2025</v>
      </c>
      <c r="AI783" s="10">
        <f t="shared" si="163"/>
        <v>8</v>
      </c>
      <c r="AJ783" s="10" t="str">
        <f t="shared" si="164"/>
        <v>2025-08</v>
      </c>
      <c r="AK783" s="10" t="str">
        <f t="shared" si="165"/>
        <v>T3</v>
      </c>
      <c r="AL783" s="10" t="str">
        <f t="shared" si="166"/>
        <v>50+</v>
      </c>
      <c r="AM783" s="10" t="str">
        <f t="shared" si="167"/>
        <v>faible</v>
      </c>
      <c r="AN783" s="10" t="s">
        <v>2837</v>
      </c>
      <c r="AO783" s="10" t="str">
        <f t="shared" si="168"/>
        <v>Faible</v>
      </c>
    </row>
    <row r="784" spans="1:41">
      <c r="A784" t="s">
        <v>2328</v>
      </c>
      <c r="B784" s="2">
        <v>45859</v>
      </c>
      <c r="C784" t="s">
        <v>2329</v>
      </c>
      <c r="D784" t="s">
        <v>174</v>
      </c>
      <c r="E784" t="s">
        <v>226</v>
      </c>
      <c r="F784" t="s">
        <v>467</v>
      </c>
      <c r="G784">
        <v>1</v>
      </c>
      <c r="H784" s="4">
        <v>780</v>
      </c>
      <c r="I784" s="3">
        <v>0</v>
      </c>
      <c r="J784" t="s">
        <v>77</v>
      </c>
      <c r="K784" t="s">
        <v>46</v>
      </c>
      <c r="L784" t="s">
        <v>2330</v>
      </c>
      <c r="M784" t="s">
        <v>65</v>
      </c>
      <c r="N784" t="s">
        <v>101</v>
      </c>
      <c r="O784" t="s">
        <v>177</v>
      </c>
      <c r="P784" t="s">
        <v>103</v>
      </c>
      <c r="Q784" t="s">
        <v>114</v>
      </c>
      <c r="R784" t="s">
        <v>229</v>
      </c>
      <c r="S784" t="s">
        <v>48</v>
      </c>
      <c r="T784" t="s">
        <v>469</v>
      </c>
      <c r="U784" s="5">
        <v>52</v>
      </c>
      <c r="V784" s="5" t="s">
        <v>56</v>
      </c>
      <c r="W784" s="5">
        <v>8</v>
      </c>
      <c r="X784" s="5">
        <v>5.7</v>
      </c>
      <c r="Y784" s="5">
        <v>6</v>
      </c>
      <c r="Z784" s="5" t="s">
        <v>94</v>
      </c>
      <c r="AA784" s="6">
        <v>468</v>
      </c>
      <c r="AB784" s="8">
        <f t="shared" si="156"/>
        <v>780</v>
      </c>
      <c r="AC784" s="8">
        <f t="shared" si="157"/>
        <v>0</v>
      </c>
      <c r="AD784" s="8">
        <f t="shared" si="158"/>
        <v>780</v>
      </c>
      <c r="AE784" s="8">
        <f t="shared" si="159"/>
        <v>468</v>
      </c>
      <c r="AF784" s="8">
        <f t="shared" si="160"/>
        <v>312</v>
      </c>
      <c r="AG784" s="9">
        <f t="shared" si="161"/>
        <v>0.4</v>
      </c>
      <c r="AH784" s="10">
        <f t="shared" si="162"/>
        <v>2025</v>
      </c>
      <c r="AI784" s="10">
        <f t="shared" si="163"/>
        <v>7</v>
      </c>
      <c r="AJ784" s="10" t="str">
        <f t="shared" si="164"/>
        <v>2025-07</v>
      </c>
      <c r="AK784" s="10" t="str">
        <f t="shared" si="165"/>
        <v>T3</v>
      </c>
      <c r="AL784" s="10" t="str">
        <f t="shared" si="166"/>
        <v>50+</v>
      </c>
      <c r="AM784" s="10" t="str">
        <f t="shared" si="167"/>
        <v>moyen</v>
      </c>
      <c r="AN784" s="10" t="s">
        <v>2839</v>
      </c>
      <c r="AO784" s="10" t="str">
        <f t="shared" si="168"/>
        <v>Moyenne</v>
      </c>
    </row>
    <row r="785" spans="1:41">
      <c r="A785" t="s">
        <v>2331</v>
      </c>
      <c r="B785" s="2">
        <v>45757</v>
      </c>
      <c r="C785" t="s">
        <v>454</v>
      </c>
      <c r="D785" t="s">
        <v>181</v>
      </c>
      <c r="E785" t="s">
        <v>129</v>
      </c>
      <c r="F785" t="s">
        <v>44</v>
      </c>
      <c r="G785">
        <v>2</v>
      </c>
      <c r="H785" s="4">
        <v>145</v>
      </c>
      <c r="I785" s="3">
        <v>0.1</v>
      </c>
      <c r="J785" t="s">
        <v>45</v>
      </c>
      <c r="K785" t="s">
        <v>46</v>
      </c>
      <c r="L785" t="s">
        <v>455</v>
      </c>
      <c r="M785" t="s">
        <v>79</v>
      </c>
      <c r="N785" t="s">
        <v>112</v>
      </c>
      <c r="O785" t="s">
        <v>184</v>
      </c>
      <c r="P785" t="s">
        <v>103</v>
      </c>
      <c r="Q785" t="s">
        <v>52</v>
      </c>
      <c r="R785" t="s">
        <v>134</v>
      </c>
      <c r="S785" t="s">
        <v>123</v>
      </c>
      <c r="T785" t="s">
        <v>55</v>
      </c>
      <c r="U785" s="5">
        <v>34</v>
      </c>
      <c r="V785" s="5" t="s">
        <v>85</v>
      </c>
      <c r="W785" s="5">
        <v>54</v>
      </c>
      <c r="X785" s="5">
        <v>8.6999999999999993</v>
      </c>
      <c r="Y785" s="5">
        <v>2</v>
      </c>
      <c r="Z785" s="5" t="s">
        <v>94</v>
      </c>
      <c r="AA785" s="6">
        <v>97.15</v>
      </c>
      <c r="AB785" s="8">
        <f t="shared" si="156"/>
        <v>290</v>
      </c>
      <c r="AC785" s="8">
        <f t="shared" si="157"/>
        <v>29</v>
      </c>
      <c r="AD785" s="8">
        <f t="shared" si="158"/>
        <v>261</v>
      </c>
      <c r="AE785" s="8">
        <f t="shared" si="159"/>
        <v>194.3</v>
      </c>
      <c r="AF785" s="8">
        <f t="shared" si="160"/>
        <v>66.699999999999989</v>
      </c>
      <c r="AG785" s="9">
        <f t="shared" si="161"/>
        <v>0.25555555555555554</v>
      </c>
      <c r="AH785" s="10">
        <f t="shared" si="162"/>
        <v>2025</v>
      </c>
      <c r="AI785" s="10">
        <f t="shared" si="163"/>
        <v>4</v>
      </c>
      <c r="AJ785" s="10" t="str">
        <f t="shared" si="164"/>
        <v>2025-04</v>
      </c>
      <c r="AK785" s="10" t="str">
        <f t="shared" si="165"/>
        <v>T2</v>
      </c>
      <c r="AL785" s="10" t="str">
        <f t="shared" si="166"/>
        <v>30-39</v>
      </c>
      <c r="AM785" s="10" t="str">
        <f t="shared" si="167"/>
        <v>bon</v>
      </c>
      <c r="AN785" s="10" t="s">
        <v>2838</v>
      </c>
      <c r="AO785" s="10" t="str">
        <f t="shared" si="168"/>
        <v>Faible</v>
      </c>
    </row>
    <row r="786" spans="1:41">
      <c r="A786" t="s">
        <v>2332</v>
      </c>
      <c r="B786" s="2">
        <v>45741</v>
      </c>
      <c r="C786" t="s">
        <v>2333</v>
      </c>
      <c r="D786" t="s">
        <v>181</v>
      </c>
      <c r="E786" t="s">
        <v>120</v>
      </c>
      <c r="F786" t="s">
        <v>282</v>
      </c>
      <c r="G786">
        <v>5</v>
      </c>
      <c r="H786" s="4">
        <v>145</v>
      </c>
      <c r="I786" s="3">
        <v>0</v>
      </c>
      <c r="J786" t="s">
        <v>63</v>
      </c>
      <c r="K786" t="s">
        <v>46</v>
      </c>
      <c r="L786" t="s">
        <v>2334</v>
      </c>
      <c r="M786" t="s">
        <v>48</v>
      </c>
      <c r="N786" t="s">
        <v>49</v>
      </c>
      <c r="O786" t="s">
        <v>184</v>
      </c>
      <c r="P786" t="s">
        <v>103</v>
      </c>
      <c r="Q786" t="s">
        <v>52</v>
      </c>
      <c r="R786" t="s">
        <v>124</v>
      </c>
      <c r="S786" t="s">
        <v>48</v>
      </c>
      <c r="T786" t="s">
        <v>284</v>
      </c>
      <c r="U786" s="5">
        <v>46</v>
      </c>
      <c r="V786" s="5" t="s">
        <v>85</v>
      </c>
      <c r="W786" s="5">
        <v>10</v>
      </c>
      <c r="X786" s="5">
        <v>3.8</v>
      </c>
      <c r="Y786" s="5">
        <v>9</v>
      </c>
      <c r="Z786" s="5" t="s">
        <v>71</v>
      </c>
      <c r="AA786" s="6">
        <v>97.15</v>
      </c>
      <c r="AB786" s="8">
        <f t="shared" si="156"/>
        <v>725</v>
      </c>
      <c r="AC786" s="8">
        <f t="shared" si="157"/>
        <v>0</v>
      </c>
      <c r="AD786" s="8">
        <f t="shared" si="158"/>
        <v>725</v>
      </c>
      <c r="AE786" s="8">
        <f t="shared" si="159"/>
        <v>485.75</v>
      </c>
      <c r="AF786" s="8">
        <f t="shared" si="160"/>
        <v>239.25</v>
      </c>
      <c r="AG786" s="9">
        <f t="shared" si="161"/>
        <v>0.33</v>
      </c>
      <c r="AH786" s="10">
        <f t="shared" si="162"/>
        <v>2025</v>
      </c>
      <c r="AI786" s="10">
        <f t="shared" si="163"/>
        <v>3</v>
      </c>
      <c r="AJ786" s="10" t="str">
        <f t="shared" si="164"/>
        <v>2025-03</v>
      </c>
      <c r="AK786" s="10" t="str">
        <f t="shared" si="165"/>
        <v>T1</v>
      </c>
      <c r="AL786" s="10" t="str">
        <f t="shared" si="166"/>
        <v>40-49</v>
      </c>
      <c r="AM786" s="10" t="str">
        <f t="shared" si="167"/>
        <v>faible</v>
      </c>
      <c r="AN786" s="10" t="s">
        <v>2837</v>
      </c>
      <c r="AO786" s="10" t="str">
        <f t="shared" si="168"/>
        <v>Moyenne</v>
      </c>
    </row>
    <row r="787" spans="1:41">
      <c r="A787" t="s">
        <v>2335</v>
      </c>
      <c r="B787" s="2">
        <v>46002</v>
      </c>
      <c r="C787" t="s">
        <v>2278</v>
      </c>
      <c r="D787" t="s">
        <v>155</v>
      </c>
      <c r="E787" t="s">
        <v>75</v>
      </c>
      <c r="F787" t="s">
        <v>323</v>
      </c>
      <c r="G787">
        <v>2</v>
      </c>
      <c r="H787" s="4">
        <v>48</v>
      </c>
      <c r="I787" s="3">
        <v>0</v>
      </c>
      <c r="J787" t="s">
        <v>63</v>
      </c>
      <c r="K787" t="s">
        <v>46</v>
      </c>
      <c r="L787" t="s">
        <v>2279</v>
      </c>
      <c r="M787" t="s">
        <v>123</v>
      </c>
      <c r="N787" t="s">
        <v>49</v>
      </c>
      <c r="O787" t="s">
        <v>158</v>
      </c>
      <c r="P787" t="s">
        <v>51</v>
      </c>
      <c r="Q787" t="s">
        <v>143</v>
      </c>
      <c r="R787" t="s">
        <v>83</v>
      </c>
      <c r="S787" t="s">
        <v>69</v>
      </c>
      <c r="T787" t="s">
        <v>325</v>
      </c>
      <c r="U787" s="5">
        <v>40</v>
      </c>
      <c r="V787" s="5" t="s">
        <v>85</v>
      </c>
      <c r="W787" s="5">
        <v>44</v>
      </c>
      <c r="X787" s="5">
        <v>3.3</v>
      </c>
      <c r="Y787" s="5">
        <v>9</v>
      </c>
      <c r="Z787" s="5" t="s">
        <v>71</v>
      </c>
      <c r="AA787" s="6">
        <v>37.44</v>
      </c>
      <c r="AB787" s="8">
        <f t="shared" si="156"/>
        <v>96</v>
      </c>
      <c r="AC787" s="8">
        <f t="shared" si="157"/>
        <v>0</v>
      </c>
      <c r="AD787" s="8">
        <f t="shared" si="158"/>
        <v>96</v>
      </c>
      <c r="AE787" s="8">
        <f t="shared" si="159"/>
        <v>74.88</v>
      </c>
      <c r="AF787" s="8">
        <f t="shared" si="160"/>
        <v>21.120000000000005</v>
      </c>
      <c r="AG787" s="9">
        <f t="shared" si="161"/>
        <v>0.22000000000000006</v>
      </c>
      <c r="AH787" s="10">
        <f t="shared" si="162"/>
        <v>2025</v>
      </c>
      <c r="AI787" s="10">
        <f t="shared" si="163"/>
        <v>12</v>
      </c>
      <c r="AJ787" s="10" t="str">
        <f t="shared" si="164"/>
        <v>2025-12</v>
      </c>
      <c r="AK787" s="10" t="str">
        <f t="shared" si="165"/>
        <v>T4</v>
      </c>
      <c r="AL787" s="10" t="str">
        <f t="shared" si="166"/>
        <v>40-49</v>
      </c>
      <c r="AM787" s="10" t="str">
        <f t="shared" si="167"/>
        <v>faible</v>
      </c>
      <c r="AN787" s="10" t="s">
        <v>2837</v>
      </c>
      <c r="AO787" s="10" t="str">
        <f t="shared" si="168"/>
        <v>Faible</v>
      </c>
    </row>
    <row r="788" spans="1:41">
      <c r="A788" t="s">
        <v>2336</v>
      </c>
      <c r="B788" s="2">
        <v>45953</v>
      </c>
      <c r="C788" t="s">
        <v>2337</v>
      </c>
      <c r="D788" t="s">
        <v>60</v>
      </c>
      <c r="E788" t="s">
        <v>277</v>
      </c>
      <c r="F788" t="s">
        <v>522</v>
      </c>
      <c r="G788">
        <v>3</v>
      </c>
      <c r="H788" s="4">
        <v>180</v>
      </c>
      <c r="I788" s="3">
        <v>0.1</v>
      </c>
      <c r="J788" t="s">
        <v>77</v>
      </c>
      <c r="K788" t="s">
        <v>46</v>
      </c>
      <c r="L788" t="s">
        <v>2338</v>
      </c>
      <c r="M788" t="s">
        <v>65</v>
      </c>
      <c r="N788" t="s">
        <v>49</v>
      </c>
      <c r="O788" t="s">
        <v>66</v>
      </c>
      <c r="P788" t="s">
        <v>67</v>
      </c>
      <c r="Q788" t="s">
        <v>52</v>
      </c>
      <c r="R788" t="s">
        <v>279</v>
      </c>
      <c r="S788" t="s">
        <v>54</v>
      </c>
      <c r="T788" t="s">
        <v>524</v>
      </c>
      <c r="U788" s="5">
        <v>46</v>
      </c>
      <c r="V788" s="5" t="s">
        <v>85</v>
      </c>
      <c r="W788" s="5">
        <v>51</v>
      </c>
      <c r="X788" s="5">
        <v>5.6</v>
      </c>
      <c r="Y788" s="5">
        <v>5</v>
      </c>
      <c r="Z788" s="5" t="s">
        <v>71</v>
      </c>
      <c r="AA788" s="6">
        <v>129.6</v>
      </c>
      <c r="AB788" s="8">
        <f t="shared" si="156"/>
        <v>540</v>
      </c>
      <c r="AC788" s="8">
        <f t="shared" si="157"/>
        <v>54</v>
      </c>
      <c r="AD788" s="8">
        <f t="shared" si="158"/>
        <v>486</v>
      </c>
      <c r="AE788" s="8">
        <f t="shared" si="159"/>
        <v>388.79999999999995</v>
      </c>
      <c r="AF788" s="8">
        <f t="shared" si="160"/>
        <v>97.200000000000045</v>
      </c>
      <c r="AG788" s="9">
        <f t="shared" si="161"/>
        <v>0.20000000000000009</v>
      </c>
      <c r="AH788" s="10">
        <f t="shared" si="162"/>
        <v>2025</v>
      </c>
      <c r="AI788" s="10">
        <f t="shared" si="163"/>
        <v>10</v>
      </c>
      <c r="AJ788" s="10" t="str">
        <f t="shared" si="164"/>
        <v>2025-10</v>
      </c>
      <c r="AK788" s="10" t="str">
        <f t="shared" si="165"/>
        <v>T4</v>
      </c>
      <c r="AL788" s="10" t="str">
        <f t="shared" si="166"/>
        <v>40-49</v>
      </c>
      <c r="AM788" s="10" t="str">
        <f t="shared" si="167"/>
        <v>moyen</v>
      </c>
      <c r="AN788" s="10" t="s">
        <v>2839</v>
      </c>
      <c r="AO788" s="10" t="str">
        <f t="shared" si="168"/>
        <v>Faible</v>
      </c>
    </row>
    <row r="789" spans="1:41">
      <c r="A789" t="s">
        <v>2339</v>
      </c>
      <c r="B789" s="2">
        <v>45800</v>
      </c>
      <c r="C789" t="s">
        <v>2340</v>
      </c>
      <c r="D789" t="s">
        <v>42</v>
      </c>
      <c r="E789" t="s">
        <v>207</v>
      </c>
      <c r="F789" t="s">
        <v>140</v>
      </c>
      <c r="G789">
        <v>4</v>
      </c>
      <c r="H789" s="4">
        <v>260</v>
      </c>
      <c r="I789" s="3">
        <v>0.1</v>
      </c>
      <c r="J789" t="s">
        <v>45</v>
      </c>
      <c r="K789" t="s">
        <v>46</v>
      </c>
      <c r="L789" t="s">
        <v>2341</v>
      </c>
      <c r="M789" t="s">
        <v>54</v>
      </c>
      <c r="N789" t="s">
        <v>255</v>
      </c>
      <c r="O789" t="s">
        <v>50</v>
      </c>
      <c r="P789" t="s">
        <v>51</v>
      </c>
      <c r="Q789" t="s">
        <v>52</v>
      </c>
      <c r="R789" t="s">
        <v>210</v>
      </c>
      <c r="S789" t="s">
        <v>79</v>
      </c>
      <c r="T789" t="s">
        <v>145</v>
      </c>
      <c r="U789" s="5">
        <v>58</v>
      </c>
      <c r="V789" s="5" t="s">
        <v>56</v>
      </c>
      <c r="W789" s="5">
        <v>12</v>
      </c>
      <c r="X789" s="5">
        <v>7.4</v>
      </c>
      <c r="Y789" s="5">
        <v>2</v>
      </c>
      <c r="Z789" s="5" t="s">
        <v>57</v>
      </c>
      <c r="AA789" s="6">
        <v>189.8</v>
      </c>
      <c r="AB789" s="8">
        <f t="shared" si="156"/>
        <v>1040</v>
      </c>
      <c r="AC789" s="8">
        <f t="shared" si="157"/>
        <v>104</v>
      </c>
      <c r="AD789" s="8">
        <f t="shared" si="158"/>
        <v>936</v>
      </c>
      <c r="AE789" s="8">
        <f t="shared" si="159"/>
        <v>759.2</v>
      </c>
      <c r="AF789" s="8">
        <f t="shared" si="160"/>
        <v>176.79999999999995</v>
      </c>
      <c r="AG789" s="9">
        <f t="shared" si="161"/>
        <v>0.18888888888888883</v>
      </c>
      <c r="AH789" s="10">
        <f t="shared" si="162"/>
        <v>2025</v>
      </c>
      <c r="AI789" s="10">
        <f t="shared" si="163"/>
        <v>5</v>
      </c>
      <c r="AJ789" s="10" t="str">
        <f t="shared" si="164"/>
        <v>2025-05</v>
      </c>
      <c r="AK789" s="10" t="str">
        <f t="shared" si="165"/>
        <v>T2</v>
      </c>
      <c r="AL789" s="10" t="str">
        <f t="shared" si="166"/>
        <v>50+</v>
      </c>
      <c r="AM789" s="10" t="str">
        <f t="shared" si="167"/>
        <v>bon</v>
      </c>
      <c r="AN789" s="10" t="s">
        <v>2838</v>
      </c>
      <c r="AO789" s="10" t="str">
        <f t="shared" si="168"/>
        <v>Moyenne</v>
      </c>
    </row>
    <row r="790" spans="1:41">
      <c r="A790" t="s">
        <v>2342</v>
      </c>
      <c r="B790" s="2">
        <v>45789</v>
      </c>
      <c r="C790" t="s">
        <v>2343</v>
      </c>
      <c r="D790" t="s">
        <v>188</v>
      </c>
      <c r="E790" t="s">
        <v>43</v>
      </c>
      <c r="F790" t="s">
        <v>439</v>
      </c>
      <c r="G790">
        <v>1</v>
      </c>
      <c r="H790" s="4">
        <v>350</v>
      </c>
      <c r="I790" s="3">
        <v>0</v>
      </c>
      <c r="J790" t="s">
        <v>45</v>
      </c>
      <c r="K790" t="s">
        <v>46</v>
      </c>
      <c r="L790" t="s">
        <v>2344</v>
      </c>
      <c r="M790" t="s">
        <v>54</v>
      </c>
      <c r="N790" t="s">
        <v>112</v>
      </c>
      <c r="O790" t="s">
        <v>192</v>
      </c>
      <c r="P790" t="s">
        <v>51</v>
      </c>
      <c r="Q790" t="s">
        <v>114</v>
      </c>
      <c r="R790" t="s">
        <v>53</v>
      </c>
      <c r="S790" t="s">
        <v>54</v>
      </c>
      <c r="T790" t="s">
        <v>441</v>
      </c>
      <c r="U790" s="5">
        <v>46</v>
      </c>
      <c r="V790" s="5" t="s">
        <v>56</v>
      </c>
      <c r="W790" s="5">
        <v>6</v>
      </c>
      <c r="X790" s="5">
        <v>6.7</v>
      </c>
      <c r="Y790" s="5">
        <v>4</v>
      </c>
      <c r="Z790" s="5" t="s">
        <v>71</v>
      </c>
      <c r="AA790" s="6">
        <v>213.5</v>
      </c>
      <c r="AB790" s="8">
        <f t="shared" si="156"/>
        <v>350</v>
      </c>
      <c r="AC790" s="8">
        <f t="shared" si="157"/>
        <v>0</v>
      </c>
      <c r="AD790" s="8">
        <f t="shared" si="158"/>
        <v>350</v>
      </c>
      <c r="AE790" s="8">
        <f t="shared" si="159"/>
        <v>213.5</v>
      </c>
      <c r="AF790" s="8">
        <f t="shared" si="160"/>
        <v>136.5</v>
      </c>
      <c r="AG790" s="9">
        <f t="shared" si="161"/>
        <v>0.39</v>
      </c>
      <c r="AH790" s="10">
        <f t="shared" si="162"/>
        <v>2025</v>
      </c>
      <c r="AI790" s="10">
        <f t="shared" si="163"/>
        <v>5</v>
      </c>
      <c r="AJ790" s="10" t="str">
        <f t="shared" si="164"/>
        <v>2025-05</v>
      </c>
      <c r="AK790" s="10" t="str">
        <f t="shared" si="165"/>
        <v>T2</v>
      </c>
      <c r="AL790" s="10" t="str">
        <f t="shared" si="166"/>
        <v>40-49</v>
      </c>
      <c r="AM790" s="10" t="str">
        <f t="shared" si="167"/>
        <v>moyen</v>
      </c>
      <c r="AN790" s="10" t="s">
        <v>2839</v>
      </c>
      <c r="AO790" s="10" t="str">
        <f t="shared" si="168"/>
        <v>Faible</v>
      </c>
    </row>
    <row r="791" spans="1:41">
      <c r="A791" t="s">
        <v>2345</v>
      </c>
      <c r="B791" s="2">
        <v>45736</v>
      </c>
      <c r="C791" t="s">
        <v>2346</v>
      </c>
      <c r="D791" t="s">
        <v>162</v>
      </c>
      <c r="E791" t="s">
        <v>139</v>
      </c>
      <c r="F791" t="s">
        <v>553</v>
      </c>
      <c r="G791">
        <v>6</v>
      </c>
      <c r="H791" s="4">
        <v>35</v>
      </c>
      <c r="I791" s="3">
        <v>0.08</v>
      </c>
      <c r="J791" t="s">
        <v>77</v>
      </c>
      <c r="K791" t="s">
        <v>46</v>
      </c>
      <c r="L791" t="s">
        <v>2347</v>
      </c>
      <c r="M791" t="s">
        <v>69</v>
      </c>
      <c r="N791" t="s">
        <v>112</v>
      </c>
      <c r="O791" t="s">
        <v>166</v>
      </c>
      <c r="P791" t="s">
        <v>103</v>
      </c>
      <c r="Q791" t="s">
        <v>143</v>
      </c>
      <c r="R791" t="s">
        <v>144</v>
      </c>
      <c r="S791" t="s">
        <v>65</v>
      </c>
      <c r="T791" t="s">
        <v>555</v>
      </c>
      <c r="U791" s="5">
        <v>46</v>
      </c>
      <c r="V791" s="5" t="s">
        <v>85</v>
      </c>
      <c r="W791" s="5">
        <v>20</v>
      </c>
      <c r="X791" s="5">
        <v>3.1</v>
      </c>
      <c r="Y791" s="5">
        <v>9</v>
      </c>
      <c r="Z791" s="5" t="s">
        <v>71</v>
      </c>
      <c r="AA791" s="6">
        <v>24.15</v>
      </c>
      <c r="AB791" s="8">
        <f t="shared" si="156"/>
        <v>210</v>
      </c>
      <c r="AC791" s="8">
        <f t="shared" si="157"/>
        <v>16.8</v>
      </c>
      <c r="AD791" s="8">
        <f t="shared" si="158"/>
        <v>193.2</v>
      </c>
      <c r="AE791" s="8">
        <f t="shared" si="159"/>
        <v>144.89999999999998</v>
      </c>
      <c r="AF791" s="8">
        <f t="shared" si="160"/>
        <v>48.300000000000011</v>
      </c>
      <c r="AG791" s="9">
        <f t="shared" si="161"/>
        <v>0.25000000000000006</v>
      </c>
      <c r="AH791" s="10">
        <f t="shared" si="162"/>
        <v>2025</v>
      </c>
      <c r="AI791" s="10">
        <f t="shared" si="163"/>
        <v>3</v>
      </c>
      <c r="AJ791" s="10" t="str">
        <f t="shared" si="164"/>
        <v>2025-03</v>
      </c>
      <c r="AK791" s="10" t="str">
        <f t="shared" si="165"/>
        <v>T1</v>
      </c>
      <c r="AL791" s="10" t="str">
        <f t="shared" si="166"/>
        <v>40-49</v>
      </c>
      <c r="AM791" s="10" t="str">
        <f t="shared" si="167"/>
        <v>faible</v>
      </c>
      <c r="AN791" s="10" t="s">
        <v>2837</v>
      </c>
      <c r="AO791" s="10" t="str">
        <f t="shared" si="168"/>
        <v>Faible</v>
      </c>
    </row>
    <row r="792" spans="1:41">
      <c r="A792" t="s">
        <v>2348</v>
      </c>
      <c r="B792" s="2">
        <v>45865</v>
      </c>
      <c r="C792" t="s">
        <v>2349</v>
      </c>
      <c r="D792" t="s">
        <v>108</v>
      </c>
      <c r="E792" t="s">
        <v>219</v>
      </c>
      <c r="F792" t="s">
        <v>190</v>
      </c>
      <c r="G792">
        <v>4</v>
      </c>
      <c r="H792" s="4">
        <v>240</v>
      </c>
      <c r="I792" s="3">
        <v>0</v>
      </c>
      <c r="J792" t="s">
        <v>63</v>
      </c>
      <c r="K792" t="s">
        <v>46</v>
      </c>
      <c r="L792" t="s">
        <v>2350</v>
      </c>
      <c r="M792" t="s">
        <v>65</v>
      </c>
      <c r="N792" t="s">
        <v>49</v>
      </c>
      <c r="O792" t="s">
        <v>113</v>
      </c>
      <c r="P792" t="s">
        <v>82</v>
      </c>
      <c r="Q792" t="s">
        <v>114</v>
      </c>
      <c r="R792" t="s">
        <v>222</v>
      </c>
      <c r="S792" t="s">
        <v>123</v>
      </c>
      <c r="T792" t="s">
        <v>194</v>
      </c>
      <c r="U792" s="5">
        <v>40</v>
      </c>
      <c r="V792" s="5" t="s">
        <v>85</v>
      </c>
      <c r="W792" s="5">
        <v>8</v>
      </c>
      <c r="X792" s="5">
        <v>7.7</v>
      </c>
      <c r="Y792" s="5">
        <v>3</v>
      </c>
      <c r="Z792" s="5" t="s">
        <v>71</v>
      </c>
      <c r="AA792" s="6">
        <v>177.6</v>
      </c>
      <c r="AB792" s="8">
        <f t="shared" si="156"/>
        <v>960</v>
      </c>
      <c r="AC792" s="8">
        <f t="shared" si="157"/>
        <v>0</v>
      </c>
      <c r="AD792" s="8">
        <f t="shared" si="158"/>
        <v>960</v>
      </c>
      <c r="AE792" s="8">
        <f t="shared" si="159"/>
        <v>710.4</v>
      </c>
      <c r="AF792" s="8">
        <f t="shared" si="160"/>
        <v>249.60000000000002</v>
      </c>
      <c r="AG792" s="9">
        <f t="shared" si="161"/>
        <v>0.26</v>
      </c>
      <c r="AH792" s="10">
        <f t="shared" si="162"/>
        <v>2025</v>
      </c>
      <c r="AI792" s="10">
        <f t="shared" si="163"/>
        <v>7</v>
      </c>
      <c r="AJ792" s="10" t="str">
        <f t="shared" si="164"/>
        <v>2025-07</v>
      </c>
      <c r="AK792" s="10" t="str">
        <f t="shared" si="165"/>
        <v>T3</v>
      </c>
      <c r="AL792" s="10" t="str">
        <f t="shared" si="166"/>
        <v>40-49</v>
      </c>
      <c r="AM792" s="10" t="str">
        <f t="shared" si="167"/>
        <v>bon</v>
      </c>
      <c r="AN792" s="10" t="s">
        <v>2838</v>
      </c>
      <c r="AO792" s="10" t="str">
        <f t="shared" si="168"/>
        <v>Moyenne</v>
      </c>
    </row>
    <row r="793" spans="1:41">
      <c r="A793" t="s">
        <v>2351</v>
      </c>
      <c r="B793" s="2">
        <v>45815</v>
      </c>
      <c r="C793" t="s">
        <v>2352</v>
      </c>
      <c r="D793" t="s">
        <v>108</v>
      </c>
      <c r="E793" t="s">
        <v>315</v>
      </c>
      <c r="F793" t="s">
        <v>388</v>
      </c>
      <c r="G793">
        <v>1</v>
      </c>
      <c r="H793" s="4">
        <v>240</v>
      </c>
      <c r="I793" s="3">
        <v>0.02</v>
      </c>
      <c r="J793" t="s">
        <v>63</v>
      </c>
      <c r="K793" t="s">
        <v>46</v>
      </c>
      <c r="L793" t="s">
        <v>2353</v>
      </c>
      <c r="M793" t="s">
        <v>123</v>
      </c>
      <c r="N793" t="s">
        <v>80</v>
      </c>
      <c r="O793" t="s">
        <v>113</v>
      </c>
      <c r="P793" t="s">
        <v>82</v>
      </c>
      <c r="Q793" t="s">
        <v>114</v>
      </c>
      <c r="R793" t="s">
        <v>317</v>
      </c>
      <c r="S793" t="s">
        <v>69</v>
      </c>
      <c r="T793" t="s">
        <v>390</v>
      </c>
      <c r="U793" s="5">
        <v>60</v>
      </c>
      <c r="V793" s="5" t="s">
        <v>56</v>
      </c>
      <c r="W793" s="5">
        <v>53</v>
      </c>
      <c r="X793" s="5">
        <v>5.8</v>
      </c>
      <c r="Y793" s="5">
        <v>6</v>
      </c>
      <c r="Z793" s="5" t="s">
        <v>71</v>
      </c>
      <c r="AA793" s="6">
        <v>177.6</v>
      </c>
      <c r="AB793" s="8">
        <f t="shared" si="156"/>
        <v>240</v>
      </c>
      <c r="AC793" s="8">
        <f t="shared" si="157"/>
        <v>4.8</v>
      </c>
      <c r="AD793" s="8">
        <f t="shared" si="158"/>
        <v>235.2</v>
      </c>
      <c r="AE793" s="8">
        <f t="shared" si="159"/>
        <v>177.6</v>
      </c>
      <c r="AF793" s="8">
        <f t="shared" si="160"/>
        <v>57.599999999999994</v>
      </c>
      <c r="AG793" s="9">
        <f t="shared" si="161"/>
        <v>0.24489795918367346</v>
      </c>
      <c r="AH793" s="10">
        <f t="shared" si="162"/>
        <v>2025</v>
      </c>
      <c r="AI793" s="10">
        <f t="shared" si="163"/>
        <v>6</v>
      </c>
      <c r="AJ793" s="10" t="str">
        <f t="shared" si="164"/>
        <v>2025-06</v>
      </c>
      <c r="AK793" s="10" t="str">
        <f t="shared" si="165"/>
        <v>T2</v>
      </c>
      <c r="AL793" s="10" t="str">
        <f t="shared" si="166"/>
        <v>50+</v>
      </c>
      <c r="AM793" s="10" t="str">
        <f t="shared" si="167"/>
        <v>moyen</v>
      </c>
      <c r="AN793" s="10" t="s">
        <v>2839</v>
      </c>
      <c r="AO793" s="10" t="str">
        <f t="shared" si="168"/>
        <v>Faible</v>
      </c>
    </row>
    <row r="794" spans="1:41">
      <c r="A794" t="s">
        <v>2354</v>
      </c>
      <c r="B794" s="2">
        <v>45782</v>
      </c>
      <c r="C794" t="s">
        <v>2355</v>
      </c>
      <c r="D794" t="s">
        <v>333</v>
      </c>
      <c r="E794" t="s">
        <v>163</v>
      </c>
      <c r="F794" t="s">
        <v>350</v>
      </c>
      <c r="G794">
        <v>3</v>
      </c>
      <c r="H794" s="4">
        <v>65</v>
      </c>
      <c r="I794" s="3">
        <v>0</v>
      </c>
      <c r="J794" t="s">
        <v>77</v>
      </c>
      <c r="K794" t="s">
        <v>46</v>
      </c>
      <c r="L794" t="s">
        <v>2356</v>
      </c>
      <c r="M794" t="s">
        <v>48</v>
      </c>
      <c r="N794" t="s">
        <v>49</v>
      </c>
      <c r="O794" t="s">
        <v>336</v>
      </c>
      <c r="P794" t="s">
        <v>51</v>
      </c>
      <c r="Q794" t="s">
        <v>52</v>
      </c>
      <c r="R794" t="s">
        <v>167</v>
      </c>
      <c r="S794" t="s">
        <v>123</v>
      </c>
      <c r="T794" t="s">
        <v>352</v>
      </c>
      <c r="U794" s="5">
        <v>51</v>
      </c>
      <c r="V794" s="5" t="s">
        <v>56</v>
      </c>
      <c r="W794" s="5">
        <v>38</v>
      </c>
      <c r="X794" s="5">
        <v>6.8</v>
      </c>
      <c r="Y794" s="5">
        <v>5</v>
      </c>
      <c r="Z794" s="5" t="s">
        <v>117</v>
      </c>
      <c r="AA794" s="6">
        <v>47.45</v>
      </c>
      <c r="AB794" s="8">
        <f t="shared" si="156"/>
        <v>195</v>
      </c>
      <c r="AC794" s="8">
        <f t="shared" si="157"/>
        <v>0</v>
      </c>
      <c r="AD794" s="8">
        <f t="shared" si="158"/>
        <v>195</v>
      </c>
      <c r="AE794" s="8">
        <f t="shared" si="159"/>
        <v>142.35000000000002</v>
      </c>
      <c r="AF794" s="8">
        <f t="shared" si="160"/>
        <v>52.649999999999977</v>
      </c>
      <c r="AG794" s="9">
        <f t="shared" si="161"/>
        <v>0.26999999999999991</v>
      </c>
      <c r="AH794" s="10">
        <f t="shared" si="162"/>
        <v>2025</v>
      </c>
      <c r="AI794" s="10">
        <f t="shared" si="163"/>
        <v>5</v>
      </c>
      <c r="AJ794" s="10" t="str">
        <f t="shared" si="164"/>
        <v>2025-05</v>
      </c>
      <c r="AK794" s="10" t="str">
        <f t="shared" si="165"/>
        <v>T2</v>
      </c>
      <c r="AL794" s="10" t="str">
        <f t="shared" si="166"/>
        <v>50+</v>
      </c>
      <c r="AM794" s="10" t="str">
        <f t="shared" si="167"/>
        <v>moyen</v>
      </c>
      <c r="AN794" s="10" t="s">
        <v>2839</v>
      </c>
      <c r="AO794" s="10" t="str">
        <f t="shared" si="168"/>
        <v>Faible</v>
      </c>
    </row>
    <row r="795" spans="1:41">
      <c r="A795" t="s">
        <v>2357</v>
      </c>
      <c r="B795" s="2">
        <v>45700</v>
      </c>
      <c r="C795" t="s">
        <v>2358</v>
      </c>
      <c r="D795" t="s">
        <v>148</v>
      </c>
      <c r="E795" t="s">
        <v>214</v>
      </c>
      <c r="F795" t="s">
        <v>444</v>
      </c>
      <c r="G795">
        <v>1</v>
      </c>
      <c r="H795" s="4">
        <v>110</v>
      </c>
      <c r="I795" s="3">
        <v>0.08</v>
      </c>
      <c r="J795" t="s">
        <v>90</v>
      </c>
      <c r="K795" t="s">
        <v>46</v>
      </c>
      <c r="L795" t="s">
        <v>2359</v>
      </c>
      <c r="M795" t="s">
        <v>69</v>
      </c>
      <c r="N795" t="s">
        <v>101</v>
      </c>
      <c r="O795" t="s">
        <v>151</v>
      </c>
      <c r="P795" t="s">
        <v>103</v>
      </c>
      <c r="Q795" t="s">
        <v>114</v>
      </c>
      <c r="R795" t="s">
        <v>216</v>
      </c>
      <c r="S795" t="s">
        <v>65</v>
      </c>
      <c r="T795" t="s">
        <v>446</v>
      </c>
      <c r="U795" s="5">
        <v>56</v>
      </c>
      <c r="V795" s="5" t="s">
        <v>85</v>
      </c>
      <c r="W795" s="5">
        <v>62</v>
      </c>
      <c r="X795" s="5">
        <v>4.2</v>
      </c>
      <c r="Y795" s="5">
        <v>9</v>
      </c>
      <c r="Z795" s="5" t="s">
        <v>57</v>
      </c>
      <c r="AA795" s="6">
        <v>72.599999999999994</v>
      </c>
      <c r="AB795" s="8">
        <f t="shared" si="156"/>
        <v>110</v>
      </c>
      <c r="AC795" s="8">
        <f t="shared" si="157"/>
        <v>8.8000000000000007</v>
      </c>
      <c r="AD795" s="8">
        <f t="shared" si="158"/>
        <v>101.2</v>
      </c>
      <c r="AE795" s="8">
        <f t="shared" si="159"/>
        <v>72.599999999999994</v>
      </c>
      <c r="AF795" s="8">
        <f t="shared" si="160"/>
        <v>28.600000000000009</v>
      </c>
      <c r="AG795" s="9">
        <f t="shared" si="161"/>
        <v>0.282608695652174</v>
      </c>
      <c r="AH795" s="10">
        <f t="shared" si="162"/>
        <v>2025</v>
      </c>
      <c r="AI795" s="10">
        <f t="shared" si="163"/>
        <v>2</v>
      </c>
      <c r="AJ795" s="10" t="str">
        <f t="shared" si="164"/>
        <v>2025-02</v>
      </c>
      <c r="AK795" s="10" t="str">
        <f t="shared" si="165"/>
        <v>T1</v>
      </c>
      <c r="AL795" s="10" t="str">
        <f t="shared" si="166"/>
        <v>50+</v>
      </c>
      <c r="AM795" s="10" t="str">
        <f t="shared" si="167"/>
        <v>faible</v>
      </c>
      <c r="AN795" s="10" t="s">
        <v>2837</v>
      </c>
      <c r="AO795" s="10" t="str">
        <f t="shared" si="168"/>
        <v>Faible</v>
      </c>
    </row>
    <row r="796" spans="1:41">
      <c r="A796" t="s">
        <v>2360</v>
      </c>
      <c r="B796" s="2">
        <v>46015</v>
      </c>
      <c r="C796" t="s">
        <v>2361</v>
      </c>
      <c r="D796" t="s">
        <v>272</v>
      </c>
      <c r="E796" t="s">
        <v>214</v>
      </c>
      <c r="F796" t="s">
        <v>323</v>
      </c>
      <c r="G796">
        <v>3</v>
      </c>
      <c r="H796" s="4">
        <v>420</v>
      </c>
      <c r="I796" s="3">
        <v>0</v>
      </c>
      <c r="J796" t="s">
        <v>90</v>
      </c>
      <c r="K796" t="s">
        <v>46</v>
      </c>
      <c r="L796" t="s">
        <v>2362</v>
      </c>
      <c r="M796" t="s">
        <v>54</v>
      </c>
      <c r="N796" t="s">
        <v>80</v>
      </c>
      <c r="O796" t="s">
        <v>274</v>
      </c>
      <c r="P796" t="s">
        <v>133</v>
      </c>
      <c r="Q796" t="s">
        <v>114</v>
      </c>
      <c r="R796" t="s">
        <v>216</v>
      </c>
      <c r="S796" t="s">
        <v>65</v>
      </c>
      <c r="T796" t="s">
        <v>325</v>
      </c>
      <c r="U796" s="5">
        <v>46</v>
      </c>
      <c r="V796" s="5" t="s">
        <v>56</v>
      </c>
      <c r="W796" s="5">
        <v>36</v>
      </c>
      <c r="X796" s="5">
        <v>4.0999999999999996</v>
      </c>
      <c r="Y796" s="5">
        <v>7</v>
      </c>
      <c r="Z796" s="5" t="s">
        <v>71</v>
      </c>
      <c r="AA796" s="6">
        <v>273</v>
      </c>
      <c r="AB796" s="8">
        <f t="shared" si="156"/>
        <v>1260</v>
      </c>
      <c r="AC796" s="8">
        <f t="shared" si="157"/>
        <v>0</v>
      </c>
      <c r="AD796" s="8">
        <f t="shared" si="158"/>
        <v>1260</v>
      </c>
      <c r="AE796" s="8">
        <f t="shared" si="159"/>
        <v>819</v>
      </c>
      <c r="AF796" s="8">
        <f t="shared" si="160"/>
        <v>441</v>
      </c>
      <c r="AG796" s="9">
        <f t="shared" si="161"/>
        <v>0.35</v>
      </c>
      <c r="AH796" s="10">
        <f t="shared" si="162"/>
        <v>2025</v>
      </c>
      <c r="AI796" s="10">
        <f t="shared" si="163"/>
        <v>12</v>
      </c>
      <c r="AJ796" s="10" t="str">
        <f t="shared" si="164"/>
        <v>2025-12</v>
      </c>
      <c r="AK796" s="10" t="str">
        <f t="shared" si="165"/>
        <v>T4</v>
      </c>
      <c r="AL796" s="10" t="str">
        <f t="shared" si="166"/>
        <v>40-49</v>
      </c>
      <c r="AM796" s="10" t="str">
        <f t="shared" si="167"/>
        <v>faible</v>
      </c>
      <c r="AN796" s="10" t="s">
        <v>2837</v>
      </c>
      <c r="AO796" s="10" t="str">
        <f t="shared" si="168"/>
        <v>Elevée</v>
      </c>
    </row>
    <row r="797" spans="1:41">
      <c r="A797" t="s">
        <v>2363</v>
      </c>
      <c r="B797" s="2">
        <v>45845</v>
      </c>
      <c r="C797" t="s">
        <v>2364</v>
      </c>
      <c r="D797" t="s">
        <v>42</v>
      </c>
      <c r="E797" t="s">
        <v>43</v>
      </c>
      <c r="F797" t="s">
        <v>149</v>
      </c>
      <c r="G797">
        <v>3</v>
      </c>
      <c r="H797" s="4">
        <v>260</v>
      </c>
      <c r="I797" s="3">
        <v>0.1</v>
      </c>
      <c r="J797" t="s">
        <v>77</v>
      </c>
      <c r="K797" t="s">
        <v>46</v>
      </c>
      <c r="L797" t="s">
        <v>2365</v>
      </c>
      <c r="M797" t="s">
        <v>79</v>
      </c>
      <c r="N797" t="s">
        <v>49</v>
      </c>
      <c r="O797" t="s">
        <v>50</v>
      </c>
      <c r="P797" t="s">
        <v>51</v>
      </c>
      <c r="Q797" t="s">
        <v>52</v>
      </c>
      <c r="R797" t="s">
        <v>53</v>
      </c>
      <c r="S797" t="s">
        <v>54</v>
      </c>
      <c r="T797" t="s">
        <v>152</v>
      </c>
      <c r="U797" s="5">
        <v>22</v>
      </c>
      <c r="V797" s="5" t="s">
        <v>56</v>
      </c>
      <c r="W797" s="5">
        <v>36</v>
      </c>
      <c r="X797" s="5">
        <v>9.3000000000000007</v>
      </c>
      <c r="Y797" s="5">
        <v>1</v>
      </c>
      <c r="Z797" s="5" t="s">
        <v>117</v>
      </c>
      <c r="AA797" s="6">
        <v>189.8</v>
      </c>
      <c r="AB797" s="8">
        <f t="shared" si="156"/>
        <v>780</v>
      </c>
      <c r="AC797" s="8">
        <f t="shared" si="157"/>
        <v>78</v>
      </c>
      <c r="AD797" s="8">
        <f t="shared" si="158"/>
        <v>702</v>
      </c>
      <c r="AE797" s="8">
        <f t="shared" si="159"/>
        <v>569.40000000000009</v>
      </c>
      <c r="AF797" s="8">
        <f t="shared" si="160"/>
        <v>132.59999999999991</v>
      </c>
      <c r="AG797" s="9">
        <f t="shared" si="161"/>
        <v>0.18888888888888877</v>
      </c>
      <c r="AH797" s="10">
        <f t="shared" si="162"/>
        <v>2025</v>
      </c>
      <c r="AI797" s="10">
        <f t="shared" si="163"/>
        <v>7</v>
      </c>
      <c r="AJ797" s="10" t="str">
        <f t="shared" si="164"/>
        <v>2025-07</v>
      </c>
      <c r="AK797" s="10" t="str">
        <f t="shared" si="165"/>
        <v>T3</v>
      </c>
      <c r="AL797" s="10" t="str">
        <f t="shared" si="166"/>
        <v>22-29</v>
      </c>
      <c r="AM797" s="10" t="str">
        <f t="shared" si="167"/>
        <v>excellent</v>
      </c>
      <c r="AN797" s="10" t="s">
        <v>2838</v>
      </c>
      <c r="AO797" s="10" t="str">
        <f t="shared" si="168"/>
        <v>Moyenne</v>
      </c>
    </row>
    <row r="798" spans="1:41">
      <c r="A798" t="s">
        <v>2366</v>
      </c>
      <c r="B798" s="2">
        <v>45858</v>
      </c>
      <c r="C798" t="s">
        <v>625</v>
      </c>
      <c r="D798" t="s">
        <v>181</v>
      </c>
      <c r="E798" t="s">
        <v>75</v>
      </c>
      <c r="F798" t="s">
        <v>553</v>
      </c>
      <c r="G798">
        <v>5</v>
      </c>
      <c r="H798" s="4">
        <v>145</v>
      </c>
      <c r="I798" s="3">
        <v>0.02</v>
      </c>
      <c r="J798" t="s">
        <v>90</v>
      </c>
      <c r="K798" t="s">
        <v>46</v>
      </c>
      <c r="L798" t="s">
        <v>626</v>
      </c>
      <c r="M798" t="s">
        <v>69</v>
      </c>
      <c r="N798" t="s">
        <v>80</v>
      </c>
      <c r="O798" t="s">
        <v>184</v>
      </c>
      <c r="P798" t="s">
        <v>103</v>
      </c>
      <c r="Q798" t="s">
        <v>52</v>
      </c>
      <c r="R798" t="s">
        <v>83</v>
      </c>
      <c r="S798" t="s">
        <v>69</v>
      </c>
      <c r="T798" t="s">
        <v>555</v>
      </c>
      <c r="U798" s="5">
        <v>43</v>
      </c>
      <c r="V798" s="5" t="s">
        <v>85</v>
      </c>
      <c r="W798" s="5">
        <v>44</v>
      </c>
      <c r="X798" s="5">
        <v>4.5999999999999996</v>
      </c>
      <c r="Y798" s="5">
        <v>8</v>
      </c>
      <c r="Z798" s="5" t="s">
        <v>57</v>
      </c>
      <c r="AA798" s="6">
        <v>97.15</v>
      </c>
      <c r="AB798" s="8">
        <f t="shared" si="156"/>
        <v>725</v>
      </c>
      <c r="AC798" s="8">
        <f t="shared" si="157"/>
        <v>14.5</v>
      </c>
      <c r="AD798" s="8">
        <f t="shared" si="158"/>
        <v>710.5</v>
      </c>
      <c r="AE798" s="8">
        <f t="shared" si="159"/>
        <v>485.75</v>
      </c>
      <c r="AF798" s="8">
        <f t="shared" si="160"/>
        <v>224.75</v>
      </c>
      <c r="AG798" s="9">
        <f t="shared" si="161"/>
        <v>0.31632653061224492</v>
      </c>
      <c r="AH798" s="10">
        <f t="shared" si="162"/>
        <v>2025</v>
      </c>
      <c r="AI798" s="10">
        <f t="shared" si="163"/>
        <v>7</v>
      </c>
      <c r="AJ798" s="10" t="str">
        <f t="shared" si="164"/>
        <v>2025-07</v>
      </c>
      <c r="AK798" s="10" t="str">
        <f t="shared" si="165"/>
        <v>T3</v>
      </c>
      <c r="AL798" s="10" t="str">
        <f t="shared" si="166"/>
        <v>40-49</v>
      </c>
      <c r="AM798" s="10" t="str">
        <f t="shared" si="167"/>
        <v>faible</v>
      </c>
      <c r="AN798" s="10" t="s">
        <v>2837</v>
      </c>
      <c r="AO798" s="10" t="str">
        <f t="shared" si="168"/>
        <v>Moyenne</v>
      </c>
    </row>
    <row r="799" spans="1:41">
      <c r="A799" t="s">
        <v>2367</v>
      </c>
      <c r="B799" s="2">
        <v>45691</v>
      </c>
      <c r="C799" t="s">
        <v>2368</v>
      </c>
      <c r="D799" t="s">
        <v>174</v>
      </c>
      <c r="E799" t="s">
        <v>43</v>
      </c>
      <c r="F799" t="s">
        <v>248</v>
      </c>
      <c r="G799">
        <v>2</v>
      </c>
      <c r="H799" s="4">
        <v>780</v>
      </c>
      <c r="I799" s="3">
        <v>0.1</v>
      </c>
      <c r="J799" t="s">
        <v>77</v>
      </c>
      <c r="K799" t="s">
        <v>46</v>
      </c>
      <c r="L799" t="s">
        <v>2369</v>
      </c>
      <c r="M799" t="s">
        <v>48</v>
      </c>
      <c r="N799" t="s">
        <v>101</v>
      </c>
      <c r="O799" t="s">
        <v>177</v>
      </c>
      <c r="P799" t="s">
        <v>103</v>
      </c>
      <c r="Q799" t="s">
        <v>114</v>
      </c>
      <c r="R799" t="s">
        <v>53</v>
      </c>
      <c r="S799" t="s">
        <v>54</v>
      </c>
      <c r="T799" t="s">
        <v>250</v>
      </c>
      <c r="U799" s="5">
        <v>50</v>
      </c>
      <c r="V799" s="5" t="s">
        <v>56</v>
      </c>
      <c r="W799" s="5">
        <v>15</v>
      </c>
      <c r="X799" s="5">
        <v>7.2</v>
      </c>
      <c r="Y799" s="5">
        <v>2</v>
      </c>
      <c r="Z799" s="5" t="s">
        <v>94</v>
      </c>
      <c r="AA799" s="6">
        <v>468</v>
      </c>
      <c r="AB799" s="8">
        <f t="shared" si="156"/>
        <v>1560</v>
      </c>
      <c r="AC799" s="8">
        <f t="shared" si="157"/>
        <v>156</v>
      </c>
      <c r="AD799" s="8">
        <f t="shared" si="158"/>
        <v>1404</v>
      </c>
      <c r="AE799" s="8">
        <f t="shared" si="159"/>
        <v>936</v>
      </c>
      <c r="AF799" s="8">
        <f t="shared" si="160"/>
        <v>468</v>
      </c>
      <c r="AG799" s="9">
        <f t="shared" si="161"/>
        <v>0.33333333333333331</v>
      </c>
      <c r="AH799" s="10">
        <f t="shared" si="162"/>
        <v>2025</v>
      </c>
      <c r="AI799" s="10">
        <f t="shared" si="163"/>
        <v>2</v>
      </c>
      <c r="AJ799" s="10" t="str">
        <f t="shared" si="164"/>
        <v>2025-02</v>
      </c>
      <c r="AK799" s="10" t="str">
        <f t="shared" si="165"/>
        <v>T1</v>
      </c>
      <c r="AL799" s="10" t="str">
        <f t="shared" si="166"/>
        <v>50+</v>
      </c>
      <c r="AM799" s="10" t="str">
        <f t="shared" si="167"/>
        <v>bon</v>
      </c>
      <c r="AN799" s="10" t="s">
        <v>2838</v>
      </c>
      <c r="AO799" s="10" t="str">
        <f t="shared" si="168"/>
        <v>Elevée</v>
      </c>
    </row>
    <row r="800" spans="1:41">
      <c r="A800" t="s">
        <v>2370</v>
      </c>
      <c r="B800" s="2">
        <v>45772</v>
      </c>
      <c r="C800" t="s">
        <v>2371</v>
      </c>
      <c r="D800" t="s">
        <v>97</v>
      </c>
      <c r="E800" t="s">
        <v>277</v>
      </c>
      <c r="F800" t="s">
        <v>396</v>
      </c>
      <c r="G800">
        <v>3</v>
      </c>
      <c r="H800" s="4">
        <v>520</v>
      </c>
      <c r="I800" s="3">
        <v>0</v>
      </c>
      <c r="J800" t="s">
        <v>63</v>
      </c>
      <c r="K800" t="s">
        <v>46</v>
      </c>
      <c r="L800" t="s">
        <v>2372</v>
      </c>
      <c r="M800" t="s">
        <v>69</v>
      </c>
      <c r="N800" t="s">
        <v>80</v>
      </c>
      <c r="O800" t="s">
        <v>102</v>
      </c>
      <c r="P800" t="s">
        <v>103</v>
      </c>
      <c r="Q800" t="s">
        <v>52</v>
      </c>
      <c r="R800" t="s">
        <v>279</v>
      </c>
      <c r="S800" t="s">
        <v>54</v>
      </c>
      <c r="T800" t="s">
        <v>398</v>
      </c>
      <c r="U800" s="5">
        <v>47</v>
      </c>
      <c r="V800" s="5" t="s">
        <v>56</v>
      </c>
      <c r="W800" s="5">
        <v>68</v>
      </c>
      <c r="X800" s="5">
        <v>6.8</v>
      </c>
      <c r="Y800" s="5">
        <v>3</v>
      </c>
      <c r="Z800" s="5" t="s">
        <v>117</v>
      </c>
      <c r="AA800" s="6">
        <v>348.4</v>
      </c>
      <c r="AB800" s="8">
        <f t="shared" si="156"/>
        <v>1560</v>
      </c>
      <c r="AC800" s="8">
        <f t="shared" si="157"/>
        <v>0</v>
      </c>
      <c r="AD800" s="8">
        <f t="shared" si="158"/>
        <v>1560</v>
      </c>
      <c r="AE800" s="8">
        <f t="shared" si="159"/>
        <v>1045.1999999999998</v>
      </c>
      <c r="AF800" s="8">
        <f t="shared" si="160"/>
        <v>514.80000000000018</v>
      </c>
      <c r="AG800" s="9">
        <f t="shared" si="161"/>
        <v>0.33000000000000013</v>
      </c>
      <c r="AH800" s="10">
        <f t="shared" si="162"/>
        <v>2025</v>
      </c>
      <c r="AI800" s="10">
        <f t="shared" si="163"/>
        <v>4</v>
      </c>
      <c r="AJ800" s="10" t="str">
        <f t="shared" si="164"/>
        <v>2025-04</v>
      </c>
      <c r="AK800" s="10" t="str">
        <f t="shared" si="165"/>
        <v>T2</v>
      </c>
      <c r="AL800" s="10" t="str">
        <f t="shared" si="166"/>
        <v>40-49</v>
      </c>
      <c r="AM800" s="10" t="str">
        <f t="shared" si="167"/>
        <v>moyen</v>
      </c>
      <c r="AN800" s="10" t="s">
        <v>2838</v>
      </c>
      <c r="AO800" s="10" t="str">
        <f t="shared" si="168"/>
        <v>Elevée</v>
      </c>
    </row>
    <row r="801" spans="1:41">
      <c r="A801" t="s">
        <v>2373</v>
      </c>
      <c r="B801" s="2">
        <v>45918</v>
      </c>
      <c r="C801" t="s">
        <v>2374</v>
      </c>
      <c r="D801" t="s">
        <v>272</v>
      </c>
      <c r="E801" t="s">
        <v>139</v>
      </c>
      <c r="F801" t="s">
        <v>328</v>
      </c>
      <c r="G801">
        <v>2</v>
      </c>
      <c r="H801" s="4">
        <v>420</v>
      </c>
      <c r="I801" s="3">
        <v>0.08</v>
      </c>
      <c r="J801" t="s">
        <v>63</v>
      </c>
      <c r="K801" t="s">
        <v>46</v>
      </c>
      <c r="L801" t="s">
        <v>2375</v>
      </c>
      <c r="M801" t="s">
        <v>48</v>
      </c>
      <c r="N801" t="s">
        <v>255</v>
      </c>
      <c r="O801" t="s">
        <v>274</v>
      </c>
      <c r="P801" t="s">
        <v>133</v>
      </c>
      <c r="Q801" t="s">
        <v>114</v>
      </c>
      <c r="R801" t="s">
        <v>144</v>
      </c>
      <c r="S801" t="s">
        <v>65</v>
      </c>
      <c r="T801" t="s">
        <v>330</v>
      </c>
      <c r="U801" s="5">
        <v>37</v>
      </c>
      <c r="V801" s="5" t="s">
        <v>85</v>
      </c>
      <c r="W801" s="5">
        <v>61</v>
      </c>
      <c r="X801" s="5">
        <v>7.9</v>
      </c>
      <c r="Y801" s="5">
        <v>3</v>
      </c>
      <c r="Z801" s="5" t="s">
        <v>71</v>
      </c>
      <c r="AA801" s="6">
        <v>273</v>
      </c>
      <c r="AB801" s="8">
        <f t="shared" si="156"/>
        <v>840</v>
      </c>
      <c r="AC801" s="8">
        <f t="shared" si="157"/>
        <v>67.2</v>
      </c>
      <c r="AD801" s="8">
        <f t="shared" si="158"/>
        <v>772.8</v>
      </c>
      <c r="AE801" s="8">
        <f t="shared" si="159"/>
        <v>546</v>
      </c>
      <c r="AF801" s="8">
        <f t="shared" si="160"/>
        <v>226.79999999999995</v>
      </c>
      <c r="AG801" s="9">
        <f t="shared" si="161"/>
        <v>0.29347826086956519</v>
      </c>
      <c r="AH801" s="10">
        <f t="shared" si="162"/>
        <v>2025</v>
      </c>
      <c r="AI801" s="10">
        <f t="shared" si="163"/>
        <v>9</v>
      </c>
      <c r="AJ801" s="10" t="str">
        <f t="shared" si="164"/>
        <v>2025-09</v>
      </c>
      <c r="AK801" s="10" t="str">
        <f t="shared" si="165"/>
        <v>T3</v>
      </c>
      <c r="AL801" s="10" t="str">
        <f t="shared" si="166"/>
        <v>30-39</v>
      </c>
      <c r="AM801" s="10" t="str">
        <f t="shared" si="167"/>
        <v>bon</v>
      </c>
      <c r="AN801" s="10" t="s">
        <v>2838</v>
      </c>
      <c r="AO801" s="10" t="str">
        <f t="shared" si="168"/>
        <v>Moyenne</v>
      </c>
    </row>
    <row r="802" spans="1:41">
      <c r="A802" t="s">
        <v>2376</v>
      </c>
      <c r="B802" s="2">
        <v>45781</v>
      </c>
      <c r="C802" t="s">
        <v>2377</v>
      </c>
      <c r="D802" t="s">
        <v>74</v>
      </c>
      <c r="E802" t="s">
        <v>189</v>
      </c>
      <c r="F802" t="s">
        <v>429</v>
      </c>
      <c r="G802">
        <v>2</v>
      </c>
      <c r="H802" s="4">
        <v>95</v>
      </c>
      <c r="I802" s="3">
        <v>0.08</v>
      </c>
      <c r="J802" t="s">
        <v>45</v>
      </c>
      <c r="K802" t="s">
        <v>46</v>
      </c>
      <c r="L802" t="s">
        <v>2378</v>
      </c>
      <c r="M802" t="s">
        <v>79</v>
      </c>
      <c r="N802" t="s">
        <v>49</v>
      </c>
      <c r="O802" t="s">
        <v>81</v>
      </c>
      <c r="P802" t="s">
        <v>82</v>
      </c>
      <c r="Q802" t="s">
        <v>52</v>
      </c>
      <c r="R802" t="s">
        <v>193</v>
      </c>
      <c r="S802" t="s">
        <v>79</v>
      </c>
      <c r="T802" t="s">
        <v>431</v>
      </c>
      <c r="U802" s="5">
        <v>35</v>
      </c>
      <c r="V802" s="5" t="s">
        <v>56</v>
      </c>
      <c r="W802" s="5">
        <v>60</v>
      </c>
      <c r="X802" s="5">
        <v>7.3</v>
      </c>
      <c r="Y802" s="5">
        <v>3</v>
      </c>
      <c r="Z802" s="5" t="s">
        <v>57</v>
      </c>
      <c r="AA802" s="6">
        <v>70.3</v>
      </c>
      <c r="AB802" s="8">
        <f t="shared" si="156"/>
        <v>190</v>
      </c>
      <c r="AC802" s="8">
        <f t="shared" si="157"/>
        <v>15.200000000000001</v>
      </c>
      <c r="AD802" s="8">
        <f t="shared" si="158"/>
        <v>174.8</v>
      </c>
      <c r="AE802" s="8">
        <f t="shared" si="159"/>
        <v>140.6</v>
      </c>
      <c r="AF802" s="8">
        <f t="shared" si="160"/>
        <v>34.200000000000017</v>
      </c>
      <c r="AG802" s="9">
        <f t="shared" si="161"/>
        <v>0.19565217391304357</v>
      </c>
      <c r="AH802" s="10">
        <f t="shared" si="162"/>
        <v>2025</v>
      </c>
      <c r="AI802" s="10">
        <f t="shared" si="163"/>
        <v>5</v>
      </c>
      <c r="AJ802" s="10" t="str">
        <f t="shared" si="164"/>
        <v>2025-05</v>
      </c>
      <c r="AK802" s="10" t="str">
        <f t="shared" si="165"/>
        <v>T2</v>
      </c>
      <c r="AL802" s="10" t="str">
        <f t="shared" si="166"/>
        <v>30-39</v>
      </c>
      <c r="AM802" s="10" t="str">
        <f t="shared" si="167"/>
        <v>bon</v>
      </c>
      <c r="AN802" s="10" t="s">
        <v>2838</v>
      </c>
      <c r="AO802" s="10" t="str">
        <f t="shared" si="168"/>
        <v>Faible</v>
      </c>
    </row>
    <row r="803" spans="1:41">
      <c r="A803" t="s">
        <v>2379</v>
      </c>
      <c r="B803" s="2">
        <v>45887</v>
      </c>
      <c r="C803" t="s">
        <v>2380</v>
      </c>
      <c r="D803" t="s">
        <v>97</v>
      </c>
      <c r="E803" t="s">
        <v>98</v>
      </c>
      <c r="F803" t="s">
        <v>444</v>
      </c>
      <c r="G803">
        <v>1</v>
      </c>
      <c r="H803" s="4">
        <v>520</v>
      </c>
      <c r="I803" s="3">
        <v>0.08</v>
      </c>
      <c r="J803" t="s">
        <v>90</v>
      </c>
      <c r="K803" t="s">
        <v>46</v>
      </c>
      <c r="L803" t="s">
        <v>2381</v>
      </c>
      <c r="M803" t="s">
        <v>54</v>
      </c>
      <c r="N803" t="s">
        <v>255</v>
      </c>
      <c r="O803" t="s">
        <v>102</v>
      </c>
      <c r="P803" t="s">
        <v>103</v>
      </c>
      <c r="Q803" t="s">
        <v>52</v>
      </c>
      <c r="R803" t="s">
        <v>104</v>
      </c>
      <c r="S803" t="s">
        <v>79</v>
      </c>
      <c r="T803" t="s">
        <v>446</v>
      </c>
      <c r="U803" s="5">
        <v>51</v>
      </c>
      <c r="V803" s="5" t="s">
        <v>56</v>
      </c>
      <c r="W803" s="5">
        <v>46</v>
      </c>
      <c r="X803" s="5">
        <v>5.6</v>
      </c>
      <c r="Y803" s="5">
        <v>7</v>
      </c>
      <c r="Z803" s="5" t="s">
        <v>57</v>
      </c>
      <c r="AA803" s="6">
        <v>348.4</v>
      </c>
      <c r="AB803" s="8">
        <f t="shared" si="156"/>
        <v>520</v>
      </c>
      <c r="AC803" s="8">
        <f t="shared" si="157"/>
        <v>41.6</v>
      </c>
      <c r="AD803" s="8">
        <f t="shared" si="158"/>
        <v>478.4</v>
      </c>
      <c r="AE803" s="8">
        <f t="shared" si="159"/>
        <v>348.4</v>
      </c>
      <c r="AF803" s="8">
        <f t="shared" si="160"/>
        <v>130</v>
      </c>
      <c r="AG803" s="9">
        <f t="shared" si="161"/>
        <v>0.27173913043478259</v>
      </c>
      <c r="AH803" s="10">
        <f t="shared" si="162"/>
        <v>2025</v>
      </c>
      <c r="AI803" s="10">
        <f t="shared" si="163"/>
        <v>8</v>
      </c>
      <c r="AJ803" s="10" t="str">
        <f t="shared" si="164"/>
        <v>2025-08</v>
      </c>
      <c r="AK803" s="10" t="str">
        <f t="shared" si="165"/>
        <v>T3</v>
      </c>
      <c r="AL803" s="10" t="str">
        <f t="shared" si="166"/>
        <v>50+</v>
      </c>
      <c r="AM803" s="10" t="str">
        <f t="shared" si="167"/>
        <v>moyen</v>
      </c>
      <c r="AN803" s="10" t="s">
        <v>2837</v>
      </c>
      <c r="AO803" s="10" t="str">
        <f t="shared" si="168"/>
        <v>Faible</v>
      </c>
    </row>
    <row r="804" spans="1:41">
      <c r="A804" t="s">
        <v>2382</v>
      </c>
      <c r="B804" s="2">
        <v>45738</v>
      </c>
      <c r="C804" t="s">
        <v>357</v>
      </c>
      <c r="D804" t="s">
        <v>272</v>
      </c>
      <c r="E804" t="s">
        <v>219</v>
      </c>
      <c r="F804" t="s">
        <v>334</v>
      </c>
      <c r="G804">
        <v>2</v>
      </c>
      <c r="H804" s="4">
        <v>420</v>
      </c>
      <c r="I804" s="3">
        <v>0</v>
      </c>
      <c r="J804" t="s">
        <v>90</v>
      </c>
      <c r="K804" t="s">
        <v>46</v>
      </c>
      <c r="L804" t="s">
        <v>358</v>
      </c>
      <c r="M804" t="s">
        <v>123</v>
      </c>
      <c r="N804" t="s">
        <v>80</v>
      </c>
      <c r="O804" t="s">
        <v>274</v>
      </c>
      <c r="P804" t="s">
        <v>133</v>
      </c>
      <c r="Q804" t="s">
        <v>114</v>
      </c>
      <c r="R804" t="s">
        <v>222</v>
      </c>
      <c r="S804" t="s">
        <v>123</v>
      </c>
      <c r="T804" t="s">
        <v>337</v>
      </c>
      <c r="U804" s="5">
        <v>48</v>
      </c>
      <c r="V804" s="5" t="s">
        <v>56</v>
      </c>
      <c r="W804" s="5">
        <v>63</v>
      </c>
      <c r="X804" s="5">
        <v>4</v>
      </c>
      <c r="Y804" s="5">
        <v>9</v>
      </c>
      <c r="Z804" s="5" t="s">
        <v>117</v>
      </c>
      <c r="AA804" s="6">
        <v>273</v>
      </c>
      <c r="AB804" s="8">
        <f t="shared" si="156"/>
        <v>840</v>
      </c>
      <c r="AC804" s="8">
        <f t="shared" si="157"/>
        <v>0</v>
      </c>
      <c r="AD804" s="8">
        <f t="shared" si="158"/>
        <v>840</v>
      </c>
      <c r="AE804" s="8">
        <f t="shared" si="159"/>
        <v>546</v>
      </c>
      <c r="AF804" s="8">
        <f t="shared" si="160"/>
        <v>294</v>
      </c>
      <c r="AG804" s="9">
        <f t="shared" si="161"/>
        <v>0.35</v>
      </c>
      <c r="AH804" s="10">
        <f t="shared" si="162"/>
        <v>2025</v>
      </c>
      <c r="AI804" s="10">
        <f t="shared" si="163"/>
        <v>3</v>
      </c>
      <c r="AJ804" s="10" t="str">
        <f t="shared" si="164"/>
        <v>2025-03</v>
      </c>
      <c r="AK804" s="10" t="str">
        <f t="shared" si="165"/>
        <v>T1</v>
      </c>
      <c r="AL804" s="10" t="str">
        <f t="shared" si="166"/>
        <v>40-49</v>
      </c>
      <c r="AM804" s="10" t="str">
        <f t="shared" si="167"/>
        <v>faible</v>
      </c>
      <c r="AN804" s="10" t="s">
        <v>2837</v>
      </c>
      <c r="AO804" s="10" t="str">
        <f t="shared" si="168"/>
        <v>Moyenne</v>
      </c>
    </row>
    <row r="805" spans="1:41">
      <c r="A805" t="s">
        <v>2383</v>
      </c>
      <c r="B805" s="2">
        <v>45912</v>
      </c>
      <c r="C805" t="s">
        <v>2384</v>
      </c>
      <c r="D805" t="s">
        <v>148</v>
      </c>
      <c r="E805" t="s">
        <v>75</v>
      </c>
      <c r="F805" t="s">
        <v>487</v>
      </c>
      <c r="G805">
        <v>2</v>
      </c>
      <c r="H805" s="4">
        <v>110</v>
      </c>
      <c r="I805" s="3">
        <v>0.02</v>
      </c>
      <c r="J805" t="s">
        <v>77</v>
      </c>
      <c r="K805" t="s">
        <v>46</v>
      </c>
      <c r="L805" t="s">
        <v>2385</v>
      </c>
      <c r="M805" t="s">
        <v>79</v>
      </c>
      <c r="N805" t="s">
        <v>49</v>
      </c>
      <c r="O805" t="s">
        <v>151</v>
      </c>
      <c r="P805" t="s">
        <v>103</v>
      </c>
      <c r="Q805" t="s">
        <v>114</v>
      </c>
      <c r="R805" t="s">
        <v>83</v>
      </c>
      <c r="S805" t="s">
        <v>69</v>
      </c>
      <c r="T805" t="s">
        <v>489</v>
      </c>
      <c r="U805" s="5">
        <v>57</v>
      </c>
      <c r="V805" s="5" t="s">
        <v>56</v>
      </c>
      <c r="W805" s="5">
        <v>40</v>
      </c>
      <c r="X805" s="5">
        <v>7.3</v>
      </c>
      <c r="Y805" s="5">
        <v>3</v>
      </c>
      <c r="Z805" s="5" t="s">
        <v>117</v>
      </c>
      <c r="AA805" s="6">
        <v>72.599999999999994</v>
      </c>
      <c r="AB805" s="8">
        <f t="shared" si="156"/>
        <v>220</v>
      </c>
      <c r="AC805" s="8">
        <f t="shared" si="157"/>
        <v>4.4000000000000004</v>
      </c>
      <c r="AD805" s="8">
        <f t="shared" si="158"/>
        <v>215.6</v>
      </c>
      <c r="AE805" s="8">
        <f t="shared" si="159"/>
        <v>145.19999999999999</v>
      </c>
      <c r="AF805" s="8">
        <f t="shared" si="160"/>
        <v>70.400000000000006</v>
      </c>
      <c r="AG805" s="9">
        <f t="shared" si="161"/>
        <v>0.32653061224489799</v>
      </c>
      <c r="AH805" s="10">
        <f t="shared" si="162"/>
        <v>2025</v>
      </c>
      <c r="AI805" s="10">
        <f t="shared" si="163"/>
        <v>9</v>
      </c>
      <c r="AJ805" s="10" t="str">
        <f t="shared" si="164"/>
        <v>2025-09</v>
      </c>
      <c r="AK805" s="10" t="str">
        <f t="shared" si="165"/>
        <v>T3</v>
      </c>
      <c r="AL805" s="10" t="str">
        <f t="shared" si="166"/>
        <v>50+</v>
      </c>
      <c r="AM805" s="10" t="str">
        <f t="shared" si="167"/>
        <v>bon</v>
      </c>
      <c r="AN805" s="10" t="s">
        <v>2838</v>
      </c>
      <c r="AO805" s="10" t="str">
        <f t="shared" si="168"/>
        <v>Faible</v>
      </c>
    </row>
    <row r="806" spans="1:41">
      <c r="A806" t="s">
        <v>2386</v>
      </c>
      <c r="B806" s="2">
        <v>45948</v>
      </c>
      <c r="C806" t="s">
        <v>2358</v>
      </c>
      <c r="D806" t="s">
        <v>333</v>
      </c>
      <c r="E806" t="s">
        <v>189</v>
      </c>
      <c r="F806" t="s">
        <v>121</v>
      </c>
      <c r="G806">
        <v>5</v>
      </c>
      <c r="H806" s="4">
        <v>65</v>
      </c>
      <c r="I806" s="3">
        <v>0</v>
      </c>
      <c r="J806" t="s">
        <v>90</v>
      </c>
      <c r="K806" t="s">
        <v>46</v>
      </c>
      <c r="L806" t="s">
        <v>2359</v>
      </c>
      <c r="M806" t="s">
        <v>69</v>
      </c>
      <c r="N806" t="s">
        <v>101</v>
      </c>
      <c r="O806" t="s">
        <v>336</v>
      </c>
      <c r="P806" t="s">
        <v>51</v>
      </c>
      <c r="Q806" t="s">
        <v>52</v>
      </c>
      <c r="R806" t="s">
        <v>193</v>
      </c>
      <c r="S806" t="s">
        <v>79</v>
      </c>
      <c r="T806" t="s">
        <v>125</v>
      </c>
      <c r="U806" s="5">
        <v>56</v>
      </c>
      <c r="V806" s="5" t="s">
        <v>85</v>
      </c>
      <c r="W806" s="5">
        <v>62</v>
      </c>
      <c r="X806" s="5">
        <v>8.9</v>
      </c>
      <c r="Y806" s="5">
        <v>1</v>
      </c>
      <c r="Z806" s="5" t="s">
        <v>94</v>
      </c>
      <c r="AA806" s="6">
        <v>47.45</v>
      </c>
      <c r="AB806" s="8">
        <f t="shared" si="156"/>
        <v>325</v>
      </c>
      <c r="AC806" s="8">
        <f t="shared" si="157"/>
        <v>0</v>
      </c>
      <c r="AD806" s="8">
        <f t="shared" si="158"/>
        <v>325</v>
      </c>
      <c r="AE806" s="8">
        <f t="shared" si="159"/>
        <v>237.25</v>
      </c>
      <c r="AF806" s="8">
        <f t="shared" si="160"/>
        <v>87.75</v>
      </c>
      <c r="AG806" s="9">
        <f t="shared" si="161"/>
        <v>0.27</v>
      </c>
      <c r="AH806" s="10">
        <f t="shared" si="162"/>
        <v>2025</v>
      </c>
      <c r="AI806" s="10">
        <f t="shared" si="163"/>
        <v>10</v>
      </c>
      <c r="AJ806" s="10" t="str">
        <f t="shared" si="164"/>
        <v>2025-10</v>
      </c>
      <c r="AK806" s="10" t="str">
        <f t="shared" si="165"/>
        <v>T4</v>
      </c>
      <c r="AL806" s="10" t="str">
        <f t="shared" si="166"/>
        <v>50+</v>
      </c>
      <c r="AM806" s="10" t="str">
        <f t="shared" si="167"/>
        <v>bon</v>
      </c>
      <c r="AN806" s="10" t="s">
        <v>2838</v>
      </c>
      <c r="AO806" s="10" t="str">
        <f t="shared" si="168"/>
        <v>Faible</v>
      </c>
    </row>
    <row r="807" spans="1:41">
      <c r="A807" t="s">
        <v>2387</v>
      </c>
      <c r="B807" s="2">
        <v>45907</v>
      </c>
      <c r="C807" t="s">
        <v>2388</v>
      </c>
      <c r="D807" t="s">
        <v>340</v>
      </c>
      <c r="E807" t="s">
        <v>129</v>
      </c>
      <c r="F807" t="s">
        <v>434</v>
      </c>
      <c r="G807">
        <v>5</v>
      </c>
      <c r="H807" s="4">
        <v>22</v>
      </c>
      <c r="I807" s="3">
        <v>0</v>
      </c>
      <c r="J807" t="s">
        <v>45</v>
      </c>
      <c r="K807" t="s">
        <v>46</v>
      </c>
      <c r="L807" t="s">
        <v>2389</v>
      </c>
      <c r="M807" t="s">
        <v>48</v>
      </c>
      <c r="N807" t="s">
        <v>101</v>
      </c>
      <c r="O807" t="s">
        <v>342</v>
      </c>
      <c r="P807" t="s">
        <v>103</v>
      </c>
      <c r="Q807" t="s">
        <v>143</v>
      </c>
      <c r="R807" t="s">
        <v>134</v>
      </c>
      <c r="S807" t="s">
        <v>123</v>
      </c>
      <c r="T807" t="s">
        <v>436</v>
      </c>
      <c r="U807" s="5">
        <v>24</v>
      </c>
      <c r="V807" s="5" t="s">
        <v>56</v>
      </c>
      <c r="W807" s="5">
        <v>60</v>
      </c>
      <c r="X807" s="5">
        <v>7.6</v>
      </c>
      <c r="Y807" s="5">
        <v>2</v>
      </c>
      <c r="Z807" s="5" t="s">
        <v>57</v>
      </c>
      <c r="AA807" s="6">
        <v>14.96</v>
      </c>
      <c r="AB807" s="8">
        <f t="shared" si="156"/>
        <v>110</v>
      </c>
      <c r="AC807" s="8">
        <f t="shared" si="157"/>
        <v>0</v>
      </c>
      <c r="AD807" s="8">
        <f t="shared" si="158"/>
        <v>110</v>
      </c>
      <c r="AE807" s="8">
        <f t="shared" si="159"/>
        <v>74.800000000000011</v>
      </c>
      <c r="AF807" s="8">
        <f t="shared" si="160"/>
        <v>35.199999999999989</v>
      </c>
      <c r="AG807" s="9">
        <f t="shared" si="161"/>
        <v>0.3199999999999999</v>
      </c>
      <c r="AH807" s="10">
        <f t="shared" si="162"/>
        <v>2025</v>
      </c>
      <c r="AI807" s="10">
        <f t="shared" si="163"/>
        <v>9</v>
      </c>
      <c r="AJ807" s="10" t="str">
        <f t="shared" si="164"/>
        <v>2025-09</v>
      </c>
      <c r="AK807" s="10" t="str">
        <f t="shared" si="165"/>
        <v>T3</v>
      </c>
      <c r="AL807" s="10" t="str">
        <f t="shared" si="166"/>
        <v>22-29</v>
      </c>
      <c r="AM807" s="10" t="str">
        <f t="shared" si="167"/>
        <v>bon</v>
      </c>
      <c r="AN807" s="10" t="s">
        <v>2838</v>
      </c>
      <c r="AO807" s="10" t="str">
        <f t="shared" si="168"/>
        <v>Faible</v>
      </c>
    </row>
    <row r="808" spans="1:41">
      <c r="A808" t="s">
        <v>2390</v>
      </c>
      <c r="B808" s="2">
        <v>45911</v>
      </c>
      <c r="C808" t="s">
        <v>2391</v>
      </c>
      <c r="D808" t="s">
        <v>162</v>
      </c>
      <c r="E808" t="s">
        <v>207</v>
      </c>
      <c r="F808" t="s">
        <v>396</v>
      </c>
      <c r="G808">
        <v>10</v>
      </c>
      <c r="H808" s="4">
        <v>35</v>
      </c>
      <c r="I808" s="3">
        <v>0</v>
      </c>
      <c r="J808" t="s">
        <v>45</v>
      </c>
      <c r="K808" t="s">
        <v>46</v>
      </c>
      <c r="L808" t="s">
        <v>2392</v>
      </c>
      <c r="M808" t="s">
        <v>54</v>
      </c>
      <c r="N808" t="s">
        <v>49</v>
      </c>
      <c r="O808" t="s">
        <v>166</v>
      </c>
      <c r="P808" t="s">
        <v>103</v>
      </c>
      <c r="Q808" t="s">
        <v>143</v>
      </c>
      <c r="R808" t="s">
        <v>210</v>
      </c>
      <c r="S808" t="s">
        <v>79</v>
      </c>
      <c r="T808" t="s">
        <v>398</v>
      </c>
      <c r="U808" s="5">
        <v>37</v>
      </c>
      <c r="V808" s="5" t="s">
        <v>85</v>
      </c>
      <c r="W808" s="5">
        <v>56</v>
      </c>
      <c r="X808" s="5">
        <v>7.1</v>
      </c>
      <c r="Y808" s="5">
        <v>4</v>
      </c>
      <c r="Z808" s="5" t="s">
        <v>57</v>
      </c>
      <c r="AA808" s="6">
        <v>24.15</v>
      </c>
      <c r="AB808" s="8">
        <f t="shared" si="156"/>
        <v>350</v>
      </c>
      <c r="AC808" s="8">
        <f t="shared" si="157"/>
        <v>0</v>
      </c>
      <c r="AD808" s="8">
        <f t="shared" si="158"/>
        <v>350</v>
      </c>
      <c r="AE808" s="8">
        <f t="shared" si="159"/>
        <v>241.5</v>
      </c>
      <c r="AF808" s="8">
        <f t="shared" si="160"/>
        <v>108.5</v>
      </c>
      <c r="AG808" s="9">
        <f t="shared" si="161"/>
        <v>0.31</v>
      </c>
      <c r="AH808" s="10">
        <f t="shared" si="162"/>
        <v>2025</v>
      </c>
      <c r="AI808" s="10">
        <f t="shared" si="163"/>
        <v>9</v>
      </c>
      <c r="AJ808" s="10" t="str">
        <f t="shared" si="164"/>
        <v>2025-09</v>
      </c>
      <c r="AK808" s="10" t="str">
        <f t="shared" si="165"/>
        <v>T3</v>
      </c>
      <c r="AL808" s="10" t="str">
        <f t="shared" si="166"/>
        <v>30-39</v>
      </c>
      <c r="AM808" s="10" t="str">
        <f t="shared" si="167"/>
        <v>bon</v>
      </c>
      <c r="AN808" s="10" t="s">
        <v>2839</v>
      </c>
      <c r="AO808" s="10" t="str">
        <f t="shared" si="168"/>
        <v>Faible</v>
      </c>
    </row>
    <row r="809" spans="1:41">
      <c r="A809" t="s">
        <v>2393</v>
      </c>
      <c r="B809" s="2">
        <v>45972</v>
      </c>
      <c r="C809" t="s">
        <v>2394</v>
      </c>
      <c r="D809" t="s">
        <v>60</v>
      </c>
      <c r="E809" t="s">
        <v>189</v>
      </c>
      <c r="F809" t="s">
        <v>439</v>
      </c>
      <c r="G809">
        <v>2</v>
      </c>
      <c r="H809" s="4">
        <v>180</v>
      </c>
      <c r="I809" s="3">
        <v>0</v>
      </c>
      <c r="J809" t="s">
        <v>90</v>
      </c>
      <c r="K809" t="s">
        <v>46</v>
      </c>
      <c r="L809" t="s">
        <v>2395</v>
      </c>
      <c r="M809" t="s">
        <v>79</v>
      </c>
      <c r="N809" t="s">
        <v>49</v>
      </c>
      <c r="O809" t="s">
        <v>66</v>
      </c>
      <c r="P809" t="s">
        <v>67</v>
      </c>
      <c r="Q809" t="s">
        <v>52</v>
      </c>
      <c r="R809" t="s">
        <v>193</v>
      </c>
      <c r="S809" t="s">
        <v>79</v>
      </c>
      <c r="T809" t="s">
        <v>441</v>
      </c>
      <c r="U809" s="5">
        <v>42</v>
      </c>
      <c r="V809" s="5" t="s">
        <v>56</v>
      </c>
      <c r="W809" s="5">
        <v>41</v>
      </c>
      <c r="X809" s="5">
        <v>3.8</v>
      </c>
      <c r="Y809" s="5">
        <v>9</v>
      </c>
      <c r="Z809" s="5" t="s">
        <v>57</v>
      </c>
      <c r="AA809" s="6">
        <v>129.6</v>
      </c>
      <c r="AB809" s="8">
        <f t="shared" si="156"/>
        <v>360</v>
      </c>
      <c r="AC809" s="8">
        <f t="shared" si="157"/>
        <v>0</v>
      </c>
      <c r="AD809" s="8">
        <f t="shared" si="158"/>
        <v>360</v>
      </c>
      <c r="AE809" s="8">
        <f t="shared" si="159"/>
        <v>259.2</v>
      </c>
      <c r="AF809" s="8">
        <f t="shared" si="160"/>
        <v>100.80000000000001</v>
      </c>
      <c r="AG809" s="9">
        <f t="shared" si="161"/>
        <v>0.28000000000000003</v>
      </c>
      <c r="AH809" s="10">
        <f t="shared" si="162"/>
        <v>2025</v>
      </c>
      <c r="AI809" s="10">
        <f t="shared" si="163"/>
        <v>11</v>
      </c>
      <c r="AJ809" s="10" t="str">
        <f t="shared" si="164"/>
        <v>2025-11</v>
      </c>
      <c r="AK809" s="10" t="str">
        <f t="shared" si="165"/>
        <v>T4</v>
      </c>
      <c r="AL809" s="10" t="str">
        <f t="shared" si="166"/>
        <v>40-49</v>
      </c>
      <c r="AM809" s="10" t="str">
        <f t="shared" si="167"/>
        <v>faible</v>
      </c>
      <c r="AN809" s="10" t="s">
        <v>2837</v>
      </c>
      <c r="AO809" s="10" t="str">
        <f t="shared" si="168"/>
        <v>Faible</v>
      </c>
    </row>
    <row r="810" spans="1:41">
      <c r="A810" t="s">
        <v>2396</v>
      </c>
      <c r="B810" s="2">
        <v>45828</v>
      </c>
      <c r="C810" t="s">
        <v>2397</v>
      </c>
      <c r="D810" t="s">
        <v>181</v>
      </c>
      <c r="E810" t="s">
        <v>88</v>
      </c>
      <c r="F810" t="s">
        <v>813</v>
      </c>
      <c r="G810">
        <v>3</v>
      </c>
      <c r="H810" s="4">
        <v>145</v>
      </c>
      <c r="I810" s="3">
        <v>0.1</v>
      </c>
      <c r="J810" t="s">
        <v>77</v>
      </c>
      <c r="K810" t="s">
        <v>46</v>
      </c>
      <c r="L810" t="s">
        <v>2398</v>
      </c>
      <c r="M810" t="s">
        <v>48</v>
      </c>
      <c r="N810" t="s">
        <v>49</v>
      </c>
      <c r="O810" t="s">
        <v>184</v>
      </c>
      <c r="P810" t="s">
        <v>103</v>
      </c>
      <c r="Q810" t="s">
        <v>52</v>
      </c>
      <c r="R810" t="s">
        <v>92</v>
      </c>
      <c r="S810" t="s">
        <v>48</v>
      </c>
      <c r="T810" t="s">
        <v>815</v>
      </c>
      <c r="U810" s="5">
        <v>38</v>
      </c>
      <c r="V810" s="5" t="s">
        <v>85</v>
      </c>
      <c r="W810" s="5">
        <v>8</v>
      </c>
      <c r="X810" s="5">
        <v>4.3</v>
      </c>
      <c r="Y810" s="5">
        <v>9</v>
      </c>
      <c r="Z810" s="5" t="s">
        <v>117</v>
      </c>
      <c r="AA810" s="6">
        <v>97.15</v>
      </c>
      <c r="AB810" s="8">
        <f t="shared" si="156"/>
        <v>435</v>
      </c>
      <c r="AC810" s="8">
        <f t="shared" si="157"/>
        <v>43.5</v>
      </c>
      <c r="AD810" s="8">
        <f t="shared" si="158"/>
        <v>391.5</v>
      </c>
      <c r="AE810" s="8">
        <f t="shared" si="159"/>
        <v>291.45000000000005</v>
      </c>
      <c r="AF810" s="8">
        <f t="shared" si="160"/>
        <v>100.04999999999995</v>
      </c>
      <c r="AG810" s="9">
        <f t="shared" si="161"/>
        <v>0.25555555555555542</v>
      </c>
      <c r="AH810" s="10">
        <f t="shared" si="162"/>
        <v>2025</v>
      </c>
      <c r="AI810" s="10">
        <f t="shared" si="163"/>
        <v>6</v>
      </c>
      <c r="AJ810" s="10" t="str">
        <f t="shared" si="164"/>
        <v>2025-06</v>
      </c>
      <c r="AK810" s="10" t="str">
        <f t="shared" si="165"/>
        <v>T2</v>
      </c>
      <c r="AL810" s="10" t="str">
        <f t="shared" si="166"/>
        <v>30-39</v>
      </c>
      <c r="AM810" s="10" t="str">
        <f t="shared" si="167"/>
        <v>faible</v>
      </c>
      <c r="AN810" s="10" t="s">
        <v>2837</v>
      </c>
      <c r="AO810" s="10" t="str">
        <f t="shared" si="168"/>
        <v>Faible</v>
      </c>
    </row>
    <row r="811" spans="1:41">
      <c r="A811" t="s">
        <v>2399</v>
      </c>
      <c r="B811" s="2">
        <v>45678</v>
      </c>
      <c r="C811" t="s">
        <v>2400</v>
      </c>
      <c r="D811" t="s">
        <v>181</v>
      </c>
      <c r="E811" t="s">
        <v>129</v>
      </c>
      <c r="F811" t="s">
        <v>253</v>
      </c>
      <c r="G811">
        <v>2</v>
      </c>
      <c r="H811" s="4">
        <v>145</v>
      </c>
      <c r="I811" s="3">
        <v>0.08</v>
      </c>
      <c r="J811" t="s">
        <v>77</v>
      </c>
      <c r="K811" t="s">
        <v>46</v>
      </c>
      <c r="L811" t="s">
        <v>2401</v>
      </c>
      <c r="M811" t="s">
        <v>123</v>
      </c>
      <c r="N811" t="s">
        <v>101</v>
      </c>
      <c r="O811" t="s">
        <v>184</v>
      </c>
      <c r="P811" t="s">
        <v>103</v>
      </c>
      <c r="Q811" t="s">
        <v>52</v>
      </c>
      <c r="R811" t="s">
        <v>134</v>
      </c>
      <c r="S811" t="s">
        <v>123</v>
      </c>
      <c r="T811" t="s">
        <v>256</v>
      </c>
      <c r="U811" s="5">
        <v>22</v>
      </c>
      <c r="V811" s="5" t="s">
        <v>85</v>
      </c>
      <c r="W811" s="5">
        <v>20</v>
      </c>
      <c r="X811" s="5">
        <v>8.1</v>
      </c>
      <c r="Y811" s="5">
        <v>3</v>
      </c>
      <c r="Z811" s="5" t="s">
        <v>71</v>
      </c>
      <c r="AA811" s="6">
        <v>97.15</v>
      </c>
      <c r="AB811" s="8">
        <f t="shared" si="156"/>
        <v>290</v>
      </c>
      <c r="AC811" s="8">
        <f t="shared" si="157"/>
        <v>23.2</v>
      </c>
      <c r="AD811" s="8">
        <f t="shared" si="158"/>
        <v>266.8</v>
      </c>
      <c r="AE811" s="8">
        <f t="shared" si="159"/>
        <v>194.3</v>
      </c>
      <c r="AF811" s="8">
        <f t="shared" si="160"/>
        <v>72.5</v>
      </c>
      <c r="AG811" s="9">
        <f t="shared" si="161"/>
        <v>0.27173913043478259</v>
      </c>
      <c r="AH811" s="10">
        <f t="shared" si="162"/>
        <v>2025</v>
      </c>
      <c r="AI811" s="10">
        <f t="shared" si="163"/>
        <v>1</v>
      </c>
      <c r="AJ811" s="10" t="str">
        <f t="shared" si="164"/>
        <v>2025-01</v>
      </c>
      <c r="AK811" s="10" t="str">
        <f t="shared" si="165"/>
        <v>T1</v>
      </c>
      <c r="AL811" s="10" t="str">
        <f t="shared" si="166"/>
        <v>22-29</v>
      </c>
      <c r="AM811" s="10" t="str">
        <f t="shared" si="167"/>
        <v>bon</v>
      </c>
      <c r="AN811" s="10" t="s">
        <v>2838</v>
      </c>
      <c r="AO811" s="10" t="str">
        <f t="shared" si="168"/>
        <v>Faible</v>
      </c>
    </row>
    <row r="812" spans="1:41">
      <c r="A812" t="s">
        <v>2402</v>
      </c>
      <c r="B812" s="2">
        <v>45667</v>
      </c>
      <c r="C812" t="s">
        <v>1481</v>
      </c>
      <c r="D812" t="s">
        <v>188</v>
      </c>
      <c r="E812" t="s">
        <v>43</v>
      </c>
      <c r="F812" t="s">
        <v>238</v>
      </c>
      <c r="G812">
        <v>2</v>
      </c>
      <c r="H812" s="4">
        <v>350</v>
      </c>
      <c r="I812" s="3">
        <v>0.08</v>
      </c>
      <c r="J812" t="s">
        <v>90</v>
      </c>
      <c r="K812" t="s">
        <v>46</v>
      </c>
      <c r="L812" t="s">
        <v>1482</v>
      </c>
      <c r="M812" t="s">
        <v>79</v>
      </c>
      <c r="N812" t="s">
        <v>112</v>
      </c>
      <c r="O812" t="s">
        <v>192</v>
      </c>
      <c r="P812" t="s">
        <v>51</v>
      </c>
      <c r="Q812" t="s">
        <v>114</v>
      </c>
      <c r="R812" t="s">
        <v>53</v>
      </c>
      <c r="S812" t="s">
        <v>54</v>
      </c>
      <c r="T812" t="s">
        <v>240</v>
      </c>
      <c r="U812" s="5">
        <v>46</v>
      </c>
      <c r="V812" s="5" t="s">
        <v>56</v>
      </c>
      <c r="W812" s="5">
        <v>29</v>
      </c>
      <c r="X812" s="5">
        <v>4.8</v>
      </c>
      <c r="Y812" s="5">
        <v>8</v>
      </c>
      <c r="Z812" s="5" t="s">
        <v>57</v>
      </c>
      <c r="AA812" s="6">
        <v>213.5</v>
      </c>
      <c r="AB812" s="8">
        <f t="shared" si="156"/>
        <v>700</v>
      </c>
      <c r="AC812" s="8">
        <f t="shared" si="157"/>
        <v>56</v>
      </c>
      <c r="AD812" s="8">
        <f t="shared" si="158"/>
        <v>644</v>
      </c>
      <c r="AE812" s="8">
        <f t="shared" si="159"/>
        <v>427</v>
      </c>
      <c r="AF812" s="8">
        <f t="shared" si="160"/>
        <v>217</v>
      </c>
      <c r="AG812" s="9">
        <f t="shared" si="161"/>
        <v>0.33695652173913043</v>
      </c>
      <c r="AH812" s="10">
        <f t="shared" si="162"/>
        <v>2025</v>
      </c>
      <c r="AI812" s="10">
        <f t="shared" si="163"/>
        <v>1</v>
      </c>
      <c r="AJ812" s="10" t="str">
        <f t="shared" si="164"/>
        <v>2025-01</v>
      </c>
      <c r="AK812" s="10" t="str">
        <f t="shared" si="165"/>
        <v>T1</v>
      </c>
      <c r="AL812" s="10" t="str">
        <f t="shared" si="166"/>
        <v>40-49</v>
      </c>
      <c r="AM812" s="10" t="str">
        <f t="shared" si="167"/>
        <v>faible</v>
      </c>
      <c r="AN812" s="10" t="s">
        <v>2837</v>
      </c>
      <c r="AO812" s="10" t="str">
        <f t="shared" si="168"/>
        <v>Moyenne</v>
      </c>
    </row>
    <row r="813" spans="1:41">
      <c r="A813" t="s">
        <v>2403</v>
      </c>
      <c r="B813" s="2">
        <v>45819</v>
      </c>
      <c r="C813" t="s">
        <v>2404</v>
      </c>
      <c r="D813" t="s">
        <v>155</v>
      </c>
      <c r="E813" t="s">
        <v>163</v>
      </c>
      <c r="F813" t="s">
        <v>323</v>
      </c>
      <c r="G813">
        <v>5</v>
      </c>
      <c r="H813" s="4">
        <v>48</v>
      </c>
      <c r="I813" s="3">
        <v>0</v>
      </c>
      <c r="J813" t="s">
        <v>63</v>
      </c>
      <c r="K813" t="s">
        <v>46</v>
      </c>
      <c r="L813" t="s">
        <v>2405</v>
      </c>
      <c r="M813" t="s">
        <v>79</v>
      </c>
      <c r="N813" t="s">
        <v>101</v>
      </c>
      <c r="O813" t="s">
        <v>158</v>
      </c>
      <c r="P813" t="s">
        <v>51</v>
      </c>
      <c r="Q813" t="s">
        <v>143</v>
      </c>
      <c r="R813" t="s">
        <v>167</v>
      </c>
      <c r="S813" t="s">
        <v>123</v>
      </c>
      <c r="T813" t="s">
        <v>325</v>
      </c>
      <c r="U813" s="5">
        <v>33</v>
      </c>
      <c r="V813" s="5" t="s">
        <v>85</v>
      </c>
      <c r="W813" s="5">
        <v>59</v>
      </c>
      <c r="X813" s="5">
        <v>7.4</v>
      </c>
      <c r="Y813" s="5">
        <v>2</v>
      </c>
      <c r="Z813" s="5" t="s">
        <v>71</v>
      </c>
      <c r="AA813" s="6">
        <v>37.44</v>
      </c>
      <c r="AB813" s="8">
        <f t="shared" si="156"/>
        <v>240</v>
      </c>
      <c r="AC813" s="8">
        <f t="shared" si="157"/>
        <v>0</v>
      </c>
      <c r="AD813" s="8">
        <f t="shared" si="158"/>
        <v>240</v>
      </c>
      <c r="AE813" s="8">
        <f t="shared" si="159"/>
        <v>187.2</v>
      </c>
      <c r="AF813" s="8">
        <f t="shared" si="160"/>
        <v>52.800000000000011</v>
      </c>
      <c r="AG813" s="9">
        <f t="shared" si="161"/>
        <v>0.22000000000000006</v>
      </c>
      <c r="AH813" s="10">
        <f t="shared" si="162"/>
        <v>2025</v>
      </c>
      <c r="AI813" s="10">
        <f t="shared" si="163"/>
        <v>6</v>
      </c>
      <c r="AJ813" s="10" t="str">
        <f t="shared" si="164"/>
        <v>2025-06</v>
      </c>
      <c r="AK813" s="10" t="str">
        <f t="shared" si="165"/>
        <v>T2</v>
      </c>
      <c r="AL813" s="10" t="str">
        <f t="shared" si="166"/>
        <v>30-39</v>
      </c>
      <c r="AM813" s="10" t="str">
        <f t="shared" si="167"/>
        <v>bon</v>
      </c>
      <c r="AN813" s="10" t="s">
        <v>2838</v>
      </c>
      <c r="AO813" s="10" t="str">
        <f t="shared" si="168"/>
        <v>Faible</v>
      </c>
    </row>
    <row r="814" spans="1:41">
      <c r="A814" t="s">
        <v>2406</v>
      </c>
      <c r="B814" s="2">
        <v>45793</v>
      </c>
      <c r="C814" t="s">
        <v>2407</v>
      </c>
      <c r="D814" t="s">
        <v>162</v>
      </c>
      <c r="E814" t="s">
        <v>109</v>
      </c>
      <c r="F814" t="s">
        <v>227</v>
      </c>
      <c r="G814">
        <v>1</v>
      </c>
      <c r="H814" s="4">
        <v>35</v>
      </c>
      <c r="I814" s="3">
        <v>0</v>
      </c>
      <c r="J814" t="s">
        <v>90</v>
      </c>
      <c r="K814" t="s">
        <v>46</v>
      </c>
      <c r="L814" t="s">
        <v>2408</v>
      </c>
      <c r="M814" t="s">
        <v>48</v>
      </c>
      <c r="N814" t="s">
        <v>101</v>
      </c>
      <c r="O814" t="s">
        <v>166</v>
      </c>
      <c r="P814" t="s">
        <v>103</v>
      </c>
      <c r="Q814" t="s">
        <v>143</v>
      </c>
      <c r="R814" t="s">
        <v>115</v>
      </c>
      <c r="S814" t="s">
        <v>65</v>
      </c>
      <c r="T814" t="s">
        <v>230</v>
      </c>
      <c r="U814" s="5">
        <v>32</v>
      </c>
      <c r="V814" s="5" t="s">
        <v>56</v>
      </c>
      <c r="W814" s="5">
        <v>3</v>
      </c>
      <c r="X814" s="5">
        <v>8.6999999999999993</v>
      </c>
      <c r="Y814" s="5">
        <v>2</v>
      </c>
      <c r="Z814" s="5" t="s">
        <v>117</v>
      </c>
      <c r="AA814" s="6">
        <v>24.15</v>
      </c>
      <c r="AB814" s="8">
        <f t="shared" si="156"/>
        <v>35</v>
      </c>
      <c r="AC814" s="8">
        <f t="shared" si="157"/>
        <v>0</v>
      </c>
      <c r="AD814" s="8">
        <f t="shared" si="158"/>
        <v>35</v>
      </c>
      <c r="AE814" s="8">
        <f t="shared" si="159"/>
        <v>24.15</v>
      </c>
      <c r="AF814" s="8">
        <f t="shared" si="160"/>
        <v>10.850000000000001</v>
      </c>
      <c r="AG814" s="9">
        <f t="shared" si="161"/>
        <v>0.31000000000000005</v>
      </c>
      <c r="AH814" s="10">
        <f t="shared" si="162"/>
        <v>2025</v>
      </c>
      <c r="AI814" s="10">
        <f t="shared" si="163"/>
        <v>5</v>
      </c>
      <c r="AJ814" s="10" t="str">
        <f t="shared" si="164"/>
        <v>2025-05</v>
      </c>
      <c r="AK814" s="10" t="str">
        <f t="shared" si="165"/>
        <v>T2</v>
      </c>
      <c r="AL814" s="10" t="str">
        <f t="shared" si="166"/>
        <v>30-39</v>
      </c>
      <c r="AM814" s="10" t="str">
        <f t="shared" si="167"/>
        <v>bon</v>
      </c>
      <c r="AN814" s="10" t="s">
        <v>2838</v>
      </c>
      <c r="AO814" s="10" t="str">
        <f t="shared" si="168"/>
        <v>Faible</v>
      </c>
    </row>
    <row r="815" spans="1:41">
      <c r="A815" t="s">
        <v>2409</v>
      </c>
      <c r="B815" s="2">
        <v>45878</v>
      </c>
      <c r="C815" t="s">
        <v>1081</v>
      </c>
      <c r="D815" t="s">
        <v>162</v>
      </c>
      <c r="E815" t="s">
        <v>226</v>
      </c>
      <c r="F815" t="s">
        <v>76</v>
      </c>
      <c r="G815">
        <v>1</v>
      </c>
      <c r="H815" s="4">
        <v>35</v>
      </c>
      <c r="I815" s="3">
        <v>0</v>
      </c>
      <c r="J815" t="s">
        <v>77</v>
      </c>
      <c r="K815" t="s">
        <v>46</v>
      </c>
      <c r="L815" t="s">
        <v>1082</v>
      </c>
      <c r="M815" t="s">
        <v>65</v>
      </c>
      <c r="N815" t="s">
        <v>49</v>
      </c>
      <c r="O815" t="s">
        <v>166</v>
      </c>
      <c r="P815" t="s">
        <v>103</v>
      </c>
      <c r="Q815" t="s">
        <v>143</v>
      </c>
      <c r="R815" t="s">
        <v>229</v>
      </c>
      <c r="S815" t="s">
        <v>48</v>
      </c>
      <c r="T815" t="s">
        <v>84</v>
      </c>
      <c r="U815" s="5">
        <v>30</v>
      </c>
      <c r="V815" s="5" t="s">
        <v>56</v>
      </c>
      <c r="W815" s="5">
        <v>17</v>
      </c>
      <c r="X815" s="5">
        <v>3.1</v>
      </c>
      <c r="Y815" s="5">
        <v>9</v>
      </c>
      <c r="Z815" s="5" t="s">
        <v>57</v>
      </c>
      <c r="AA815" s="6">
        <v>24.15</v>
      </c>
      <c r="AB815" s="8">
        <f t="shared" si="156"/>
        <v>35</v>
      </c>
      <c r="AC815" s="8">
        <f t="shared" si="157"/>
        <v>0</v>
      </c>
      <c r="AD815" s="8">
        <f t="shared" si="158"/>
        <v>35</v>
      </c>
      <c r="AE815" s="8">
        <f t="shared" si="159"/>
        <v>24.15</v>
      </c>
      <c r="AF815" s="8">
        <f t="shared" si="160"/>
        <v>10.850000000000001</v>
      </c>
      <c r="AG815" s="9">
        <f t="shared" si="161"/>
        <v>0.31000000000000005</v>
      </c>
      <c r="AH815" s="10">
        <f t="shared" si="162"/>
        <v>2025</v>
      </c>
      <c r="AI815" s="10">
        <f t="shared" si="163"/>
        <v>8</v>
      </c>
      <c r="AJ815" s="10" t="str">
        <f t="shared" si="164"/>
        <v>2025-08</v>
      </c>
      <c r="AK815" s="10" t="str">
        <f t="shared" si="165"/>
        <v>T3</v>
      </c>
      <c r="AL815" s="10" t="str">
        <f t="shared" si="166"/>
        <v>30-39</v>
      </c>
      <c r="AM815" s="10" t="str">
        <f t="shared" si="167"/>
        <v>faible</v>
      </c>
      <c r="AN815" s="10" t="s">
        <v>2837</v>
      </c>
      <c r="AO815" s="10" t="str">
        <f t="shared" si="168"/>
        <v>Faible</v>
      </c>
    </row>
    <row r="816" spans="1:41">
      <c r="A816" t="s">
        <v>2410</v>
      </c>
      <c r="B816" s="2">
        <v>45985</v>
      </c>
      <c r="C816" t="s">
        <v>2411</v>
      </c>
      <c r="D816" t="s">
        <v>138</v>
      </c>
      <c r="E816" t="s">
        <v>207</v>
      </c>
      <c r="F816" t="s">
        <v>548</v>
      </c>
      <c r="G816">
        <v>4</v>
      </c>
      <c r="H816" s="4">
        <v>120</v>
      </c>
      <c r="I816" s="3">
        <v>0.1</v>
      </c>
      <c r="J816" t="s">
        <v>90</v>
      </c>
      <c r="K816" t="s">
        <v>46</v>
      </c>
      <c r="L816" t="s">
        <v>2412</v>
      </c>
      <c r="M816" t="s">
        <v>48</v>
      </c>
      <c r="N816" t="s">
        <v>255</v>
      </c>
      <c r="O816" t="s">
        <v>142</v>
      </c>
      <c r="P816" t="s">
        <v>51</v>
      </c>
      <c r="Q816" t="s">
        <v>143</v>
      </c>
      <c r="R816" t="s">
        <v>210</v>
      </c>
      <c r="S816" t="s">
        <v>79</v>
      </c>
      <c r="T816" t="s">
        <v>550</v>
      </c>
      <c r="U816" s="5">
        <v>35</v>
      </c>
      <c r="V816" s="5" t="s">
        <v>56</v>
      </c>
      <c r="W816" s="5">
        <v>65</v>
      </c>
      <c r="X816" s="5">
        <v>6.9</v>
      </c>
      <c r="Y816" s="5">
        <v>4</v>
      </c>
      <c r="Z816" s="5" t="s">
        <v>57</v>
      </c>
      <c r="AA816" s="6">
        <v>73.2</v>
      </c>
      <c r="AB816" s="8">
        <f t="shared" si="156"/>
        <v>480</v>
      </c>
      <c r="AC816" s="8">
        <f t="shared" si="157"/>
        <v>48</v>
      </c>
      <c r="AD816" s="8">
        <f t="shared" si="158"/>
        <v>432</v>
      </c>
      <c r="AE816" s="8">
        <f t="shared" si="159"/>
        <v>292.8</v>
      </c>
      <c r="AF816" s="8">
        <f t="shared" si="160"/>
        <v>139.19999999999999</v>
      </c>
      <c r="AG816" s="9">
        <f t="shared" si="161"/>
        <v>0.32222222222222219</v>
      </c>
      <c r="AH816" s="10">
        <f t="shared" si="162"/>
        <v>2025</v>
      </c>
      <c r="AI816" s="10">
        <f t="shared" si="163"/>
        <v>11</v>
      </c>
      <c r="AJ816" s="10" t="str">
        <f t="shared" si="164"/>
        <v>2025-11</v>
      </c>
      <c r="AK816" s="10" t="str">
        <f t="shared" si="165"/>
        <v>T4</v>
      </c>
      <c r="AL816" s="10" t="str">
        <f t="shared" si="166"/>
        <v>30-39</v>
      </c>
      <c r="AM816" s="10" t="str">
        <f t="shared" si="167"/>
        <v>moyen</v>
      </c>
      <c r="AN816" s="10" t="s">
        <v>2839</v>
      </c>
      <c r="AO816" s="10" t="str">
        <f t="shared" si="168"/>
        <v>Faible</v>
      </c>
    </row>
    <row r="817" spans="1:41">
      <c r="A817" t="s">
        <v>2413</v>
      </c>
      <c r="B817" s="2">
        <v>45778</v>
      </c>
      <c r="C817" t="s">
        <v>2414</v>
      </c>
      <c r="D817" t="s">
        <v>74</v>
      </c>
      <c r="E817" t="s">
        <v>345</v>
      </c>
      <c r="F817" t="s">
        <v>302</v>
      </c>
      <c r="G817">
        <v>6</v>
      </c>
      <c r="H817" s="4">
        <v>95</v>
      </c>
      <c r="I817" s="3">
        <v>0.02</v>
      </c>
      <c r="J817" t="s">
        <v>77</v>
      </c>
      <c r="K817" t="s">
        <v>46</v>
      </c>
      <c r="L817" t="s">
        <v>2415</v>
      </c>
      <c r="M817" t="s">
        <v>48</v>
      </c>
      <c r="N817" t="s">
        <v>80</v>
      </c>
      <c r="O817" t="s">
        <v>81</v>
      </c>
      <c r="P817" t="s">
        <v>82</v>
      </c>
      <c r="Q817" t="s">
        <v>52</v>
      </c>
      <c r="R817" t="s">
        <v>347</v>
      </c>
      <c r="S817" t="s">
        <v>54</v>
      </c>
      <c r="T817" t="s">
        <v>304</v>
      </c>
      <c r="U817" s="5">
        <v>42</v>
      </c>
      <c r="V817" s="5" t="s">
        <v>56</v>
      </c>
      <c r="W817" s="5">
        <v>45</v>
      </c>
      <c r="X817" s="5">
        <v>3.8</v>
      </c>
      <c r="Y817" s="5">
        <v>9</v>
      </c>
      <c r="Z817" s="5" t="s">
        <v>117</v>
      </c>
      <c r="AA817" s="6">
        <v>70.3</v>
      </c>
      <c r="AB817" s="8">
        <f t="shared" si="156"/>
        <v>570</v>
      </c>
      <c r="AC817" s="8">
        <f t="shared" si="157"/>
        <v>11.4</v>
      </c>
      <c r="AD817" s="8">
        <f t="shared" si="158"/>
        <v>558.6</v>
      </c>
      <c r="AE817" s="8">
        <f t="shared" si="159"/>
        <v>421.79999999999995</v>
      </c>
      <c r="AF817" s="8">
        <f t="shared" si="160"/>
        <v>136.80000000000007</v>
      </c>
      <c r="AG817" s="9">
        <f t="shared" si="161"/>
        <v>0.24489795918367357</v>
      </c>
      <c r="AH817" s="10">
        <f t="shared" si="162"/>
        <v>2025</v>
      </c>
      <c r="AI817" s="10">
        <f t="shared" si="163"/>
        <v>5</v>
      </c>
      <c r="AJ817" s="10" t="str">
        <f t="shared" si="164"/>
        <v>2025-05</v>
      </c>
      <c r="AK817" s="10" t="str">
        <f t="shared" si="165"/>
        <v>T2</v>
      </c>
      <c r="AL817" s="10" t="str">
        <f t="shared" si="166"/>
        <v>40-49</v>
      </c>
      <c r="AM817" s="10" t="str">
        <f t="shared" si="167"/>
        <v>faible</v>
      </c>
      <c r="AN817" s="10" t="s">
        <v>2837</v>
      </c>
      <c r="AO817" s="10" t="str">
        <f t="shared" si="168"/>
        <v>Moyenne</v>
      </c>
    </row>
    <row r="818" spans="1:41">
      <c r="A818" t="s">
        <v>2416</v>
      </c>
      <c r="B818" s="2">
        <v>45826</v>
      </c>
      <c r="C818" t="s">
        <v>1140</v>
      </c>
      <c r="D818" t="s">
        <v>138</v>
      </c>
      <c r="E818" t="s">
        <v>129</v>
      </c>
      <c r="F818" t="s">
        <v>434</v>
      </c>
      <c r="G818">
        <v>3</v>
      </c>
      <c r="H818" s="4">
        <v>120</v>
      </c>
      <c r="I818" s="3">
        <v>0.02</v>
      </c>
      <c r="J818" t="s">
        <v>90</v>
      </c>
      <c r="K818" t="s">
        <v>46</v>
      </c>
      <c r="L818" t="s">
        <v>1141</v>
      </c>
      <c r="M818" t="s">
        <v>79</v>
      </c>
      <c r="N818" t="s">
        <v>80</v>
      </c>
      <c r="O818" t="s">
        <v>142</v>
      </c>
      <c r="P818" t="s">
        <v>51</v>
      </c>
      <c r="Q818" t="s">
        <v>143</v>
      </c>
      <c r="R818" t="s">
        <v>134</v>
      </c>
      <c r="S818" t="s">
        <v>123</v>
      </c>
      <c r="T818" t="s">
        <v>436</v>
      </c>
      <c r="U818" s="5">
        <v>27</v>
      </c>
      <c r="V818" s="5" t="s">
        <v>85</v>
      </c>
      <c r="W818" s="5">
        <v>40</v>
      </c>
      <c r="X818" s="5">
        <v>8.6999999999999993</v>
      </c>
      <c r="Y818" s="5">
        <v>2</v>
      </c>
      <c r="Z818" s="5" t="s">
        <v>71</v>
      </c>
      <c r="AA818" s="6">
        <v>73.2</v>
      </c>
      <c r="AB818" s="8">
        <f t="shared" si="156"/>
        <v>360</v>
      </c>
      <c r="AC818" s="8">
        <f t="shared" si="157"/>
        <v>7.2</v>
      </c>
      <c r="AD818" s="8">
        <f t="shared" si="158"/>
        <v>352.8</v>
      </c>
      <c r="AE818" s="8">
        <f t="shared" si="159"/>
        <v>219.60000000000002</v>
      </c>
      <c r="AF818" s="8">
        <f t="shared" si="160"/>
        <v>133.19999999999999</v>
      </c>
      <c r="AG818" s="9">
        <f t="shared" si="161"/>
        <v>0.37755102040816324</v>
      </c>
      <c r="AH818" s="10">
        <f t="shared" si="162"/>
        <v>2025</v>
      </c>
      <c r="AI818" s="10">
        <f t="shared" si="163"/>
        <v>6</v>
      </c>
      <c r="AJ818" s="10" t="str">
        <f t="shared" si="164"/>
        <v>2025-06</v>
      </c>
      <c r="AK818" s="10" t="str">
        <f t="shared" si="165"/>
        <v>T2</v>
      </c>
      <c r="AL818" s="10" t="str">
        <f t="shared" si="166"/>
        <v>22-29</v>
      </c>
      <c r="AM818" s="10" t="str">
        <f t="shared" si="167"/>
        <v>bon</v>
      </c>
      <c r="AN818" s="10" t="s">
        <v>2838</v>
      </c>
      <c r="AO818" s="10" t="str">
        <f t="shared" si="168"/>
        <v>Faible</v>
      </c>
    </row>
    <row r="819" spans="1:41">
      <c r="A819" t="s">
        <v>2417</v>
      </c>
      <c r="B819" s="2">
        <v>45789</v>
      </c>
      <c r="C819" t="s">
        <v>1925</v>
      </c>
      <c r="D819" t="s">
        <v>128</v>
      </c>
      <c r="E819" t="s">
        <v>43</v>
      </c>
      <c r="F819" t="s">
        <v>424</v>
      </c>
      <c r="G819">
        <v>2</v>
      </c>
      <c r="H819" s="4">
        <v>190</v>
      </c>
      <c r="I819" s="3">
        <v>0.02</v>
      </c>
      <c r="J819" t="s">
        <v>45</v>
      </c>
      <c r="K819" t="s">
        <v>46</v>
      </c>
      <c r="L819" t="s">
        <v>1926</v>
      </c>
      <c r="M819" t="s">
        <v>123</v>
      </c>
      <c r="N819" t="s">
        <v>80</v>
      </c>
      <c r="O819" t="s">
        <v>132</v>
      </c>
      <c r="P819" t="s">
        <v>133</v>
      </c>
      <c r="Q819" t="s">
        <v>52</v>
      </c>
      <c r="R819" t="s">
        <v>53</v>
      </c>
      <c r="S819" t="s">
        <v>54</v>
      </c>
      <c r="T819" t="s">
        <v>426</v>
      </c>
      <c r="U819" s="5">
        <v>26</v>
      </c>
      <c r="V819" s="5" t="s">
        <v>85</v>
      </c>
      <c r="W819" s="5">
        <v>68</v>
      </c>
      <c r="X819" s="5">
        <v>3.8</v>
      </c>
      <c r="Y819" s="5">
        <v>9</v>
      </c>
      <c r="Z819" s="5" t="s">
        <v>57</v>
      </c>
      <c r="AA819" s="6">
        <v>148.19999999999999</v>
      </c>
      <c r="AB819" s="8">
        <f t="shared" si="156"/>
        <v>380</v>
      </c>
      <c r="AC819" s="8">
        <f t="shared" si="157"/>
        <v>7.6000000000000005</v>
      </c>
      <c r="AD819" s="8">
        <f t="shared" si="158"/>
        <v>372.4</v>
      </c>
      <c r="AE819" s="8">
        <f t="shared" si="159"/>
        <v>296.39999999999998</v>
      </c>
      <c r="AF819" s="8">
        <f t="shared" si="160"/>
        <v>76</v>
      </c>
      <c r="AG819" s="9">
        <f t="shared" si="161"/>
        <v>0.20408163265306123</v>
      </c>
      <c r="AH819" s="10">
        <f t="shared" si="162"/>
        <v>2025</v>
      </c>
      <c r="AI819" s="10">
        <f t="shared" si="163"/>
        <v>5</v>
      </c>
      <c r="AJ819" s="10" t="str">
        <f t="shared" si="164"/>
        <v>2025-05</v>
      </c>
      <c r="AK819" s="10" t="str">
        <f t="shared" si="165"/>
        <v>T2</v>
      </c>
      <c r="AL819" s="10" t="str">
        <f t="shared" si="166"/>
        <v>22-29</v>
      </c>
      <c r="AM819" s="10" t="str">
        <f t="shared" si="167"/>
        <v>faible</v>
      </c>
      <c r="AN819" s="10" t="s">
        <v>2837</v>
      </c>
      <c r="AO819" s="10" t="str">
        <f t="shared" si="168"/>
        <v>Faible</v>
      </c>
    </row>
    <row r="820" spans="1:41">
      <c r="A820" t="s">
        <v>2418</v>
      </c>
      <c r="B820" s="2">
        <v>45935</v>
      </c>
      <c r="C820" t="s">
        <v>734</v>
      </c>
      <c r="D820" t="s">
        <v>97</v>
      </c>
      <c r="E820" t="s">
        <v>43</v>
      </c>
      <c r="F820" t="s">
        <v>220</v>
      </c>
      <c r="G820">
        <v>3</v>
      </c>
      <c r="H820" s="4">
        <v>520</v>
      </c>
      <c r="I820" s="3">
        <v>0.08</v>
      </c>
      <c r="J820" t="s">
        <v>90</v>
      </c>
      <c r="K820" t="s">
        <v>46</v>
      </c>
      <c r="L820" t="s">
        <v>735</v>
      </c>
      <c r="M820" t="s">
        <v>123</v>
      </c>
      <c r="N820" t="s">
        <v>80</v>
      </c>
      <c r="O820" t="s">
        <v>102</v>
      </c>
      <c r="P820" t="s">
        <v>103</v>
      </c>
      <c r="Q820" t="s">
        <v>52</v>
      </c>
      <c r="R820" t="s">
        <v>53</v>
      </c>
      <c r="S820" t="s">
        <v>54</v>
      </c>
      <c r="T820" t="s">
        <v>223</v>
      </c>
      <c r="U820" s="5">
        <v>53</v>
      </c>
      <c r="V820" s="5" t="s">
        <v>85</v>
      </c>
      <c r="W820" s="5">
        <v>30</v>
      </c>
      <c r="X820" s="5">
        <v>5.9</v>
      </c>
      <c r="Y820" s="5">
        <v>5</v>
      </c>
      <c r="Z820" s="5" t="s">
        <v>94</v>
      </c>
      <c r="AA820" s="6">
        <v>348.4</v>
      </c>
      <c r="AB820" s="8">
        <f t="shared" si="156"/>
        <v>1560</v>
      </c>
      <c r="AC820" s="8">
        <f t="shared" si="157"/>
        <v>124.8</v>
      </c>
      <c r="AD820" s="8">
        <f t="shared" si="158"/>
        <v>1435.2</v>
      </c>
      <c r="AE820" s="8">
        <f t="shared" si="159"/>
        <v>1045.1999999999998</v>
      </c>
      <c r="AF820" s="8">
        <f t="shared" si="160"/>
        <v>390.00000000000023</v>
      </c>
      <c r="AG820" s="9">
        <f t="shared" si="161"/>
        <v>0.27173913043478276</v>
      </c>
      <c r="AH820" s="10">
        <f t="shared" si="162"/>
        <v>2025</v>
      </c>
      <c r="AI820" s="10">
        <f t="shared" si="163"/>
        <v>10</v>
      </c>
      <c r="AJ820" s="10" t="str">
        <f t="shared" si="164"/>
        <v>2025-10</v>
      </c>
      <c r="AK820" s="10" t="str">
        <f t="shared" si="165"/>
        <v>T4</v>
      </c>
      <c r="AL820" s="10" t="str">
        <f t="shared" si="166"/>
        <v>50+</v>
      </c>
      <c r="AM820" s="10" t="str">
        <f t="shared" si="167"/>
        <v>moyen</v>
      </c>
      <c r="AN820" s="10" t="s">
        <v>2839</v>
      </c>
      <c r="AO820" s="10" t="str">
        <f t="shared" si="168"/>
        <v>Elevée</v>
      </c>
    </row>
    <row r="821" spans="1:41">
      <c r="A821" t="s">
        <v>2419</v>
      </c>
      <c r="B821" s="2">
        <v>45914</v>
      </c>
      <c r="C821" t="s">
        <v>2420</v>
      </c>
      <c r="D821" t="s">
        <v>155</v>
      </c>
      <c r="E821" t="s">
        <v>189</v>
      </c>
      <c r="F821" t="s">
        <v>388</v>
      </c>
      <c r="G821">
        <v>4</v>
      </c>
      <c r="H821" s="4">
        <v>48</v>
      </c>
      <c r="I821" s="3">
        <v>0.1</v>
      </c>
      <c r="J821" t="s">
        <v>63</v>
      </c>
      <c r="K821" t="s">
        <v>46</v>
      </c>
      <c r="L821" t="s">
        <v>2421</v>
      </c>
      <c r="M821" t="s">
        <v>65</v>
      </c>
      <c r="N821" t="s">
        <v>255</v>
      </c>
      <c r="O821" t="s">
        <v>158</v>
      </c>
      <c r="P821" t="s">
        <v>51</v>
      </c>
      <c r="Q821" t="s">
        <v>143</v>
      </c>
      <c r="R821" t="s">
        <v>193</v>
      </c>
      <c r="S821" t="s">
        <v>79</v>
      </c>
      <c r="T821" t="s">
        <v>390</v>
      </c>
      <c r="U821" s="5">
        <v>35</v>
      </c>
      <c r="V821" s="5" t="s">
        <v>56</v>
      </c>
      <c r="W821" s="5">
        <v>38</v>
      </c>
      <c r="X821" s="5">
        <v>4.5</v>
      </c>
      <c r="Y821" s="5">
        <v>7</v>
      </c>
      <c r="Z821" s="5" t="s">
        <v>71</v>
      </c>
      <c r="AA821" s="6">
        <v>37.44</v>
      </c>
      <c r="AB821" s="8">
        <f t="shared" si="156"/>
        <v>192</v>
      </c>
      <c r="AC821" s="8">
        <f t="shared" si="157"/>
        <v>19.200000000000003</v>
      </c>
      <c r="AD821" s="8">
        <f t="shared" si="158"/>
        <v>172.8</v>
      </c>
      <c r="AE821" s="8">
        <f t="shared" si="159"/>
        <v>149.76</v>
      </c>
      <c r="AF821" s="8">
        <f t="shared" si="160"/>
        <v>23.04000000000002</v>
      </c>
      <c r="AG821" s="9">
        <f t="shared" si="161"/>
        <v>0.13333333333333344</v>
      </c>
      <c r="AH821" s="10">
        <f t="shared" si="162"/>
        <v>2025</v>
      </c>
      <c r="AI821" s="10">
        <f t="shared" si="163"/>
        <v>9</v>
      </c>
      <c r="AJ821" s="10" t="str">
        <f t="shared" si="164"/>
        <v>2025-09</v>
      </c>
      <c r="AK821" s="10" t="str">
        <f t="shared" si="165"/>
        <v>T3</v>
      </c>
      <c r="AL821" s="10" t="str">
        <f t="shared" si="166"/>
        <v>30-39</v>
      </c>
      <c r="AM821" s="10" t="str">
        <f t="shared" si="167"/>
        <v>faible</v>
      </c>
      <c r="AN821" s="10" t="s">
        <v>2837</v>
      </c>
      <c r="AO821" s="10" t="str">
        <f t="shared" si="168"/>
        <v>Faible</v>
      </c>
    </row>
    <row r="822" spans="1:41">
      <c r="A822" t="s">
        <v>2422</v>
      </c>
      <c r="B822" s="2">
        <v>45705</v>
      </c>
      <c r="C822" t="s">
        <v>2423</v>
      </c>
      <c r="D822" t="s">
        <v>340</v>
      </c>
      <c r="E822" t="s">
        <v>214</v>
      </c>
      <c r="F822" t="s">
        <v>328</v>
      </c>
      <c r="G822">
        <v>2</v>
      </c>
      <c r="H822" s="4">
        <v>22</v>
      </c>
      <c r="I822" s="3">
        <v>0.02</v>
      </c>
      <c r="J822" t="s">
        <v>45</v>
      </c>
      <c r="K822" t="s">
        <v>46</v>
      </c>
      <c r="L822" t="s">
        <v>2424</v>
      </c>
      <c r="M822" t="s">
        <v>48</v>
      </c>
      <c r="N822" t="s">
        <v>255</v>
      </c>
      <c r="O822" t="s">
        <v>342</v>
      </c>
      <c r="P822" t="s">
        <v>103</v>
      </c>
      <c r="Q822" t="s">
        <v>143</v>
      </c>
      <c r="R822" t="s">
        <v>216</v>
      </c>
      <c r="S822" t="s">
        <v>65</v>
      </c>
      <c r="T822" t="s">
        <v>330</v>
      </c>
      <c r="U822" s="5">
        <v>25</v>
      </c>
      <c r="V822" s="5" t="s">
        <v>56</v>
      </c>
      <c r="W822" s="5">
        <v>67</v>
      </c>
      <c r="X822" s="5">
        <v>5.7</v>
      </c>
      <c r="Y822" s="5">
        <v>6</v>
      </c>
      <c r="Z822" s="5" t="s">
        <v>117</v>
      </c>
      <c r="AA822" s="6">
        <v>14.96</v>
      </c>
      <c r="AB822" s="8">
        <f t="shared" si="156"/>
        <v>44</v>
      </c>
      <c r="AC822" s="8">
        <f t="shared" si="157"/>
        <v>0.88</v>
      </c>
      <c r="AD822" s="8">
        <f t="shared" si="158"/>
        <v>43.12</v>
      </c>
      <c r="AE822" s="8">
        <f t="shared" si="159"/>
        <v>29.92</v>
      </c>
      <c r="AF822" s="8">
        <f t="shared" si="160"/>
        <v>13.199999999999996</v>
      </c>
      <c r="AG822" s="9">
        <f t="shared" si="161"/>
        <v>0.30612244897959173</v>
      </c>
      <c r="AH822" s="10">
        <f t="shared" si="162"/>
        <v>2025</v>
      </c>
      <c r="AI822" s="10">
        <f t="shared" si="163"/>
        <v>2</v>
      </c>
      <c r="AJ822" s="10" t="str">
        <f t="shared" si="164"/>
        <v>2025-02</v>
      </c>
      <c r="AK822" s="10" t="str">
        <f t="shared" si="165"/>
        <v>T1</v>
      </c>
      <c r="AL822" s="10" t="str">
        <f t="shared" si="166"/>
        <v>22-29</v>
      </c>
      <c r="AM822" s="10" t="str">
        <f t="shared" si="167"/>
        <v>moyen</v>
      </c>
      <c r="AN822" s="10" t="s">
        <v>2839</v>
      </c>
      <c r="AO822" s="10" t="str">
        <f t="shared" si="168"/>
        <v>Faible</v>
      </c>
    </row>
    <row r="823" spans="1:41">
      <c r="A823" t="s">
        <v>2425</v>
      </c>
      <c r="B823" s="2">
        <v>45741</v>
      </c>
      <c r="C823" t="s">
        <v>2426</v>
      </c>
      <c r="D823" t="s">
        <v>138</v>
      </c>
      <c r="E823" t="s">
        <v>214</v>
      </c>
      <c r="F823" t="s">
        <v>282</v>
      </c>
      <c r="G823">
        <v>1</v>
      </c>
      <c r="H823" s="4">
        <v>120</v>
      </c>
      <c r="I823" s="3">
        <v>0</v>
      </c>
      <c r="J823" t="s">
        <v>45</v>
      </c>
      <c r="K823" t="s">
        <v>46</v>
      </c>
      <c r="L823" t="s">
        <v>2427</v>
      </c>
      <c r="M823" t="s">
        <v>65</v>
      </c>
      <c r="N823" t="s">
        <v>112</v>
      </c>
      <c r="O823" t="s">
        <v>142</v>
      </c>
      <c r="P823" t="s">
        <v>51</v>
      </c>
      <c r="Q823" t="s">
        <v>143</v>
      </c>
      <c r="R823" t="s">
        <v>216</v>
      </c>
      <c r="S823" t="s">
        <v>65</v>
      </c>
      <c r="T823" t="s">
        <v>284</v>
      </c>
      <c r="U823" s="5">
        <v>36</v>
      </c>
      <c r="V823" s="5" t="s">
        <v>56</v>
      </c>
      <c r="W823" s="5">
        <v>70</v>
      </c>
      <c r="X823" s="5">
        <v>7.2</v>
      </c>
      <c r="Y823" s="5">
        <v>2</v>
      </c>
      <c r="Z823" s="5" t="s">
        <v>57</v>
      </c>
      <c r="AA823" s="6">
        <v>73.2</v>
      </c>
      <c r="AB823" s="8">
        <f t="shared" si="156"/>
        <v>120</v>
      </c>
      <c r="AC823" s="8">
        <f t="shared" si="157"/>
        <v>0</v>
      </c>
      <c r="AD823" s="8">
        <f t="shared" si="158"/>
        <v>120</v>
      </c>
      <c r="AE823" s="8">
        <f t="shared" si="159"/>
        <v>73.2</v>
      </c>
      <c r="AF823" s="8">
        <f t="shared" si="160"/>
        <v>46.8</v>
      </c>
      <c r="AG823" s="9">
        <f t="shared" si="161"/>
        <v>0.38999999999999996</v>
      </c>
      <c r="AH823" s="10">
        <f t="shared" si="162"/>
        <v>2025</v>
      </c>
      <c r="AI823" s="10">
        <f t="shared" si="163"/>
        <v>3</v>
      </c>
      <c r="AJ823" s="10" t="str">
        <f t="shared" si="164"/>
        <v>2025-03</v>
      </c>
      <c r="AK823" s="10" t="str">
        <f t="shared" si="165"/>
        <v>T1</v>
      </c>
      <c r="AL823" s="10" t="str">
        <f t="shared" si="166"/>
        <v>30-39</v>
      </c>
      <c r="AM823" s="10" t="str">
        <f t="shared" si="167"/>
        <v>bon</v>
      </c>
      <c r="AN823" s="10" t="s">
        <v>2838</v>
      </c>
      <c r="AO823" s="10" t="str">
        <f t="shared" si="168"/>
        <v>Faible</v>
      </c>
    </row>
    <row r="824" spans="1:41">
      <c r="A824" t="s">
        <v>2428</v>
      </c>
      <c r="B824" s="2">
        <v>45857</v>
      </c>
      <c r="C824" t="s">
        <v>2429</v>
      </c>
      <c r="D824" t="s">
        <v>138</v>
      </c>
      <c r="E824" t="s">
        <v>189</v>
      </c>
      <c r="F824" t="s">
        <v>302</v>
      </c>
      <c r="G824">
        <v>4</v>
      </c>
      <c r="H824" s="4">
        <v>120</v>
      </c>
      <c r="I824" s="3">
        <v>0.02</v>
      </c>
      <c r="J824" t="s">
        <v>90</v>
      </c>
      <c r="K824" t="s">
        <v>46</v>
      </c>
      <c r="L824" t="s">
        <v>2430</v>
      </c>
      <c r="M824" t="s">
        <v>79</v>
      </c>
      <c r="N824" t="s">
        <v>80</v>
      </c>
      <c r="O824" t="s">
        <v>142</v>
      </c>
      <c r="P824" t="s">
        <v>51</v>
      </c>
      <c r="Q824" t="s">
        <v>143</v>
      </c>
      <c r="R824" t="s">
        <v>193</v>
      </c>
      <c r="S824" t="s">
        <v>79</v>
      </c>
      <c r="T824" t="s">
        <v>304</v>
      </c>
      <c r="U824" s="5">
        <v>46</v>
      </c>
      <c r="V824" s="5" t="s">
        <v>56</v>
      </c>
      <c r="W824" s="5">
        <v>65</v>
      </c>
      <c r="X824" s="5">
        <v>8.5</v>
      </c>
      <c r="Y824" s="5">
        <v>2</v>
      </c>
      <c r="Z824" s="5" t="s">
        <v>57</v>
      </c>
      <c r="AA824" s="6">
        <v>73.2</v>
      </c>
      <c r="AB824" s="8">
        <f t="shared" si="156"/>
        <v>480</v>
      </c>
      <c r="AC824" s="8">
        <f t="shared" si="157"/>
        <v>9.6</v>
      </c>
      <c r="AD824" s="8">
        <f t="shared" si="158"/>
        <v>470.4</v>
      </c>
      <c r="AE824" s="8">
        <f t="shared" si="159"/>
        <v>292.8</v>
      </c>
      <c r="AF824" s="8">
        <f t="shared" si="160"/>
        <v>177.59999999999997</v>
      </c>
      <c r="AG824" s="9">
        <f t="shared" si="161"/>
        <v>0.37755102040816318</v>
      </c>
      <c r="AH824" s="10">
        <f t="shared" si="162"/>
        <v>2025</v>
      </c>
      <c r="AI824" s="10">
        <f t="shared" si="163"/>
        <v>7</v>
      </c>
      <c r="AJ824" s="10" t="str">
        <f t="shared" si="164"/>
        <v>2025-07</v>
      </c>
      <c r="AK824" s="10" t="str">
        <f t="shared" si="165"/>
        <v>T3</v>
      </c>
      <c r="AL824" s="10" t="str">
        <f t="shared" si="166"/>
        <v>40-49</v>
      </c>
      <c r="AM824" s="10" t="str">
        <f t="shared" si="167"/>
        <v>bon</v>
      </c>
      <c r="AN824" s="10" t="s">
        <v>2838</v>
      </c>
      <c r="AO824" s="10" t="str">
        <f t="shared" si="168"/>
        <v>Faible</v>
      </c>
    </row>
    <row r="825" spans="1:41">
      <c r="A825" t="s">
        <v>2431</v>
      </c>
      <c r="B825" s="2">
        <v>45892</v>
      </c>
      <c r="C825" t="s">
        <v>2432</v>
      </c>
      <c r="D825" t="s">
        <v>272</v>
      </c>
      <c r="E825" t="s">
        <v>61</v>
      </c>
      <c r="F825" t="s">
        <v>253</v>
      </c>
      <c r="G825">
        <v>2</v>
      </c>
      <c r="H825" s="4">
        <v>420</v>
      </c>
      <c r="I825" s="3">
        <v>0.08</v>
      </c>
      <c r="J825" t="s">
        <v>77</v>
      </c>
      <c r="K825" t="s">
        <v>46</v>
      </c>
      <c r="L825" t="s">
        <v>2433</v>
      </c>
      <c r="M825" t="s">
        <v>69</v>
      </c>
      <c r="N825" t="s">
        <v>80</v>
      </c>
      <c r="O825" t="s">
        <v>274</v>
      </c>
      <c r="P825" t="s">
        <v>133</v>
      </c>
      <c r="Q825" t="s">
        <v>114</v>
      </c>
      <c r="R825" t="s">
        <v>68</v>
      </c>
      <c r="S825" t="s">
        <v>69</v>
      </c>
      <c r="T825" t="s">
        <v>256</v>
      </c>
      <c r="U825" s="5">
        <v>40</v>
      </c>
      <c r="V825" s="5" t="s">
        <v>56</v>
      </c>
      <c r="W825" s="5">
        <v>69</v>
      </c>
      <c r="X825" s="5">
        <v>7.7</v>
      </c>
      <c r="Y825" s="5">
        <v>3</v>
      </c>
      <c r="Z825" s="5" t="s">
        <v>57</v>
      </c>
      <c r="AA825" s="6">
        <v>273</v>
      </c>
      <c r="AB825" s="8">
        <f t="shared" si="156"/>
        <v>840</v>
      </c>
      <c r="AC825" s="8">
        <f t="shared" si="157"/>
        <v>67.2</v>
      </c>
      <c r="AD825" s="8">
        <f t="shared" si="158"/>
        <v>772.8</v>
      </c>
      <c r="AE825" s="8">
        <f t="shared" si="159"/>
        <v>546</v>
      </c>
      <c r="AF825" s="8">
        <f t="shared" si="160"/>
        <v>226.79999999999995</v>
      </c>
      <c r="AG825" s="9">
        <f t="shared" si="161"/>
        <v>0.29347826086956519</v>
      </c>
      <c r="AH825" s="10">
        <f t="shared" si="162"/>
        <v>2025</v>
      </c>
      <c r="AI825" s="10">
        <f t="shared" si="163"/>
        <v>8</v>
      </c>
      <c r="AJ825" s="10" t="str">
        <f t="shared" si="164"/>
        <v>2025-08</v>
      </c>
      <c r="AK825" s="10" t="str">
        <f t="shared" si="165"/>
        <v>T3</v>
      </c>
      <c r="AL825" s="10" t="str">
        <f t="shared" si="166"/>
        <v>40-49</v>
      </c>
      <c r="AM825" s="10" t="str">
        <f t="shared" si="167"/>
        <v>bon</v>
      </c>
      <c r="AN825" s="10" t="s">
        <v>2838</v>
      </c>
      <c r="AO825" s="10" t="str">
        <f t="shared" si="168"/>
        <v>Moyenne</v>
      </c>
    </row>
    <row r="826" spans="1:41">
      <c r="A826" t="s">
        <v>2434</v>
      </c>
      <c r="B826" s="2">
        <v>45659</v>
      </c>
      <c r="C826" t="s">
        <v>1262</v>
      </c>
      <c r="D826" t="s">
        <v>188</v>
      </c>
      <c r="E826" t="s">
        <v>139</v>
      </c>
      <c r="F826" t="s">
        <v>202</v>
      </c>
      <c r="G826">
        <v>3</v>
      </c>
      <c r="H826" s="4">
        <v>350</v>
      </c>
      <c r="I826" s="3">
        <v>0</v>
      </c>
      <c r="J826" t="s">
        <v>77</v>
      </c>
      <c r="K826" t="s">
        <v>46</v>
      </c>
      <c r="L826" t="s">
        <v>1263</v>
      </c>
      <c r="M826" t="s">
        <v>69</v>
      </c>
      <c r="N826" t="s">
        <v>255</v>
      </c>
      <c r="O826" t="s">
        <v>192</v>
      </c>
      <c r="P826" t="s">
        <v>51</v>
      </c>
      <c r="Q826" t="s">
        <v>114</v>
      </c>
      <c r="R826" t="s">
        <v>144</v>
      </c>
      <c r="S826" t="s">
        <v>65</v>
      </c>
      <c r="T826" t="s">
        <v>204</v>
      </c>
      <c r="U826" s="5">
        <v>32</v>
      </c>
      <c r="V826" s="5" t="s">
        <v>85</v>
      </c>
      <c r="W826" s="5">
        <v>25</v>
      </c>
      <c r="X826" s="5">
        <v>8</v>
      </c>
      <c r="Y826" s="5">
        <v>1</v>
      </c>
      <c r="Z826" s="5" t="s">
        <v>71</v>
      </c>
      <c r="AA826" s="6">
        <v>213.5</v>
      </c>
      <c r="AB826" s="8">
        <f t="shared" si="156"/>
        <v>1050</v>
      </c>
      <c r="AC826" s="8">
        <f t="shared" si="157"/>
        <v>0</v>
      </c>
      <c r="AD826" s="8">
        <f t="shared" si="158"/>
        <v>1050</v>
      </c>
      <c r="AE826" s="8">
        <f t="shared" si="159"/>
        <v>640.5</v>
      </c>
      <c r="AF826" s="8">
        <f t="shared" si="160"/>
        <v>409.5</v>
      </c>
      <c r="AG826" s="9">
        <f t="shared" si="161"/>
        <v>0.39</v>
      </c>
      <c r="AH826" s="10">
        <f t="shared" si="162"/>
        <v>2025</v>
      </c>
      <c r="AI826" s="10">
        <f t="shared" si="163"/>
        <v>1</v>
      </c>
      <c r="AJ826" s="10" t="str">
        <f t="shared" si="164"/>
        <v>2025-01</v>
      </c>
      <c r="AK826" s="10" t="str">
        <f t="shared" si="165"/>
        <v>T1</v>
      </c>
      <c r="AL826" s="10" t="str">
        <f t="shared" si="166"/>
        <v>30-39</v>
      </c>
      <c r="AM826" s="10" t="str">
        <f t="shared" si="167"/>
        <v>bon</v>
      </c>
      <c r="AN826" s="10" t="s">
        <v>2838</v>
      </c>
      <c r="AO826" s="10" t="str">
        <f t="shared" si="168"/>
        <v>Elevée</v>
      </c>
    </row>
    <row r="827" spans="1:41">
      <c r="A827" t="s">
        <v>2435</v>
      </c>
      <c r="B827" s="2">
        <v>45895</v>
      </c>
      <c r="C827" t="s">
        <v>2436</v>
      </c>
      <c r="D827" t="s">
        <v>138</v>
      </c>
      <c r="E827" t="s">
        <v>189</v>
      </c>
      <c r="F827" t="s">
        <v>548</v>
      </c>
      <c r="G827">
        <v>1</v>
      </c>
      <c r="H827" s="4">
        <v>120</v>
      </c>
      <c r="I827" s="3">
        <v>0.1</v>
      </c>
      <c r="J827" t="s">
        <v>90</v>
      </c>
      <c r="K827" t="s">
        <v>46</v>
      </c>
      <c r="L827" t="s">
        <v>2437</v>
      </c>
      <c r="M827" t="s">
        <v>54</v>
      </c>
      <c r="N827" t="s">
        <v>49</v>
      </c>
      <c r="O827" t="s">
        <v>142</v>
      </c>
      <c r="P827" t="s">
        <v>51</v>
      </c>
      <c r="Q827" t="s">
        <v>143</v>
      </c>
      <c r="R827" t="s">
        <v>193</v>
      </c>
      <c r="S827" t="s">
        <v>79</v>
      </c>
      <c r="T827" t="s">
        <v>550</v>
      </c>
      <c r="U827" s="5">
        <v>45</v>
      </c>
      <c r="V827" s="5" t="s">
        <v>56</v>
      </c>
      <c r="W827" s="5">
        <v>17</v>
      </c>
      <c r="X827" s="5">
        <v>8.3000000000000007</v>
      </c>
      <c r="Y827" s="5">
        <v>2</v>
      </c>
      <c r="Z827" s="5" t="s">
        <v>94</v>
      </c>
      <c r="AA827" s="6">
        <v>73.2</v>
      </c>
      <c r="AB827" s="8">
        <f t="shared" si="156"/>
        <v>120</v>
      </c>
      <c r="AC827" s="8">
        <f t="shared" si="157"/>
        <v>12</v>
      </c>
      <c r="AD827" s="8">
        <f t="shared" si="158"/>
        <v>108</v>
      </c>
      <c r="AE827" s="8">
        <f t="shared" si="159"/>
        <v>73.2</v>
      </c>
      <c r="AF827" s="8">
        <f t="shared" si="160"/>
        <v>34.799999999999997</v>
      </c>
      <c r="AG827" s="9">
        <f t="shared" si="161"/>
        <v>0.32222222222222219</v>
      </c>
      <c r="AH827" s="10">
        <f t="shared" si="162"/>
        <v>2025</v>
      </c>
      <c r="AI827" s="10">
        <f t="shared" si="163"/>
        <v>8</v>
      </c>
      <c r="AJ827" s="10" t="str">
        <f t="shared" si="164"/>
        <v>2025-08</v>
      </c>
      <c r="AK827" s="10" t="str">
        <f t="shared" si="165"/>
        <v>T3</v>
      </c>
      <c r="AL827" s="10" t="str">
        <f t="shared" si="166"/>
        <v>40-49</v>
      </c>
      <c r="AM827" s="10" t="str">
        <f t="shared" si="167"/>
        <v>bon</v>
      </c>
      <c r="AN827" s="10" t="s">
        <v>2838</v>
      </c>
      <c r="AO827" s="10" t="str">
        <f t="shared" si="168"/>
        <v>Faible</v>
      </c>
    </row>
    <row r="828" spans="1:41">
      <c r="A828" t="s">
        <v>2438</v>
      </c>
      <c r="B828" s="2">
        <v>45941</v>
      </c>
      <c r="C828" t="s">
        <v>2439</v>
      </c>
      <c r="D828" t="s">
        <v>42</v>
      </c>
      <c r="E828" t="s">
        <v>277</v>
      </c>
      <c r="F828" t="s">
        <v>164</v>
      </c>
      <c r="G828">
        <v>20</v>
      </c>
      <c r="H828" s="4">
        <v>260</v>
      </c>
      <c r="I828" s="3">
        <v>0.08</v>
      </c>
      <c r="J828" t="s">
        <v>77</v>
      </c>
      <c r="K828" t="s">
        <v>46</v>
      </c>
      <c r="L828" t="s">
        <v>2440</v>
      </c>
      <c r="M828" t="s">
        <v>123</v>
      </c>
      <c r="N828" t="s">
        <v>80</v>
      </c>
      <c r="O828" t="s">
        <v>50</v>
      </c>
      <c r="P828" t="s">
        <v>51</v>
      </c>
      <c r="Q828" t="s">
        <v>52</v>
      </c>
      <c r="R828" t="s">
        <v>279</v>
      </c>
      <c r="S828" t="s">
        <v>54</v>
      </c>
      <c r="T828" t="s">
        <v>168</v>
      </c>
      <c r="U828" s="5">
        <v>31</v>
      </c>
      <c r="V828" s="5" t="s">
        <v>85</v>
      </c>
      <c r="W828" s="5">
        <v>37</v>
      </c>
      <c r="X828" s="5">
        <v>6.3</v>
      </c>
      <c r="Y828" s="5">
        <v>5</v>
      </c>
      <c r="Z828" s="5" t="s">
        <v>71</v>
      </c>
      <c r="AA828" s="6">
        <v>189.8</v>
      </c>
      <c r="AB828" s="8">
        <f t="shared" si="156"/>
        <v>5200</v>
      </c>
      <c r="AC828" s="8">
        <f t="shared" si="157"/>
        <v>416</v>
      </c>
      <c r="AD828" s="8">
        <f t="shared" si="158"/>
        <v>4784</v>
      </c>
      <c r="AE828" s="8">
        <f t="shared" si="159"/>
        <v>3796</v>
      </c>
      <c r="AF828" s="8">
        <f t="shared" si="160"/>
        <v>988</v>
      </c>
      <c r="AG828" s="9">
        <f t="shared" si="161"/>
        <v>0.20652173913043478</v>
      </c>
      <c r="AH828" s="10">
        <f t="shared" si="162"/>
        <v>2025</v>
      </c>
      <c r="AI828" s="10">
        <f t="shared" si="163"/>
        <v>10</v>
      </c>
      <c r="AJ828" s="10" t="str">
        <f t="shared" si="164"/>
        <v>2025-10</v>
      </c>
      <c r="AK828" s="10" t="str">
        <f t="shared" si="165"/>
        <v>T4</v>
      </c>
      <c r="AL828" s="10" t="str">
        <f t="shared" si="166"/>
        <v>30-39</v>
      </c>
      <c r="AM828" s="10" t="str">
        <f t="shared" si="167"/>
        <v>moyen</v>
      </c>
      <c r="AN828" s="10" t="s">
        <v>2839</v>
      </c>
      <c r="AO828" s="10" t="str">
        <f t="shared" si="168"/>
        <v>Elevée</v>
      </c>
    </row>
    <row r="829" spans="1:41">
      <c r="A829" t="s">
        <v>2441</v>
      </c>
      <c r="B829" s="2">
        <v>45932</v>
      </c>
      <c r="C829" t="s">
        <v>2364</v>
      </c>
      <c r="D829" t="s">
        <v>108</v>
      </c>
      <c r="E829" t="s">
        <v>163</v>
      </c>
      <c r="F829" t="s">
        <v>220</v>
      </c>
      <c r="G829">
        <v>5</v>
      </c>
      <c r="H829" s="4">
        <v>240</v>
      </c>
      <c r="I829" s="3">
        <v>0</v>
      </c>
      <c r="J829" t="s">
        <v>90</v>
      </c>
      <c r="K829" t="s">
        <v>46</v>
      </c>
      <c r="L829" t="s">
        <v>2365</v>
      </c>
      <c r="M829" t="s">
        <v>79</v>
      </c>
      <c r="N829" t="s">
        <v>49</v>
      </c>
      <c r="O829" t="s">
        <v>113</v>
      </c>
      <c r="P829" t="s">
        <v>82</v>
      </c>
      <c r="Q829" t="s">
        <v>114</v>
      </c>
      <c r="R829" t="s">
        <v>167</v>
      </c>
      <c r="S829" t="s">
        <v>123</v>
      </c>
      <c r="T829" t="s">
        <v>223</v>
      </c>
      <c r="U829" s="5">
        <v>22</v>
      </c>
      <c r="V829" s="5" t="s">
        <v>56</v>
      </c>
      <c r="W829" s="5">
        <v>36</v>
      </c>
      <c r="X829" s="5">
        <v>7.3</v>
      </c>
      <c r="Y829" s="5">
        <v>4</v>
      </c>
      <c r="Z829" s="5" t="s">
        <v>117</v>
      </c>
      <c r="AA829" s="6">
        <v>177.6</v>
      </c>
      <c r="AB829" s="8">
        <f t="shared" si="156"/>
        <v>1200</v>
      </c>
      <c r="AC829" s="8">
        <f t="shared" si="157"/>
        <v>0</v>
      </c>
      <c r="AD829" s="8">
        <f t="shared" si="158"/>
        <v>1200</v>
      </c>
      <c r="AE829" s="8">
        <f t="shared" si="159"/>
        <v>888</v>
      </c>
      <c r="AF829" s="8">
        <f t="shared" si="160"/>
        <v>312</v>
      </c>
      <c r="AG829" s="9">
        <f t="shared" si="161"/>
        <v>0.26</v>
      </c>
      <c r="AH829" s="10">
        <f t="shared" si="162"/>
        <v>2025</v>
      </c>
      <c r="AI829" s="10">
        <f t="shared" si="163"/>
        <v>10</v>
      </c>
      <c r="AJ829" s="10" t="str">
        <f t="shared" si="164"/>
        <v>2025-10</v>
      </c>
      <c r="AK829" s="10" t="str">
        <f t="shared" si="165"/>
        <v>T4</v>
      </c>
      <c r="AL829" s="10" t="str">
        <f t="shared" si="166"/>
        <v>22-29</v>
      </c>
      <c r="AM829" s="10" t="str">
        <f t="shared" si="167"/>
        <v>bon</v>
      </c>
      <c r="AN829" s="10" t="s">
        <v>2839</v>
      </c>
      <c r="AO829" s="10" t="str">
        <f t="shared" si="168"/>
        <v>Elevée</v>
      </c>
    </row>
    <row r="830" spans="1:41">
      <c r="A830" t="s">
        <v>2442</v>
      </c>
      <c r="B830" s="2">
        <v>45790</v>
      </c>
      <c r="C830" t="s">
        <v>2443</v>
      </c>
      <c r="D830" t="s">
        <v>74</v>
      </c>
      <c r="E830" t="s">
        <v>98</v>
      </c>
      <c r="F830" t="s">
        <v>182</v>
      </c>
      <c r="G830">
        <v>4</v>
      </c>
      <c r="H830" s="4">
        <v>95</v>
      </c>
      <c r="I830" s="3">
        <v>0</v>
      </c>
      <c r="J830" t="s">
        <v>77</v>
      </c>
      <c r="K830" t="s">
        <v>46</v>
      </c>
      <c r="L830" t="s">
        <v>2444</v>
      </c>
      <c r="M830" t="s">
        <v>123</v>
      </c>
      <c r="N830" t="s">
        <v>49</v>
      </c>
      <c r="O830" t="s">
        <v>81</v>
      </c>
      <c r="P830" t="s">
        <v>82</v>
      </c>
      <c r="Q830" t="s">
        <v>52</v>
      </c>
      <c r="R830" t="s">
        <v>104</v>
      </c>
      <c r="S830" t="s">
        <v>79</v>
      </c>
      <c r="T830" t="s">
        <v>185</v>
      </c>
      <c r="U830" s="5">
        <v>51</v>
      </c>
      <c r="V830" s="5" t="s">
        <v>56</v>
      </c>
      <c r="W830" s="5">
        <v>56</v>
      </c>
      <c r="X830" s="5">
        <v>3.1</v>
      </c>
      <c r="Y830" s="5">
        <v>9</v>
      </c>
      <c r="Z830" s="5" t="s">
        <v>71</v>
      </c>
      <c r="AA830" s="6">
        <v>70.3</v>
      </c>
      <c r="AB830" s="8">
        <f t="shared" si="156"/>
        <v>380</v>
      </c>
      <c r="AC830" s="8">
        <f t="shared" si="157"/>
        <v>0</v>
      </c>
      <c r="AD830" s="8">
        <f t="shared" si="158"/>
        <v>380</v>
      </c>
      <c r="AE830" s="8">
        <f t="shared" si="159"/>
        <v>281.2</v>
      </c>
      <c r="AF830" s="8">
        <f t="shared" si="160"/>
        <v>98.800000000000011</v>
      </c>
      <c r="AG830" s="9">
        <f t="shared" si="161"/>
        <v>0.26</v>
      </c>
      <c r="AH830" s="10">
        <f t="shared" si="162"/>
        <v>2025</v>
      </c>
      <c r="AI830" s="10">
        <f t="shared" si="163"/>
        <v>5</v>
      </c>
      <c r="AJ830" s="10" t="str">
        <f t="shared" si="164"/>
        <v>2025-05</v>
      </c>
      <c r="AK830" s="10" t="str">
        <f t="shared" si="165"/>
        <v>T2</v>
      </c>
      <c r="AL830" s="10" t="str">
        <f t="shared" si="166"/>
        <v>50+</v>
      </c>
      <c r="AM830" s="10" t="str">
        <f t="shared" si="167"/>
        <v>faible</v>
      </c>
      <c r="AN830" s="10" t="s">
        <v>2837</v>
      </c>
      <c r="AO830" s="10" t="str">
        <f t="shared" si="168"/>
        <v>Faible</v>
      </c>
    </row>
    <row r="831" spans="1:41">
      <c r="A831" t="s">
        <v>2445</v>
      </c>
      <c r="B831" s="2">
        <v>45696</v>
      </c>
      <c r="C831" t="s">
        <v>2446</v>
      </c>
      <c r="D831" t="s">
        <v>174</v>
      </c>
      <c r="E831" t="s">
        <v>207</v>
      </c>
      <c r="F831" t="s">
        <v>334</v>
      </c>
      <c r="G831">
        <v>2</v>
      </c>
      <c r="H831" s="4">
        <v>780</v>
      </c>
      <c r="I831" s="3">
        <v>0.08</v>
      </c>
      <c r="J831" t="s">
        <v>77</v>
      </c>
      <c r="K831" t="s">
        <v>46</v>
      </c>
      <c r="L831" t="s">
        <v>2447</v>
      </c>
      <c r="M831" t="s">
        <v>54</v>
      </c>
      <c r="N831" t="s">
        <v>255</v>
      </c>
      <c r="O831" t="s">
        <v>177</v>
      </c>
      <c r="P831" t="s">
        <v>103</v>
      </c>
      <c r="Q831" t="s">
        <v>114</v>
      </c>
      <c r="R831" t="s">
        <v>210</v>
      </c>
      <c r="S831" t="s">
        <v>79</v>
      </c>
      <c r="T831" t="s">
        <v>337</v>
      </c>
      <c r="U831" s="5">
        <v>60</v>
      </c>
      <c r="V831" s="5" t="s">
        <v>85</v>
      </c>
      <c r="W831" s="5">
        <v>17</v>
      </c>
      <c r="X831" s="5">
        <v>4.0999999999999996</v>
      </c>
      <c r="Y831" s="5">
        <v>8</v>
      </c>
      <c r="Z831" s="5" t="s">
        <v>71</v>
      </c>
      <c r="AA831" s="6">
        <v>468</v>
      </c>
      <c r="AB831" s="8">
        <f t="shared" si="156"/>
        <v>1560</v>
      </c>
      <c r="AC831" s="8">
        <f t="shared" si="157"/>
        <v>124.8</v>
      </c>
      <c r="AD831" s="8">
        <f t="shared" si="158"/>
        <v>1435.2</v>
      </c>
      <c r="AE831" s="8">
        <f t="shared" si="159"/>
        <v>936</v>
      </c>
      <c r="AF831" s="8">
        <f t="shared" si="160"/>
        <v>499.20000000000005</v>
      </c>
      <c r="AG831" s="9">
        <f t="shared" si="161"/>
        <v>0.34782608695652178</v>
      </c>
      <c r="AH831" s="10">
        <f t="shared" si="162"/>
        <v>2025</v>
      </c>
      <c r="AI831" s="10">
        <f t="shared" si="163"/>
        <v>2</v>
      </c>
      <c r="AJ831" s="10" t="str">
        <f t="shared" si="164"/>
        <v>2025-02</v>
      </c>
      <c r="AK831" s="10" t="str">
        <f t="shared" si="165"/>
        <v>T1</v>
      </c>
      <c r="AL831" s="10" t="str">
        <f t="shared" si="166"/>
        <v>50+</v>
      </c>
      <c r="AM831" s="10" t="str">
        <f t="shared" si="167"/>
        <v>faible</v>
      </c>
      <c r="AN831" s="10" t="s">
        <v>2837</v>
      </c>
      <c r="AO831" s="10" t="str">
        <f t="shared" si="168"/>
        <v>Elevée</v>
      </c>
    </row>
    <row r="832" spans="1:41">
      <c r="A832" t="s">
        <v>2448</v>
      </c>
      <c r="B832" s="2">
        <v>46022</v>
      </c>
      <c r="C832" t="s">
        <v>2449</v>
      </c>
      <c r="D832" t="s">
        <v>74</v>
      </c>
      <c r="E832" t="s">
        <v>189</v>
      </c>
      <c r="F832" t="s">
        <v>968</v>
      </c>
      <c r="G832">
        <v>1</v>
      </c>
      <c r="H832" s="4">
        <v>95</v>
      </c>
      <c r="I832" s="3">
        <v>0</v>
      </c>
      <c r="J832" t="s">
        <v>90</v>
      </c>
      <c r="K832" t="s">
        <v>46</v>
      </c>
      <c r="L832" t="s">
        <v>2450</v>
      </c>
      <c r="M832" t="s">
        <v>48</v>
      </c>
      <c r="N832" t="s">
        <v>80</v>
      </c>
      <c r="O832" t="s">
        <v>81</v>
      </c>
      <c r="P832" t="s">
        <v>82</v>
      </c>
      <c r="Q832" t="s">
        <v>52</v>
      </c>
      <c r="R832" t="s">
        <v>193</v>
      </c>
      <c r="S832" t="s">
        <v>79</v>
      </c>
      <c r="T832" t="s">
        <v>970</v>
      </c>
      <c r="U832" s="5">
        <v>43</v>
      </c>
      <c r="V832" s="5" t="s">
        <v>85</v>
      </c>
      <c r="W832" s="5">
        <v>7</v>
      </c>
      <c r="X832" s="5">
        <v>4.9000000000000004</v>
      </c>
      <c r="Y832" s="5">
        <v>6</v>
      </c>
      <c r="Z832" s="5" t="s">
        <v>117</v>
      </c>
      <c r="AA832" s="6">
        <v>70.3</v>
      </c>
      <c r="AB832" s="8">
        <f t="shared" si="156"/>
        <v>95</v>
      </c>
      <c r="AC832" s="8">
        <f t="shared" si="157"/>
        <v>0</v>
      </c>
      <c r="AD832" s="8">
        <f t="shared" si="158"/>
        <v>95</v>
      </c>
      <c r="AE832" s="8">
        <f t="shared" si="159"/>
        <v>70.3</v>
      </c>
      <c r="AF832" s="8">
        <f t="shared" si="160"/>
        <v>24.700000000000003</v>
      </c>
      <c r="AG832" s="9">
        <f t="shared" si="161"/>
        <v>0.26</v>
      </c>
      <c r="AH832" s="10">
        <f t="shared" si="162"/>
        <v>2025</v>
      </c>
      <c r="AI832" s="10">
        <f t="shared" si="163"/>
        <v>12</v>
      </c>
      <c r="AJ832" s="10" t="str">
        <f t="shared" si="164"/>
        <v>2025-12</v>
      </c>
      <c r="AK832" s="10" t="str">
        <f t="shared" si="165"/>
        <v>T4</v>
      </c>
      <c r="AL832" s="10" t="str">
        <f t="shared" si="166"/>
        <v>40-49</v>
      </c>
      <c r="AM832" s="10" t="str">
        <f t="shared" si="167"/>
        <v>faible</v>
      </c>
      <c r="AN832" s="10" t="s">
        <v>2839</v>
      </c>
      <c r="AO832" s="10" t="str">
        <f t="shared" si="168"/>
        <v>Faible</v>
      </c>
    </row>
    <row r="833" spans="1:41">
      <c r="A833" t="s">
        <v>2451</v>
      </c>
      <c r="B833" s="2">
        <v>45721</v>
      </c>
      <c r="C833" t="s">
        <v>1006</v>
      </c>
      <c r="D833" t="s">
        <v>340</v>
      </c>
      <c r="E833" t="s">
        <v>189</v>
      </c>
      <c r="F833" t="s">
        <v>361</v>
      </c>
      <c r="G833">
        <v>1</v>
      </c>
      <c r="H833" s="4">
        <v>22</v>
      </c>
      <c r="I833" s="3">
        <v>0</v>
      </c>
      <c r="J833" t="s">
        <v>90</v>
      </c>
      <c r="K833" t="s">
        <v>46</v>
      </c>
      <c r="L833" t="s">
        <v>1007</v>
      </c>
      <c r="M833" t="s">
        <v>79</v>
      </c>
      <c r="N833" t="s">
        <v>49</v>
      </c>
      <c r="O833" t="s">
        <v>342</v>
      </c>
      <c r="P833" t="s">
        <v>103</v>
      </c>
      <c r="Q833" t="s">
        <v>143</v>
      </c>
      <c r="R833" t="s">
        <v>193</v>
      </c>
      <c r="S833" t="s">
        <v>79</v>
      </c>
      <c r="T833" t="s">
        <v>363</v>
      </c>
      <c r="U833" s="5">
        <v>55</v>
      </c>
      <c r="V833" s="5" t="s">
        <v>56</v>
      </c>
      <c r="W833" s="5">
        <v>69</v>
      </c>
      <c r="X833" s="5">
        <v>3.3</v>
      </c>
      <c r="Y833" s="5">
        <v>9</v>
      </c>
      <c r="Z833" s="5" t="s">
        <v>117</v>
      </c>
      <c r="AA833" s="6">
        <v>14.96</v>
      </c>
      <c r="AB833" s="8">
        <f t="shared" si="156"/>
        <v>22</v>
      </c>
      <c r="AC833" s="8">
        <f t="shared" si="157"/>
        <v>0</v>
      </c>
      <c r="AD833" s="8">
        <f t="shared" si="158"/>
        <v>22</v>
      </c>
      <c r="AE833" s="8">
        <f t="shared" si="159"/>
        <v>14.96</v>
      </c>
      <c r="AF833" s="8">
        <f t="shared" si="160"/>
        <v>7.0399999999999991</v>
      </c>
      <c r="AG833" s="9">
        <f t="shared" si="161"/>
        <v>0.31999999999999995</v>
      </c>
      <c r="AH833" s="10">
        <f t="shared" si="162"/>
        <v>2025</v>
      </c>
      <c r="AI833" s="10">
        <f t="shared" si="163"/>
        <v>3</v>
      </c>
      <c r="AJ833" s="10" t="str">
        <f t="shared" si="164"/>
        <v>2025-03</v>
      </c>
      <c r="AK833" s="10" t="str">
        <f t="shared" si="165"/>
        <v>T1</v>
      </c>
      <c r="AL833" s="10" t="str">
        <f t="shared" si="166"/>
        <v>50+</v>
      </c>
      <c r="AM833" s="10" t="str">
        <f t="shared" si="167"/>
        <v>faible</v>
      </c>
      <c r="AN833" s="10" t="s">
        <v>2837</v>
      </c>
      <c r="AO833" s="10" t="str">
        <f t="shared" si="168"/>
        <v>Faible</v>
      </c>
    </row>
    <row r="834" spans="1:41">
      <c r="A834" t="s">
        <v>2452</v>
      </c>
      <c r="B834" s="2">
        <v>45935</v>
      </c>
      <c r="C834" t="s">
        <v>2453</v>
      </c>
      <c r="D834" t="s">
        <v>74</v>
      </c>
      <c r="E834" t="s">
        <v>61</v>
      </c>
      <c r="F834" t="s">
        <v>110</v>
      </c>
      <c r="G834">
        <v>6</v>
      </c>
      <c r="H834" s="4">
        <v>95</v>
      </c>
      <c r="I834" s="3">
        <v>0</v>
      </c>
      <c r="J834" t="s">
        <v>77</v>
      </c>
      <c r="K834" t="s">
        <v>46</v>
      </c>
      <c r="L834" t="s">
        <v>2454</v>
      </c>
      <c r="M834" t="s">
        <v>65</v>
      </c>
      <c r="N834" t="s">
        <v>112</v>
      </c>
      <c r="O834" t="s">
        <v>81</v>
      </c>
      <c r="P834" t="s">
        <v>82</v>
      </c>
      <c r="Q834" t="s">
        <v>52</v>
      </c>
      <c r="R834" t="s">
        <v>68</v>
      </c>
      <c r="S834" t="s">
        <v>69</v>
      </c>
      <c r="T834" t="s">
        <v>116</v>
      </c>
      <c r="U834" s="5">
        <v>58</v>
      </c>
      <c r="V834" s="5" t="s">
        <v>56</v>
      </c>
      <c r="W834" s="5">
        <v>32</v>
      </c>
      <c r="X834" s="5">
        <v>6.1</v>
      </c>
      <c r="Y834" s="5">
        <v>5</v>
      </c>
      <c r="Z834" s="5" t="s">
        <v>57</v>
      </c>
      <c r="AA834" s="6">
        <v>70.3</v>
      </c>
      <c r="AB834" s="8">
        <f t="shared" si="156"/>
        <v>570</v>
      </c>
      <c r="AC834" s="8">
        <f t="shared" si="157"/>
        <v>0</v>
      </c>
      <c r="AD834" s="8">
        <f t="shared" si="158"/>
        <v>570</v>
      </c>
      <c r="AE834" s="8">
        <f t="shared" si="159"/>
        <v>421.79999999999995</v>
      </c>
      <c r="AF834" s="8">
        <f t="shared" si="160"/>
        <v>148.20000000000005</v>
      </c>
      <c r="AG834" s="9">
        <f t="shared" si="161"/>
        <v>0.26000000000000006</v>
      </c>
      <c r="AH834" s="10">
        <f t="shared" si="162"/>
        <v>2025</v>
      </c>
      <c r="AI834" s="10">
        <f t="shared" si="163"/>
        <v>10</v>
      </c>
      <c r="AJ834" s="10" t="str">
        <f t="shared" si="164"/>
        <v>2025-10</v>
      </c>
      <c r="AK834" s="10" t="str">
        <f t="shared" si="165"/>
        <v>T4</v>
      </c>
      <c r="AL834" s="10" t="str">
        <f t="shared" si="166"/>
        <v>50+</v>
      </c>
      <c r="AM834" s="10" t="str">
        <f t="shared" si="167"/>
        <v>moyen</v>
      </c>
      <c r="AN834" s="10" t="s">
        <v>2839</v>
      </c>
      <c r="AO834" s="10" t="str">
        <f t="shared" si="168"/>
        <v>Moyenne</v>
      </c>
    </row>
    <row r="835" spans="1:41">
      <c r="A835" t="s">
        <v>2455</v>
      </c>
      <c r="B835" s="2">
        <v>45678</v>
      </c>
      <c r="C835" t="s">
        <v>2456</v>
      </c>
      <c r="D835" t="s">
        <v>97</v>
      </c>
      <c r="E835" t="s">
        <v>226</v>
      </c>
      <c r="F835" t="s">
        <v>110</v>
      </c>
      <c r="G835">
        <v>2</v>
      </c>
      <c r="H835" s="4">
        <v>520</v>
      </c>
      <c r="I835" s="3">
        <v>0.02</v>
      </c>
      <c r="J835" t="s">
        <v>90</v>
      </c>
      <c r="K835" t="s">
        <v>46</v>
      </c>
      <c r="L835" t="s">
        <v>2457</v>
      </c>
      <c r="M835" t="s">
        <v>54</v>
      </c>
      <c r="N835" t="s">
        <v>255</v>
      </c>
      <c r="O835" t="s">
        <v>102</v>
      </c>
      <c r="P835" t="s">
        <v>103</v>
      </c>
      <c r="Q835" t="s">
        <v>52</v>
      </c>
      <c r="R835" t="s">
        <v>229</v>
      </c>
      <c r="S835" t="s">
        <v>48</v>
      </c>
      <c r="T835" t="s">
        <v>116</v>
      </c>
      <c r="U835" s="5">
        <v>54</v>
      </c>
      <c r="V835" s="5" t="s">
        <v>85</v>
      </c>
      <c r="W835" s="5">
        <v>16</v>
      </c>
      <c r="X835" s="5">
        <v>4.9000000000000004</v>
      </c>
      <c r="Y835" s="5">
        <v>7</v>
      </c>
      <c r="Z835" s="5" t="s">
        <v>117</v>
      </c>
      <c r="AA835" s="6">
        <v>348.4</v>
      </c>
      <c r="AB835" s="8">
        <f t="shared" ref="AB835:AB898" si="169">G835*H835</f>
        <v>1040</v>
      </c>
      <c r="AC835" s="8">
        <f t="shared" ref="AC835:AC898" si="170">I835*AB835</f>
        <v>20.8</v>
      </c>
      <c r="AD835" s="8">
        <f t="shared" ref="AD835:AD898" si="171">AB835-AC835</f>
        <v>1019.2</v>
      </c>
      <c r="AE835" s="8">
        <f t="shared" ref="AE835:AE898" si="172">G835*AA835</f>
        <v>696.8</v>
      </c>
      <c r="AF835" s="8">
        <f t="shared" ref="AF835:AF898" si="173">AD835-AE835</f>
        <v>322.40000000000009</v>
      </c>
      <c r="AG835" s="9">
        <f t="shared" ref="AG835:AG898" si="174">IFERROR(AF835/AD835,)</f>
        <v>0.31632653061224497</v>
      </c>
      <c r="AH835" s="10">
        <f t="shared" ref="AH835:AH898" si="175">YEAR(B835)</f>
        <v>2025</v>
      </c>
      <c r="AI835" s="10">
        <f t="shared" ref="AI835:AI898" si="176">MONTH(B835)</f>
        <v>1</v>
      </c>
      <c r="AJ835" s="10" t="str">
        <f t="shared" ref="AJ835:AJ898" si="177">TEXT(B835,"yyyy-mm")</f>
        <v>2025-01</v>
      </c>
      <c r="AK835" s="10" t="str">
        <f t="shared" ref="AK835:AK898" si="178">"T"&amp;ROUNDUP(MONTH(B835)/3,0)</f>
        <v>T1</v>
      </c>
      <c r="AL835" s="10" t="str">
        <f t="shared" ref="AL835:AL898" si="179">IF(U835&lt;30,"22-29",IF(U835&lt;40,"30-39",IF(U835&lt;50,"40-49","50+")))</f>
        <v>50+</v>
      </c>
      <c r="AM835" s="10" t="str">
        <f t="shared" ref="AM835:AM898" si="180">IF(X835&lt;5,"faible",IF(X835&lt;7,"moyen",IF(X835&lt;9,"bon","excellent")))</f>
        <v>faible</v>
      </c>
      <c r="AN835" s="10" t="s">
        <v>2837</v>
      </c>
      <c r="AO835" s="10" t="str">
        <f t="shared" ref="AO835:AO898" si="181">IF(AD835&gt;=1000,"Elevée",IF(AD835&gt;=500,"Moyenne","Faible"))</f>
        <v>Elevée</v>
      </c>
    </row>
    <row r="836" spans="1:41">
      <c r="A836" t="s">
        <v>2458</v>
      </c>
      <c r="B836" s="2">
        <v>45706</v>
      </c>
      <c r="C836" t="s">
        <v>2459</v>
      </c>
      <c r="D836" t="s">
        <v>188</v>
      </c>
      <c r="E836" t="s">
        <v>98</v>
      </c>
      <c r="F836" t="s">
        <v>282</v>
      </c>
      <c r="G836">
        <v>10</v>
      </c>
      <c r="H836" s="4">
        <v>350</v>
      </c>
      <c r="I836" s="3">
        <v>0.05</v>
      </c>
      <c r="J836" t="s">
        <v>90</v>
      </c>
      <c r="K836" t="s">
        <v>46</v>
      </c>
      <c r="L836" t="s">
        <v>2460</v>
      </c>
      <c r="M836" t="s">
        <v>69</v>
      </c>
      <c r="N836" t="s">
        <v>101</v>
      </c>
      <c r="O836" t="s">
        <v>192</v>
      </c>
      <c r="P836" t="s">
        <v>51</v>
      </c>
      <c r="Q836" t="s">
        <v>114</v>
      </c>
      <c r="R836" t="s">
        <v>104</v>
      </c>
      <c r="S836" t="s">
        <v>79</v>
      </c>
      <c r="T836" t="s">
        <v>284</v>
      </c>
      <c r="U836" s="5">
        <v>30</v>
      </c>
      <c r="V836" s="5" t="s">
        <v>56</v>
      </c>
      <c r="W836" s="5">
        <v>12</v>
      </c>
      <c r="X836" s="5">
        <v>3.3</v>
      </c>
      <c r="Y836" s="5">
        <v>9</v>
      </c>
      <c r="Z836" s="5" t="s">
        <v>57</v>
      </c>
      <c r="AA836" s="6">
        <v>213.5</v>
      </c>
      <c r="AB836" s="8">
        <f t="shared" si="169"/>
        <v>3500</v>
      </c>
      <c r="AC836" s="8">
        <f t="shared" si="170"/>
        <v>175</v>
      </c>
      <c r="AD836" s="8">
        <f t="shared" si="171"/>
        <v>3325</v>
      </c>
      <c r="AE836" s="8">
        <f t="shared" si="172"/>
        <v>2135</v>
      </c>
      <c r="AF836" s="8">
        <f t="shared" si="173"/>
        <v>1190</v>
      </c>
      <c r="AG836" s="9">
        <f t="shared" si="174"/>
        <v>0.35789473684210527</v>
      </c>
      <c r="AH836" s="10">
        <f t="shared" si="175"/>
        <v>2025</v>
      </c>
      <c r="AI836" s="10">
        <f t="shared" si="176"/>
        <v>2</v>
      </c>
      <c r="AJ836" s="10" t="str">
        <f t="shared" si="177"/>
        <v>2025-02</v>
      </c>
      <c r="AK836" s="10" t="str">
        <f t="shared" si="178"/>
        <v>T1</v>
      </c>
      <c r="AL836" s="10" t="str">
        <f t="shared" si="179"/>
        <v>30-39</v>
      </c>
      <c r="AM836" s="10" t="str">
        <f t="shared" si="180"/>
        <v>faible</v>
      </c>
      <c r="AN836" s="10" t="s">
        <v>2837</v>
      </c>
      <c r="AO836" s="10" t="str">
        <f t="shared" si="181"/>
        <v>Elevée</v>
      </c>
    </row>
    <row r="837" spans="1:41">
      <c r="A837" t="s">
        <v>2461</v>
      </c>
      <c r="B837" s="2">
        <v>45842</v>
      </c>
      <c r="C837" t="s">
        <v>2462</v>
      </c>
      <c r="D837" t="s">
        <v>188</v>
      </c>
      <c r="E837" t="s">
        <v>277</v>
      </c>
      <c r="F837" t="s">
        <v>439</v>
      </c>
      <c r="G837">
        <v>2</v>
      </c>
      <c r="H837" s="4">
        <v>350</v>
      </c>
      <c r="I837" s="3">
        <v>0</v>
      </c>
      <c r="J837" t="s">
        <v>77</v>
      </c>
      <c r="K837" t="s">
        <v>46</v>
      </c>
      <c r="L837" t="s">
        <v>2463</v>
      </c>
      <c r="M837" t="s">
        <v>48</v>
      </c>
      <c r="N837" t="s">
        <v>112</v>
      </c>
      <c r="O837" t="s">
        <v>192</v>
      </c>
      <c r="P837" t="s">
        <v>51</v>
      </c>
      <c r="Q837" t="s">
        <v>114</v>
      </c>
      <c r="R837" t="s">
        <v>279</v>
      </c>
      <c r="S837" t="s">
        <v>54</v>
      </c>
      <c r="T837" t="s">
        <v>441</v>
      </c>
      <c r="U837" s="5">
        <v>27</v>
      </c>
      <c r="V837" s="5" t="s">
        <v>56</v>
      </c>
      <c r="W837" s="5">
        <v>6</v>
      </c>
      <c r="X837" s="5">
        <v>6.8</v>
      </c>
      <c r="Y837" s="5">
        <v>5</v>
      </c>
      <c r="Z837" s="5" t="s">
        <v>57</v>
      </c>
      <c r="AA837" s="6">
        <v>213.5</v>
      </c>
      <c r="AB837" s="8">
        <f t="shared" si="169"/>
        <v>700</v>
      </c>
      <c r="AC837" s="8">
        <f t="shared" si="170"/>
        <v>0</v>
      </c>
      <c r="AD837" s="8">
        <f t="shared" si="171"/>
        <v>700</v>
      </c>
      <c r="AE837" s="8">
        <f t="shared" si="172"/>
        <v>427</v>
      </c>
      <c r="AF837" s="8">
        <f t="shared" si="173"/>
        <v>273</v>
      </c>
      <c r="AG837" s="9">
        <f t="shared" si="174"/>
        <v>0.39</v>
      </c>
      <c r="AH837" s="10">
        <f t="shared" si="175"/>
        <v>2025</v>
      </c>
      <c r="AI837" s="10">
        <f t="shared" si="176"/>
        <v>7</v>
      </c>
      <c r="AJ837" s="10" t="str">
        <f t="shared" si="177"/>
        <v>2025-07</v>
      </c>
      <c r="AK837" s="10" t="str">
        <f t="shared" si="178"/>
        <v>T3</v>
      </c>
      <c r="AL837" s="10" t="str">
        <f t="shared" si="179"/>
        <v>22-29</v>
      </c>
      <c r="AM837" s="10" t="str">
        <f t="shared" si="180"/>
        <v>moyen</v>
      </c>
      <c r="AN837" s="10" t="s">
        <v>2839</v>
      </c>
      <c r="AO837" s="10" t="str">
        <f t="shared" si="181"/>
        <v>Moyenne</v>
      </c>
    </row>
    <row r="838" spans="1:41">
      <c r="A838" t="s">
        <v>2464</v>
      </c>
      <c r="B838" s="2">
        <v>45752</v>
      </c>
      <c r="C838" t="s">
        <v>2465</v>
      </c>
      <c r="D838" t="s">
        <v>174</v>
      </c>
      <c r="E838" t="s">
        <v>189</v>
      </c>
      <c r="F838" t="s">
        <v>62</v>
      </c>
      <c r="G838">
        <v>3</v>
      </c>
      <c r="H838" s="4">
        <v>780</v>
      </c>
      <c r="I838" s="3">
        <v>0.05</v>
      </c>
      <c r="J838" t="s">
        <v>90</v>
      </c>
      <c r="K838" t="s">
        <v>46</v>
      </c>
      <c r="L838" t="s">
        <v>2466</v>
      </c>
      <c r="M838" t="s">
        <v>48</v>
      </c>
      <c r="N838" t="s">
        <v>255</v>
      </c>
      <c r="O838" t="s">
        <v>177</v>
      </c>
      <c r="P838" t="s">
        <v>103</v>
      </c>
      <c r="Q838" t="s">
        <v>114</v>
      </c>
      <c r="R838" t="s">
        <v>193</v>
      </c>
      <c r="S838" t="s">
        <v>79</v>
      </c>
      <c r="T838" t="s">
        <v>70</v>
      </c>
      <c r="U838" s="5">
        <v>38</v>
      </c>
      <c r="V838" s="5" t="s">
        <v>85</v>
      </c>
      <c r="W838" s="5">
        <v>13</v>
      </c>
      <c r="X838" s="5">
        <v>6.1</v>
      </c>
      <c r="Y838" s="5">
        <v>5</v>
      </c>
      <c r="Z838" s="5" t="s">
        <v>94</v>
      </c>
      <c r="AA838" s="6">
        <v>468</v>
      </c>
      <c r="AB838" s="8">
        <f t="shared" si="169"/>
        <v>2340</v>
      </c>
      <c r="AC838" s="8">
        <f t="shared" si="170"/>
        <v>117</v>
      </c>
      <c r="AD838" s="8">
        <f t="shared" si="171"/>
        <v>2223</v>
      </c>
      <c r="AE838" s="8">
        <f t="shared" si="172"/>
        <v>1404</v>
      </c>
      <c r="AF838" s="8">
        <f t="shared" si="173"/>
        <v>819</v>
      </c>
      <c r="AG838" s="9">
        <f t="shared" si="174"/>
        <v>0.36842105263157893</v>
      </c>
      <c r="AH838" s="10">
        <f t="shared" si="175"/>
        <v>2025</v>
      </c>
      <c r="AI838" s="10">
        <f t="shared" si="176"/>
        <v>4</v>
      </c>
      <c r="AJ838" s="10" t="str">
        <f t="shared" si="177"/>
        <v>2025-04</v>
      </c>
      <c r="AK838" s="10" t="str">
        <f t="shared" si="178"/>
        <v>T2</v>
      </c>
      <c r="AL838" s="10" t="str">
        <f t="shared" si="179"/>
        <v>30-39</v>
      </c>
      <c r="AM838" s="10" t="str">
        <f t="shared" si="180"/>
        <v>moyen</v>
      </c>
      <c r="AN838" s="10" t="s">
        <v>2839</v>
      </c>
      <c r="AO838" s="10" t="str">
        <f t="shared" si="181"/>
        <v>Elevée</v>
      </c>
    </row>
    <row r="839" spans="1:41">
      <c r="A839" t="s">
        <v>2467</v>
      </c>
      <c r="B839" s="2">
        <v>45938</v>
      </c>
      <c r="C839" t="s">
        <v>2468</v>
      </c>
      <c r="D839" t="s">
        <v>340</v>
      </c>
      <c r="E839" t="s">
        <v>88</v>
      </c>
      <c r="F839" t="s">
        <v>164</v>
      </c>
      <c r="G839">
        <v>1</v>
      </c>
      <c r="H839" s="4">
        <v>22</v>
      </c>
      <c r="I839" s="3">
        <v>0.02</v>
      </c>
      <c r="J839" t="s">
        <v>45</v>
      </c>
      <c r="K839" t="s">
        <v>46</v>
      </c>
      <c r="L839" t="s">
        <v>2469</v>
      </c>
      <c r="M839" t="s">
        <v>123</v>
      </c>
      <c r="N839" t="s">
        <v>80</v>
      </c>
      <c r="O839" t="s">
        <v>342</v>
      </c>
      <c r="P839" t="s">
        <v>103</v>
      </c>
      <c r="Q839" t="s">
        <v>143</v>
      </c>
      <c r="R839" t="s">
        <v>92</v>
      </c>
      <c r="S839" t="s">
        <v>48</v>
      </c>
      <c r="T839" t="s">
        <v>168</v>
      </c>
      <c r="U839" s="5">
        <v>29</v>
      </c>
      <c r="V839" s="5" t="s">
        <v>85</v>
      </c>
      <c r="W839" s="5">
        <v>56</v>
      </c>
      <c r="X839" s="5">
        <v>5.0999999999999996</v>
      </c>
      <c r="Y839" s="5">
        <v>6</v>
      </c>
      <c r="Z839" s="5" t="s">
        <v>117</v>
      </c>
      <c r="AA839" s="6">
        <v>14.96</v>
      </c>
      <c r="AB839" s="8">
        <f t="shared" si="169"/>
        <v>22</v>
      </c>
      <c r="AC839" s="8">
        <f t="shared" si="170"/>
        <v>0.44</v>
      </c>
      <c r="AD839" s="8">
        <f t="shared" si="171"/>
        <v>21.56</v>
      </c>
      <c r="AE839" s="8">
        <f t="shared" si="172"/>
        <v>14.96</v>
      </c>
      <c r="AF839" s="8">
        <f t="shared" si="173"/>
        <v>6.5999999999999979</v>
      </c>
      <c r="AG839" s="9">
        <f t="shared" si="174"/>
        <v>0.30612244897959173</v>
      </c>
      <c r="AH839" s="10">
        <f t="shared" si="175"/>
        <v>2025</v>
      </c>
      <c r="AI839" s="10">
        <f t="shared" si="176"/>
        <v>10</v>
      </c>
      <c r="AJ839" s="10" t="str">
        <f t="shared" si="177"/>
        <v>2025-10</v>
      </c>
      <c r="AK839" s="10" t="str">
        <f t="shared" si="178"/>
        <v>T4</v>
      </c>
      <c r="AL839" s="10" t="str">
        <f t="shared" si="179"/>
        <v>22-29</v>
      </c>
      <c r="AM839" s="10" t="str">
        <f t="shared" si="180"/>
        <v>moyen</v>
      </c>
      <c r="AN839" s="10" t="s">
        <v>2839</v>
      </c>
      <c r="AO839" s="10" t="str">
        <f t="shared" si="181"/>
        <v>Faible</v>
      </c>
    </row>
    <row r="840" spans="1:41">
      <c r="A840" t="s">
        <v>2470</v>
      </c>
      <c r="B840" s="2">
        <v>45721</v>
      </c>
      <c r="C840" t="s">
        <v>2471</v>
      </c>
      <c r="D840" t="s">
        <v>340</v>
      </c>
      <c r="E840" t="s">
        <v>163</v>
      </c>
      <c r="F840" t="s">
        <v>267</v>
      </c>
      <c r="G840">
        <v>4</v>
      </c>
      <c r="H840" s="4">
        <v>22</v>
      </c>
      <c r="I840" s="3">
        <v>0</v>
      </c>
      <c r="J840" t="s">
        <v>63</v>
      </c>
      <c r="K840" t="s">
        <v>46</v>
      </c>
      <c r="L840" t="s">
        <v>2472</v>
      </c>
      <c r="M840" t="s">
        <v>48</v>
      </c>
      <c r="N840" t="s">
        <v>112</v>
      </c>
      <c r="O840" t="s">
        <v>342</v>
      </c>
      <c r="P840" t="s">
        <v>103</v>
      </c>
      <c r="Q840" t="s">
        <v>143</v>
      </c>
      <c r="R840" t="s">
        <v>167</v>
      </c>
      <c r="S840" t="s">
        <v>123</v>
      </c>
      <c r="T840" t="s">
        <v>269</v>
      </c>
      <c r="U840" s="5">
        <v>51</v>
      </c>
      <c r="V840" s="5" t="s">
        <v>85</v>
      </c>
      <c r="W840" s="5">
        <v>13</v>
      </c>
      <c r="X840" s="5">
        <v>4.2</v>
      </c>
      <c r="Y840" s="5">
        <v>9</v>
      </c>
      <c r="Z840" s="5" t="s">
        <v>117</v>
      </c>
      <c r="AA840" s="6">
        <v>14.96</v>
      </c>
      <c r="AB840" s="8">
        <f t="shared" si="169"/>
        <v>88</v>
      </c>
      <c r="AC840" s="8">
        <f t="shared" si="170"/>
        <v>0</v>
      </c>
      <c r="AD840" s="8">
        <f t="shared" si="171"/>
        <v>88</v>
      </c>
      <c r="AE840" s="8">
        <f t="shared" si="172"/>
        <v>59.84</v>
      </c>
      <c r="AF840" s="8">
        <f t="shared" si="173"/>
        <v>28.159999999999997</v>
      </c>
      <c r="AG840" s="9">
        <f t="shared" si="174"/>
        <v>0.31999999999999995</v>
      </c>
      <c r="AH840" s="10">
        <f t="shared" si="175"/>
        <v>2025</v>
      </c>
      <c r="AI840" s="10">
        <f t="shared" si="176"/>
        <v>3</v>
      </c>
      <c r="AJ840" s="10" t="str">
        <f t="shared" si="177"/>
        <v>2025-03</v>
      </c>
      <c r="AK840" s="10" t="str">
        <f t="shared" si="178"/>
        <v>T1</v>
      </c>
      <c r="AL840" s="10" t="str">
        <f t="shared" si="179"/>
        <v>50+</v>
      </c>
      <c r="AM840" s="10" t="str">
        <f t="shared" si="180"/>
        <v>faible</v>
      </c>
      <c r="AN840" s="10" t="s">
        <v>2837</v>
      </c>
      <c r="AO840" s="10" t="str">
        <f t="shared" si="181"/>
        <v>Faible</v>
      </c>
    </row>
    <row r="841" spans="1:41">
      <c r="A841" t="s">
        <v>2473</v>
      </c>
      <c r="B841" s="2">
        <v>45787</v>
      </c>
      <c r="C841" t="s">
        <v>2474</v>
      </c>
      <c r="D841" t="s">
        <v>148</v>
      </c>
      <c r="E841" t="s">
        <v>88</v>
      </c>
      <c r="F841" t="s">
        <v>175</v>
      </c>
      <c r="G841">
        <v>3</v>
      </c>
      <c r="H841" s="4">
        <v>110</v>
      </c>
      <c r="I841" s="3">
        <v>0.05</v>
      </c>
      <c r="J841" t="s">
        <v>45</v>
      </c>
      <c r="K841" t="s">
        <v>46</v>
      </c>
      <c r="L841" t="s">
        <v>2475</v>
      </c>
      <c r="M841" t="s">
        <v>48</v>
      </c>
      <c r="N841" t="s">
        <v>101</v>
      </c>
      <c r="O841" t="s">
        <v>151</v>
      </c>
      <c r="P841" t="s">
        <v>103</v>
      </c>
      <c r="Q841" t="s">
        <v>114</v>
      </c>
      <c r="R841" t="s">
        <v>92</v>
      </c>
      <c r="S841" t="s">
        <v>48</v>
      </c>
      <c r="T841" t="s">
        <v>178</v>
      </c>
      <c r="U841" s="5">
        <v>60</v>
      </c>
      <c r="V841" s="5" t="s">
        <v>85</v>
      </c>
      <c r="W841" s="5">
        <v>34</v>
      </c>
      <c r="X841" s="5">
        <v>6.8</v>
      </c>
      <c r="Y841" s="5">
        <v>5</v>
      </c>
      <c r="Z841" s="5" t="s">
        <v>71</v>
      </c>
      <c r="AA841" s="6">
        <v>72.599999999999994</v>
      </c>
      <c r="AB841" s="8">
        <f t="shared" si="169"/>
        <v>330</v>
      </c>
      <c r="AC841" s="8">
        <f t="shared" si="170"/>
        <v>16.5</v>
      </c>
      <c r="AD841" s="8">
        <f t="shared" si="171"/>
        <v>313.5</v>
      </c>
      <c r="AE841" s="8">
        <f t="shared" si="172"/>
        <v>217.79999999999998</v>
      </c>
      <c r="AF841" s="8">
        <f t="shared" si="173"/>
        <v>95.700000000000017</v>
      </c>
      <c r="AG841" s="9">
        <f t="shared" si="174"/>
        <v>0.3052631578947369</v>
      </c>
      <c r="AH841" s="10">
        <f t="shared" si="175"/>
        <v>2025</v>
      </c>
      <c r="AI841" s="10">
        <f t="shared" si="176"/>
        <v>5</v>
      </c>
      <c r="AJ841" s="10" t="str">
        <f t="shared" si="177"/>
        <v>2025-05</v>
      </c>
      <c r="AK841" s="10" t="str">
        <f t="shared" si="178"/>
        <v>T2</v>
      </c>
      <c r="AL841" s="10" t="str">
        <f t="shared" si="179"/>
        <v>50+</v>
      </c>
      <c r="AM841" s="10" t="str">
        <f t="shared" si="180"/>
        <v>moyen</v>
      </c>
      <c r="AN841" s="10" t="s">
        <v>2839</v>
      </c>
      <c r="AO841" s="10" t="str">
        <f t="shared" si="181"/>
        <v>Faible</v>
      </c>
    </row>
    <row r="842" spans="1:41">
      <c r="A842" t="s">
        <v>2476</v>
      </c>
      <c r="B842" s="2">
        <v>45678</v>
      </c>
      <c r="C842" t="s">
        <v>604</v>
      </c>
      <c r="D842" t="s">
        <v>162</v>
      </c>
      <c r="E842" t="s">
        <v>98</v>
      </c>
      <c r="F842" t="s">
        <v>502</v>
      </c>
      <c r="G842">
        <v>1</v>
      </c>
      <c r="H842" s="4">
        <v>35</v>
      </c>
      <c r="I842" s="3">
        <v>0</v>
      </c>
      <c r="J842" t="s">
        <v>90</v>
      </c>
      <c r="K842" t="s">
        <v>46</v>
      </c>
      <c r="L842" t="s">
        <v>605</v>
      </c>
      <c r="M842" t="s">
        <v>65</v>
      </c>
      <c r="N842" t="s">
        <v>101</v>
      </c>
      <c r="O842" t="s">
        <v>166</v>
      </c>
      <c r="P842" t="s">
        <v>103</v>
      </c>
      <c r="Q842" t="s">
        <v>143</v>
      </c>
      <c r="R842" t="s">
        <v>104</v>
      </c>
      <c r="S842" t="s">
        <v>79</v>
      </c>
      <c r="T842" t="s">
        <v>504</v>
      </c>
      <c r="U842" s="5">
        <v>51</v>
      </c>
      <c r="V842" s="5" t="s">
        <v>56</v>
      </c>
      <c r="W842" s="5">
        <v>69</v>
      </c>
      <c r="X842" s="5">
        <v>5.9</v>
      </c>
      <c r="Y842" s="5">
        <v>5</v>
      </c>
      <c r="Z842" s="5" t="s">
        <v>71</v>
      </c>
      <c r="AA842" s="6">
        <v>24.15</v>
      </c>
      <c r="AB842" s="8">
        <f t="shared" si="169"/>
        <v>35</v>
      </c>
      <c r="AC842" s="8">
        <f t="shared" si="170"/>
        <v>0</v>
      </c>
      <c r="AD842" s="8">
        <f t="shared" si="171"/>
        <v>35</v>
      </c>
      <c r="AE842" s="8">
        <f t="shared" si="172"/>
        <v>24.15</v>
      </c>
      <c r="AF842" s="8">
        <f t="shared" si="173"/>
        <v>10.850000000000001</v>
      </c>
      <c r="AG842" s="9">
        <f t="shared" si="174"/>
        <v>0.31000000000000005</v>
      </c>
      <c r="AH842" s="10">
        <f t="shared" si="175"/>
        <v>2025</v>
      </c>
      <c r="AI842" s="10">
        <f t="shared" si="176"/>
        <v>1</v>
      </c>
      <c r="AJ842" s="10" t="str">
        <f t="shared" si="177"/>
        <v>2025-01</v>
      </c>
      <c r="AK842" s="10" t="str">
        <f t="shared" si="178"/>
        <v>T1</v>
      </c>
      <c r="AL842" s="10" t="str">
        <f t="shared" si="179"/>
        <v>50+</v>
      </c>
      <c r="AM842" s="10" t="str">
        <f t="shared" si="180"/>
        <v>moyen</v>
      </c>
      <c r="AN842" s="10" t="s">
        <v>2839</v>
      </c>
      <c r="AO842" s="10" t="str">
        <f t="shared" si="181"/>
        <v>Faible</v>
      </c>
    </row>
    <row r="843" spans="1:41">
      <c r="A843" t="s">
        <v>2477</v>
      </c>
      <c r="B843" s="2">
        <v>45715</v>
      </c>
      <c r="C843" t="s">
        <v>2478</v>
      </c>
      <c r="D843" t="s">
        <v>42</v>
      </c>
      <c r="E843" t="s">
        <v>88</v>
      </c>
      <c r="F843" t="s">
        <v>467</v>
      </c>
      <c r="G843">
        <v>3</v>
      </c>
      <c r="H843" s="4">
        <v>260</v>
      </c>
      <c r="I843" s="3">
        <v>0.08</v>
      </c>
      <c r="J843" t="s">
        <v>45</v>
      </c>
      <c r="K843" t="s">
        <v>46</v>
      </c>
      <c r="L843" t="s">
        <v>2479</v>
      </c>
      <c r="M843" t="s">
        <v>69</v>
      </c>
      <c r="N843" t="s">
        <v>255</v>
      </c>
      <c r="O843" t="s">
        <v>50</v>
      </c>
      <c r="P843" t="s">
        <v>51</v>
      </c>
      <c r="Q843" t="s">
        <v>52</v>
      </c>
      <c r="R843" t="s">
        <v>92</v>
      </c>
      <c r="S843" t="s">
        <v>48</v>
      </c>
      <c r="T843" t="s">
        <v>469</v>
      </c>
      <c r="U843" s="5">
        <v>56</v>
      </c>
      <c r="V843" s="5" t="s">
        <v>56</v>
      </c>
      <c r="W843" s="5">
        <v>46</v>
      </c>
      <c r="X843" s="5">
        <v>7</v>
      </c>
      <c r="Y843" s="5">
        <v>3</v>
      </c>
      <c r="Z843" s="5" t="s">
        <v>71</v>
      </c>
      <c r="AA843" s="6">
        <v>189.8</v>
      </c>
      <c r="AB843" s="8">
        <f t="shared" si="169"/>
        <v>780</v>
      </c>
      <c r="AC843" s="8">
        <f t="shared" si="170"/>
        <v>62.4</v>
      </c>
      <c r="AD843" s="8">
        <f t="shared" si="171"/>
        <v>717.6</v>
      </c>
      <c r="AE843" s="8">
        <f t="shared" si="172"/>
        <v>569.40000000000009</v>
      </c>
      <c r="AF843" s="8">
        <f t="shared" si="173"/>
        <v>148.19999999999993</v>
      </c>
      <c r="AG843" s="9">
        <f t="shared" si="174"/>
        <v>0.20652173913043467</v>
      </c>
      <c r="AH843" s="10">
        <f t="shared" si="175"/>
        <v>2025</v>
      </c>
      <c r="AI843" s="10">
        <f t="shared" si="176"/>
        <v>2</v>
      </c>
      <c r="AJ843" s="10" t="str">
        <f t="shared" si="177"/>
        <v>2025-02</v>
      </c>
      <c r="AK843" s="10" t="str">
        <f t="shared" si="178"/>
        <v>T1</v>
      </c>
      <c r="AL843" s="10" t="str">
        <f t="shared" si="179"/>
        <v>50+</v>
      </c>
      <c r="AM843" s="10" t="str">
        <f t="shared" si="180"/>
        <v>bon</v>
      </c>
      <c r="AN843" s="10" t="s">
        <v>2838</v>
      </c>
      <c r="AO843" s="10" t="str">
        <f t="shared" si="181"/>
        <v>Moyenne</v>
      </c>
    </row>
    <row r="844" spans="1:41">
      <c r="A844" t="s">
        <v>2480</v>
      </c>
      <c r="B844" s="2">
        <v>45763</v>
      </c>
      <c r="C844" t="s">
        <v>2481</v>
      </c>
      <c r="D844" t="s">
        <v>333</v>
      </c>
      <c r="E844" t="s">
        <v>345</v>
      </c>
      <c r="F844" t="s">
        <v>238</v>
      </c>
      <c r="G844">
        <v>2</v>
      </c>
      <c r="H844" s="4">
        <v>65</v>
      </c>
      <c r="I844" s="3">
        <v>0</v>
      </c>
      <c r="J844" t="s">
        <v>90</v>
      </c>
      <c r="K844" t="s">
        <v>46</v>
      </c>
      <c r="L844" t="s">
        <v>2482</v>
      </c>
      <c r="M844" t="s">
        <v>123</v>
      </c>
      <c r="N844" t="s">
        <v>101</v>
      </c>
      <c r="O844" t="s">
        <v>336</v>
      </c>
      <c r="P844" t="s">
        <v>51</v>
      </c>
      <c r="Q844" t="s">
        <v>52</v>
      </c>
      <c r="R844" t="s">
        <v>347</v>
      </c>
      <c r="S844" t="s">
        <v>54</v>
      </c>
      <c r="T844" t="s">
        <v>240</v>
      </c>
      <c r="U844" s="5">
        <v>43</v>
      </c>
      <c r="V844" s="5" t="s">
        <v>85</v>
      </c>
      <c r="W844" s="5">
        <v>48</v>
      </c>
      <c r="X844" s="5">
        <v>9.3000000000000007</v>
      </c>
      <c r="Y844" s="5">
        <v>1</v>
      </c>
      <c r="Z844" s="5" t="s">
        <v>117</v>
      </c>
      <c r="AA844" s="6">
        <v>47.45</v>
      </c>
      <c r="AB844" s="8">
        <f t="shared" si="169"/>
        <v>130</v>
      </c>
      <c r="AC844" s="8">
        <f t="shared" si="170"/>
        <v>0</v>
      </c>
      <c r="AD844" s="8">
        <f t="shared" si="171"/>
        <v>130</v>
      </c>
      <c r="AE844" s="8">
        <f t="shared" si="172"/>
        <v>94.9</v>
      </c>
      <c r="AF844" s="8">
        <f t="shared" si="173"/>
        <v>35.099999999999994</v>
      </c>
      <c r="AG844" s="9">
        <f t="shared" si="174"/>
        <v>0.26999999999999996</v>
      </c>
      <c r="AH844" s="10">
        <f t="shared" si="175"/>
        <v>2025</v>
      </c>
      <c r="AI844" s="10">
        <f t="shared" si="176"/>
        <v>4</v>
      </c>
      <c r="AJ844" s="10" t="str">
        <f t="shared" si="177"/>
        <v>2025-04</v>
      </c>
      <c r="AK844" s="10" t="str">
        <f t="shared" si="178"/>
        <v>T2</v>
      </c>
      <c r="AL844" s="10" t="str">
        <f t="shared" si="179"/>
        <v>40-49</v>
      </c>
      <c r="AM844" s="10" t="str">
        <f t="shared" si="180"/>
        <v>excellent</v>
      </c>
      <c r="AN844" s="10" t="s">
        <v>2838</v>
      </c>
      <c r="AO844" s="10" t="str">
        <f t="shared" si="181"/>
        <v>Faible</v>
      </c>
    </row>
    <row r="845" spans="1:41">
      <c r="A845" t="s">
        <v>2483</v>
      </c>
      <c r="B845" s="2">
        <v>45923</v>
      </c>
      <c r="C845" t="s">
        <v>1579</v>
      </c>
      <c r="D845" t="s">
        <v>333</v>
      </c>
      <c r="E845" t="s">
        <v>226</v>
      </c>
      <c r="F845" t="s">
        <v>424</v>
      </c>
      <c r="G845">
        <v>3</v>
      </c>
      <c r="H845" s="4">
        <v>65</v>
      </c>
      <c r="I845" s="3">
        <v>0.02</v>
      </c>
      <c r="J845" t="s">
        <v>45</v>
      </c>
      <c r="K845" t="s">
        <v>46</v>
      </c>
      <c r="L845" t="s">
        <v>1580</v>
      </c>
      <c r="M845" t="s">
        <v>65</v>
      </c>
      <c r="N845" t="s">
        <v>101</v>
      </c>
      <c r="O845" t="s">
        <v>336</v>
      </c>
      <c r="P845" t="s">
        <v>51</v>
      </c>
      <c r="Q845" t="s">
        <v>52</v>
      </c>
      <c r="R845" t="s">
        <v>229</v>
      </c>
      <c r="S845" t="s">
        <v>48</v>
      </c>
      <c r="T845" t="s">
        <v>426</v>
      </c>
      <c r="U845" s="5">
        <v>24</v>
      </c>
      <c r="V845" s="5" t="s">
        <v>85</v>
      </c>
      <c r="W845" s="5">
        <v>42</v>
      </c>
      <c r="X845" s="5">
        <v>4.9000000000000004</v>
      </c>
      <c r="Y845" s="5">
        <v>6</v>
      </c>
      <c r="Z845" s="5" t="s">
        <v>71</v>
      </c>
      <c r="AA845" s="6">
        <v>47.45</v>
      </c>
      <c r="AB845" s="8">
        <f t="shared" si="169"/>
        <v>195</v>
      </c>
      <c r="AC845" s="8">
        <f t="shared" si="170"/>
        <v>3.9</v>
      </c>
      <c r="AD845" s="8">
        <f t="shared" si="171"/>
        <v>191.1</v>
      </c>
      <c r="AE845" s="8">
        <f t="shared" si="172"/>
        <v>142.35000000000002</v>
      </c>
      <c r="AF845" s="8">
        <f t="shared" si="173"/>
        <v>48.749999999999972</v>
      </c>
      <c r="AG845" s="9">
        <f t="shared" si="174"/>
        <v>0.25510204081632637</v>
      </c>
      <c r="AH845" s="10">
        <f t="shared" si="175"/>
        <v>2025</v>
      </c>
      <c r="AI845" s="10">
        <f t="shared" si="176"/>
        <v>9</v>
      </c>
      <c r="AJ845" s="10" t="str">
        <f t="shared" si="177"/>
        <v>2025-09</v>
      </c>
      <c r="AK845" s="10" t="str">
        <f t="shared" si="178"/>
        <v>T3</v>
      </c>
      <c r="AL845" s="10" t="str">
        <f t="shared" si="179"/>
        <v>22-29</v>
      </c>
      <c r="AM845" s="10" t="str">
        <f t="shared" si="180"/>
        <v>faible</v>
      </c>
      <c r="AN845" s="10" t="s">
        <v>2839</v>
      </c>
      <c r="AO845" s="10" t="str">
        <f t="shared" si="181"/>
        <v>Faible</v>
      </c>
    </row>
    <row r="846" spans="1:41">
      <c r="A846" t="s">
        <v>2484</v>
      </c>
      <c r="B846" s="2">
        <v>45754</v>
      </c>
      <c r="C846" t="s">
        <v>1838</v>
      </c>
      <c r="D846" t="s">
        <v>181</v>
      </c>
      <c r="E846" t="s">
        <v>226</v>
      </c>
      <c r="F846" t="s">
        <v>328</v>
      </c>
      <c r="G846">
        <v>5</v>
      </c>
      <c r="H846" s="4">
        <v>145</v>
      </c>
      <c r="I846" s="3">
        <v>0.1</v>
      </c>
      <c r="J846" t="s">
        <v>45</v>
      </c>
      <c r="K846" t="s">
        <v>46</v>
      </c>
      <c r="L846" t="s">
        <v>1839</v>
      </c>
      <c r="M846" t="s">
        <v>54</v>
      </c>
      <c r="N846" t="s">
        <v>112</v>
      </c>
      <c r="O846" t="s">
        <v>184</v>
      </c>
      <c r="P846" t="s">
        <v>103</v>
      </c>
      <c r="Q846" t="s">
        <v>52</v>
      </c>
      <c r="R846" t="s">
        <v>229</v>
      </c>
      <c r="S846" t="s">
        <v>48</v>
      </c>
      <c r="T846" t="s">
        <v>330</v>
      </c>
      <c r="U846" s="5">
        <v>28</v>
      </c>
      <c r="V846" s="5" t="s">
        <v>85</v>
      </c>
      <c r="W846" s="5">
        <v>49</v>
      </c>
      <c r="X846" s="5">
        <v>6.8</v>
      </c>
      <c r="Y846" s="5">
        <v>5</v>
      </c>
      <c r="Z846" s="5" t="s">
        <v>94</v>
      </c>
      <c r="AA846" s="6">
        <v>97.15</v>
      </c>
      <c r="AB846" s="8">
        <f t="shared" si="169"/>
        <v>725</v>
      </c>
      <c r="AC846" s="8">
        <f t="shared" si="170"/>
        <v>72.5</v>
      </c>
      <c r="AD846" s="8">
        <f t="shared" si="171"/>
        <v>652.5</v>
      </c>
      <c r="AE846" s="8">
        <f t="shared" si="172"/>
        <v>485.75</v>
      </c>
      <c r="AF846" s="8">
        <f t="shared" si="173"/>
        <v>166.75</v>
      </c>
      <c r="AG846" s="9">
        <f t="shared" si="174"/>
        <v>0.25555555555555554</v>
      </c>
      <c r="AH846" s="10">
        <f t="shared" si="175"/>
        <v>2025</v>
      </c>
      <c r="AI846" s="10">
        <f t="shared" si="176"/>
        <v>4</v>
      </c>
      <c r="AJ846" s="10" t="str">
        <f t="shared" si="177"/>
        <v>2025-04</v>
      </c>
      <c r="AK846" s="10" t="str">
        <f t="shared" si="178"/>
        <v>T2</v>
      </c>
      <c r="AL846" s="10" t="str">
        <f t="shared" si="179"/>
        <v>22-29</v>
      </c>
      <c r="AM846" s="10" t="str">
        <f t="shared" si="180"/>
        <v>moyen</v>
      </c>
      <c r="AN846" s="10" t="s">
        <v>2839</v>
      </c>
      <c r="AO846" s="10" t="str">
        <f t="shared" si="181"/>
        <v>Moyenne</v>
      </c>
    </row>
    <row r="847" spans="1:41">
      <c r="A847" t="s">
        <v>2485</v>
      </c>
      <c r="B847" s="2">
        <v>45659</v>
      </c>
      <c r="C847" t="s">
        <v>1842</v>
      </c>
      <c r="D847" t="s">
        <v>333</v>
      </c>
      <c r="E847" t="s">
        <v>219</v>
      </c>
      <c r="F847" t="s">
        <v>522</v>
      </c>
      <c r="G847">
        <v>2</v>
      </c>
      <c r="H847" s="4">
        <v>65</v>
      </c>
      <c r="I847" s="3">
        <v>0</v>
      </c>
      <c r="J847" t="s">
        <v>90</v>
      </c>
      <c r="K847" t="s">
        <v>46</v>
      </c>
      <c r="L847" t="s">
        <v>1843</v>
      </c>
      <c r="M847" t="s">
        <v>123</v>
      </c>
      <c r="N847" t="s">
        <v>101</v>
      </c>
      <c r="O847" t="s">
        <v>336</v>
      </c>
      <c r="P847" t="s">
        <v>51</v>
      </c>
      <c r="Q847" t="s">
        <v>52</v>
      </c>
      <c r="R847" t="s">
        <v>222</v>
      </c>
      <c r="S847" t="s">
        <v>123</v>
      </c>
      <c r="T847" t="s">
        <v>524</v>
      </c>
      <c r="U847" s="5">
        <v>42</v>
      </c>
      <c r="V847" s="5" t="s">
        <v>56</v>
      </c>
      <c r="W847" s="5">
        <v>5</v>
      </c>
      <c r="X847" s="5">
        <v>6.7</v>
      </c>
      <c r="Y847" s="5">
        <v>4</v>
      </c>
      <c r="Z847" s="5" t="s">
        <v>94</v>
      </c>
      <c r="AA847" s="6">
        <v>47.45</v>
      </c>
      <c r="AB847" s="8">
        <f t="shared" si="169"/>
        <v>130</v>
      </c>
      <c r="AC847" s="8">
        <f t="shared" si="170"/>
        <v>0</v>
      </c>
      <c r="AD847" s="8">
        <f t="shared" si="171"/>
        <v>130</v>
      </c>
      <c r="AE847" s="8">
        <f t="shared" si="172"/>
        <v>94.9</v>
      </c>
      <c r="AF847" s="8">
        <f t="shared" si="173"/>
        <v>35.099999999999994</v>
      </c>
      <c r="AG847" s="9">
        <f t="shared" si="174"/>
        <v>0.26999999999999996</v>
      </c>
      <c r="AH847" s="10">
        <f t="shared" si="175"/>
        <v>2025</v>
      </c>
      <c r="AI847" s="10">
        <f t="shared" si="176"/>
        <v>1</v>
      </c>
      <c r="AJ847" s="10" t="str">
        <f t="shared" si="177"/>
        <v>2025-01</v>
      </c>
      <c r="AK847" s="10" t="str">
        <f t="shared" si="178"/>
        <v>T1</v>
      </c>
      <c r="AL847" s="10" t="str">
        <f t="shared" si="179"/>
        <v>40-49</v>
      </c>
      <c r="AM847" s="10" t="str">
        <f t="shared" si="180"/>
        <v>moyen</v>
      </c>
      <c r="AN847" s="10" t="s">
        <v>2839</v>
      </c>
      <c r="AO847" s="10" t="str">
        <f t="shared" si="181"/>
        <v>Faible</v>
      </c>
    </row>
    <row r="848" spans="1:41">
      <c r="A848" t="s">
        <v>2486</v>
      </c>
      <c r="B848" s="2">
        <v>45762</v>
      </c>
      <c r="C848" t="s">
        <v>2487</v>
      </c>
      <c r="D848" t="s">
        <v>155</v>
      </c>
      <c r="E848" t="s">
        <v>207</v>
      </c>
      <c r="F848" t="s">
        <v>350</v>
      </c>
      <c r="G848">
        <v>2</v>
      </c>
      <c r="H848" s="4">
        <v>48</v>
      </c>
      <c r="I848" s="3">
        <v>0</v>
      </c>
      <c r="J848" t="s">
        <v>45</v>
      </c>
      <c r="K848" t="s">
        <v>46</v>
      </c>
      <c r="L848" t="s">
        <v>2488</v>
      </c>
      <c r="M848" t="s">
        <v>65</v>
      </c>
      <c r="N848" t="s">
        <v>49</v>
      </c>
      <c r="O848" t="s">
        <v>158</v>
      </c>
      <c r="P848" t="s">
        <v>51</v>
      </c>
      <c r="Q848" t="s">
        <v>143</v>
      </c>
      <c r="R848" t="s">
        <v>210</v>
      </c>
      <c r="S848" t="s">
        <v>79</v>
      </c>
      <c r="T848" t="s">
        <v>352</v>
      </c>
      <c r="U848" s="5">
        <v>42</v>
      </c>
      <c r="V848" s="5" t="s">
        <v>85</v>
      </c>
      <c r="W848" s="5">
        <v>37</v>
      </c>
      <c r="X848" s="5">
        <v>6.1</v>
      </c>
      <c r="Y848" s="5">
        <v>5</v>
      </c>
      <c r="Z848" s="5" t="s">
        <v>57</v>
      </c>
      <c r="AA848" s="6">
        <v>37.44</v>
      </c>
      <c r="AB848" s="8">
        <f t="shared" si="169"/>
        <v>96</v>
      </c>
      <c r="AC848" s="8">
        <f t="shared" si="170"/>
        <v>0</v>
      </c>
      <c r="AD848" s="8">
        <f t="shared" si="171"/>
        <v>96</v>
      </c>
      <c r="AE848" s="8">
        <f t="shared" si="172"/>
        <v>74.88</v>
      </c>
      <c r="AF848" s="8">
        <f t="shared" si="173"/>
        <v>21.120000000000005</v>
      </c>
      <c r="AG848" s="9">
        <f t="shared" si="174"/>
        <v>0.22000000000000006</v>
      </c>
      <c r="AH848" s="10">
        <f t="shared" si="175"/>
        <v>2025</v>
      </c>
      <c r="AI848" s="10">
        <f t="shared" si="176"/>
        <v>4</v>
      </c>
      <c r="AJ848" s="10" t="str">
        <f t="shared" si="177"/>
        <v>2025-04</v>
      </c>
      <c r="AK848" s="10" t="str">
        <f t="shared" si="178"/>
        <v>T2</v>
      </c>
      <c r="AL848" s="10" t="str">
        <f t="shared" si="179"/>
        <v>40-49</v>
      </c>
      <c r="AM848" s="10" t="str">
        <f t="shared" si="180"/>
        <v>moyen</v>
      </c>
      <c r="AN848" s="10" t="s">
        <v>2839</v>
      </c>
      <c r="AO848" s="10" t="str">
        <f t="shared" si="181"/>
        <v>Faible</v>
      </c>
    </row>
    <row r="849" spans="1:41">
      <c r="A849" t="s">
        <v>2489</v>
      </c>
      <c r="B849" s="2">
        <v>45929</v>
      </c>
      <c r="C849" t="s">
        <v>2490</v>
      </c>
      <c r="D849" t="s">
        <v>333</v>
      </c>
      <c r="E849" t="s">
        <v>120</v>
      </c>
      <c r="F849" t="s">
        <v>676</v>
      </c>
      <c r="G849">
        <v>1</v>
      </c>
      <c r="H849" s="4">
        <v>65</v>
      </c>
      <c r="I849" s="3">
        <v>0.02</v>
      </c>
      <c r="J849" t="s">
        <v>77</v>
      </c>
      <c r="K849" t="s">
        <v>46</v>
      </c>
      <c r="L849" t="s">
        <v>2491</v>
      </c>
      <c r="M849" t="s">
        <v>48</v>
      </c>
      <c r="N849" t="s">
        <v>101</v>
      </c>
      <c r="O849" t="s">
        <v>336</v>
      </c>
      <c r="P849" t="s">
        <v>51</v>
      </c>
      <c r="Q849" t="s">
        <v>52</v>
      </c>
      <c r="R849" t="s">
        <v>124</v>
      </c>
      <c r="S849" t="s">
        <v>48</v>
      </c>
      <c r="T849" t="s">
        <v>678</v>
      </c>
      <c r="U849" s="5">
        <v>22</v>
      </c>
      <c r="V849" s="5" t="s">
        <v>56</v>
      </c>
      <c r="W849" s="5">
        <v>46</v>
      </c>
      <c r="X849" s="5">
        <v>4.0999999999999996</v>
      </c>
      <c r="Y849" s="5">
        <v>7</v>
      </c>
      <c r="Z849" s="5" t="s">
        <v>57</v>
      </c>
      <c r="AA849" s="6">
        <v>47.45</v>
      </c>
      <c r="AB849" s="8">
        <f t="shared" si="169"/>
        <v>65</v>
      </c>
      <c r="AC849" s="8">
        <f t="shared" si="170"/>
        <v>1.3</v>
      </c>
      <c r="AD849" s="8">
        <f t="shared" si="171"/>
        <v>63.7</v>
      </c>
      <c r="AE849" s="8">
        <f t="shared" si="172"/>
        <v>47.45</v>
      </c>
      <c r="AF849" s="8">
        <f t="shared" si="173"/>
        <v>16.25</v>
      </c>
      <c r="AG849" s="9">
        <f t="shared" si="174"/>
        <v>0.25510204081632654</v>
      </c>
      <c r="AH849" s="10">
        <f t="shared" si="175"/>
        <v>2025</v>
      </c>
      <c r="AI849" s="10">
        <f t="shared" si="176"/>
        <v>9</v>
      </c>
      <c r="AJ849" s="10" t="str">
        <f t="shared" si="177"/>
        <v>2025-09</v>
      </c>
      <c r="AK849" s="10" t="str">
        <f t="shared" si="178"/>
        <v>T3</v>
      </c>
      <c r="AL849" s="10" t="str">
        <f t="shared" si="179"/>
        <v>22-29</v>
      </c>
      <c r="AM849" s="10" t="str">
        <f t="shared" si="180"/>
        <v>faible</v>
      </c>
      <c r="AN849" s="10" t="s">
        <v>2837</v>
      </c>
      <c r="AO849" s="10" t="str">
        <f t="shared" si="181"/>
        <v>Faible</v>
      </c>
    </row>
    <row r="850" spans="1:41">
      <c r="A850" t="s">
        <v>2492</v>
      </c>
      <c r="B850" s="2">
        <v>45799</v>
      </c>
      <c r="C850" t="s">
        <v>797</v>
      </c>
      <c r="D850" t="s">
        <v>155</v>
      </c>
      <c r="E850" t="s">
        <v>88</v>
      </c>
      <c r="F850" t="s">
        <v>182</v>
      </c>
      <c r="G850">
        <v>5</v>
      </c>
      <c r="H850" s="4">
        <v>48</v>
      </c>
      <c r="I850" s="3">
        <v>0.02</v>
      </c>
      <c r="J850" t="s">
        <v>77</v>
      </c>
      <c r="K850" t="s">
        <v>46</v>
      </c>
      <c r="L850" t="s">
        <v>798</v>
      </c>
      <c r="M850" t="s">
        <v>123</v>
      </c>
      <c r="N850" t="s">
        <v>101</v>
      </c>
      <c r="O850" t="s">
        <v>158</v>
      </c>
      <c r="P850" t="s">
        <v>51</v>
      </c>
      <c r="Q850" t="s">
        <v>143</v>
      </c>
      <c r="R850" t="s">
        <v>92</v>
      </c>
      <c r="S850" t="s">
        <v>48</v>
      </c>
      <c r="T850" t="s">
        <v>185</v>
      </c>
      <c r="U850" s="5">
        <v>39</v>
      </c>
      <c r="V850" s="5" t="s">
        <v>85</v>
      </c>
      <c r="W850" s="5">
        <v>15</v>
      </c>
      <c r="X850" s="5">
        <v>7.7</v>
      </c>
      <c r="Y850" s="5">
        <v>3</v>
      </c>
      <c r="Z850" s="5" t="s">
        <v>117</v>
      </c>
      <c r="AA850" s="6">
        <v>37.44</v>
      </c>
      <c r="AB850" s="8">
        <f t="shared" si="169"/>
        <v>240</v>
      </c>
      <c r="AC850" s="8">
        <f t="shared" si="170"/>
        <v>4.8</v>
      </c>
      <c r="AD850" s="8">
        <f t="shared" si="171"/>
        <v>235.2</v>
      </c>
      <c r="AE850" s="8">
        <f t="shared" si="172"/>
        <v>187.2</v>
      </c>
      <c r="AF850" s="8">
        <f t="shared" si="173"/>
        <v>48</v>
      </c>
      <c r="AG850" s="9">
        <f t="shared" si="174"/>
        <v>0.20408163265306123</v>
      </c>
      <c r="AH850" s="10">
        <f t="shared" si="175"/>
        <v>2025</v>
      </c>
      <c r="AI850" s="10">
        <f t="shared" si="176"/>
        <v>5</v>
      </c>
      <c r="AJ850" s="10" t="str">
        <f t="shared" si="177"/>
        <v>2025-05</v>
      </c>
      <c r="AK850" s="10" t="str">
        <f t="shared" si="178"/>
        <v>T2</v>
      </c>
      <c r="AL850" s="10" t="str">
        <f t="shared" si="179"/>
        <v>30-39</v>
      </c>
      <c r="AM850" s="10" t="str">
        <f t="shared" si="180"/>
        <v>bon</v>
      </c>
      <c r="AN850" s="10" t="s">
        <v>2838</v>
      </c>
      <c r="AO850" s="10" t="str">
        <f t="shared" si="181"/>
        <v>Faible</v>
      </c>
    </row>
    <row r="851" spans="1:41">
      <c r="A851" t="s">
        <v>2493</v>
      </c>
      <c r="B851" s="2">
        <v>45847</v>
      </c>
      <c r="C851" t="s">
        <v>2494</v>
      </c>
      <c r="D851" t="s">
        <v>42</v>
      </c>
      <c r="E851" t="s">
        <v>345</v>
      </c>
      <c r="F851" t="s">
        <v>467</v>
      </c>
      <c r="G851">
        <v>3</v>
      </c>
      <c r="H851" s="4">
        <v>260</v>
      </c>
      <c r="I851" s="3">
        <v>0.08</v>
      </c>
      <c r="J851" t="s">
        <v>90</v>
      </c>
      <c r="K851" t="s">
        <v>46</v>
      </c>
      <c r="L851" t="s">
        <v>2495</v>
      </c>
      <c r="M851" t="s">
        <v>123</v>
      </c>
      <c r="N851" t="s">
        <v>80</v>
      </c>
      <c r="O851" t="s">
        <v>50</v>
      </c>
      <c r="P851" t="s">
        <v>51</v>
      </c>
      <c r="Q851" t="s">
        <v>52</v>
      </c>
      <c r="R851" t="s">
        <v>347</v>
      </c>
      <c r="S851" t="s">
        <v>54</v>
      </c>
      <c r="T851" t="s">
        <v>469</v>
      </c>
      <c r="U851" s="5">
        <v>40</v>
      </c>
      <c r="V851" s="5" t="s">
        <v>85</v>
      </c>
      <c r="W851" s="5">
        <v>22</v>
      </c>
      <c r="X851" s="5">
        <v>6</v>
      </c>
      <c r="Y851" s="5">
        <v>6</v>
      </c>
      <c r="Z851" s="5" t="s">
        <v>117</v>
      </c>
      <c r="AA851" s="6">
        <v>189.8</v>
      </c>
      <c r="AB851" s="8">
        <f t="shared" si="169"/>
        <v>780</v>
      </c>
      <c r="AC851" s="8">
        <f t="shared" si="170"/>
        <v>62.4</v>
      </c>
      <c r="AD851" s="8">
        <f t="shared" si="171"/>
        <v>717.6</v>
      </c>
      <c r="AE851" s="8">
        <f t="shared" si="172"/>
        <v>569.40000000000009</v>
      </c>
      <c r="AF851" s="8">
        <f t="shared" si="173"/>
        <v>148.19999999999993</v>
      </c>
      <c r="AG851" s="9">
        <f t="shared" si="174"/>
        <v>0.20652173913043467</v>
      </c>
      <c r="AH851" s="10">
        <f t="shared" si="175"/>
        <v>2025</v>
      </c>
      <c r="AI851" s="10">
        <f t="shared" si="176"/>
        <v>7</v>
      </c>
      <c r="AJ851" s="10" t="str">
        <f t="shared" si="177"/>
        <v>2025-07</v>
      </c>
      <c r="AK851" s="10" t="str">
        <f t="shared" si="178"/>
        <v>T3</v>
      </c>
      <c r="AL851" s="10" t="str">
        <f t="shared" si="179"/>
        <v>40-49</v>
      </c>
      <c r="AM851" s="10" t="str">
        <f t="shared" si="180"/>
        <v>moyen</v>
      </c>
      <c r="AN851" s="10" t="s">
        <v>2839</v>
      </c>
      <c r="AO851" s="10" t="str">
        <f t="shared" si="181"/>
        <v>Moyenne</v>
      </c>
    </row>
    <row r="852" spans="1:41">
      <c r="A852" t="s">
        <v>2496</v>
      </c>
      <c r="B852" s="2">
        <v>45690</v>
      </c>
      <c r="C852" t="s">
        <v>2497</v>
      </c>
      <c r="D852" t="s">
        <v>74</v>
      </c>
      <c r="E852" t="s">
        <v>226</v>
      </c>
      <c r="F852" t="s">
        <v>287</v>
      </c>
      <c r="G852">
        <v>3</v>
      </c>
      <c r="H852" s="4">
        <v>95</v>
      </c>
      <c r="I852" s="3">
        <v>0</v>
      </c>
      <c r="J852" t="s">
        <v>45</v>
      </c>
      <c r="K852" t="s">
        <v>46</v>
      </c>
      <c r="L852" t="s">
        <v>2498</v>
      </c>
      <c r="M852" t="s">
        <v>65</v>
      </c>
      <c r="N852" t="s">
        <v>101</v>
      </c>
      <c r="O852" t="s">
        <v>81</v>
      </c>
      <c r="P852" t="s">
        <v>82</v>
      </c>
      <c r="Q852" t="s">
        <v>52</v>
      </c>
      <c r="R852" t="s">
        <v>229</v>
      </c>
      <c r="S852" t="s">
        <v>48</v>
      </c>
      <c r="T852" t="s">
        <v>289</v>
      </c>
      <c r="U852" s="5">
        <v>54</v>
      </c>
      <c r="V852" s="5" t="s">
        <v>56</v>
      </c>
      <c r="W852" s="5">
        <v>65</v>
      </c>
      <c r="X852" s="5">
        <v>7.4</v>
      </c>
      <c r="Y852" s="5">
        <v>4</v>
      </c>
      <c r="Z852" s="5" t="s">
        <v>71</v>
      </c>
      <c r="AA852" s="6">
        <v>70.3</v>
      </c>
      <c r="AB852" s="8">
        <f t="shared" si="169"/>
        <v>285</v>
      </c>
      <c r="AC852" s="8">
        <f t="shared" si="170"/>
        <v>0</v>
      </c>
      <c r="AD852" s="8">
        <f t="shared" si="171"/>
        <v>285</v>
      </c>
      <c r="AE852" s="8">
        <f t="shared" si="172"/>
        <v>210.89999999999998</v>
      </c>
      <c r="AF852" s="8">
        <f t="shared" si="173"/>
        <v>74.100000000000023</v>
      </c>
      <c r="AG852" s="9">
        <f t="shared" si="174"/>
        <v>0.26000000000000006</v>
      </c>
      <c r="AH852" s="10">
        <f t="shared" si="175"/>
        <v>2025</v>
      </c>
      <c r="AI852" s="10">
        <f t="shared" si="176"/>
        <v>2</v>
      </c>
      <c r="AJ852" s="10" t="str">
        <f t="shared" si="177"/>
        <v>2025-02</v>
      </c>
      <c r="AK852" s="10" t="str">
        <f t="shared" si="178"/>
        <v>T1</v>
      </c>
      <c r="AL852" s="10" t="str">
        <f t="shared" si="179"/>
        <v>50+</v>
      </c>
      <c r="AM852" s="10" t="str">
        <f t="shared" si="180"/>
        <v>bon</v>
      </c>
      <c r="AN852" s="10" t="s">
        <v>2839</v>
      </c>
      <c r="AO852" s="10" t="str">
        <f t="shared" si="181"/>
        <v>Faible</v>
      </c>
    </row>
    <row r="853" spans="1:41">
      <c r="A853" t="s">
        <v>2499</v>
      </c>
      <c r="B853" s="2">
        <v>45972</v>
      </c>
      <c r="C853" t="s">
        <v>2384</v>
      </c>
      <c r="D853" t="s">
        <v>162</v>
      </c>
      <c r="E853" t="s">
        <v>61</v>
      </c>
      <c r="F853" t="s">
        <v>302</v>
      </c>
      <c r="G853">
        <v>3</v>
      </c>
      <c r="H853" s="4">
        <v>35</v>
      </c>
      <c r="I853" s="3">
        <v>0.05</v>
      </c>
      <c r="J853" t="s">
        <v>45</v>
      </c>
      <c r="K853" t="s">
        <v>46</v>
      </c>
      <c r="L853" t="s">
        <v>2385</v>
      </c>
      <c r="M853" t="s">
        <v>79</v>
      </c>
      <c r="N853" t="s">
        <v>49</v>
      </c>
      <c r="O853" t="s">
        <v>166</v>
      </c>
      <c r="P853" t="s">
        <v>103</v>
      </c>
      <c r="Q853" t="s">
        <v>143</v>
      </c>
      <c r="R853" t="s">
        <v>68</v>
      </c>
      <c r="S853" t="s">
        <v>69</v>
      </c>
      <c r="T853" t="s">
        <v>304</v>
      </c>
      <c r="U853" s="5">
        <v>57</v>
      </c>
      <c r="V853" s="5" t="s">
        <v>56</v>
      </c>
      <c r="W853" s="5">
        <v>40</v>
      </c>
      <c r="X853" s="5">
        <v>7.3</v>
      </c>
      <c r="Y853" s="5">
        <v>3</v>
      </c>
      <c r="Z853" s="5" t="s">
        <v>57</v>
      </c>
      <c r="AA853" s="6">
        <v>24.15</v>
      </c>
      <c r="AB853" s="8">
        <f t="shared" si="169"/>
        <v>105</v>
      </c>
      <c r="AC853" s="8">
        <f t="shared" si="170"/>
        <v>5.25</v>
      </c>
      <c r="AD853" s="8">
        <f t="shared" si="171"/>
        <v>99.75</v>
      </c>
      <c r="AE853" s="8">
        <f t="shared" si="172"/>
        <v>72.449999999999989</v>
      </c>
      <c r="AF853" s="8">
        <f t="shared" si="173"/>
        <v>27.300000000000011</v>
      </c>
      <c r="AG853" s="9">
        <f t="shared" si="174"/>
        <v>0.27368421052631592</v>
      </c>
      <c r="AH853" s="10">
        <f t="shared" si="175"/>
        <v>2025</v>
      </c>
      <c r="AI853" s="10">
        <f t="shared" si="176"/>
        <v>11</v>
      </c>
      <c r="AJ853" s="10" t="str">
        <f t="shared" si="177"/>
        <v>2025-11</v>
      </c>
      <c r="AK853" s="10" t="str">
        <f t="shared" si="178"/>
        <v>T4</v>
      </c>
      <c r="AL853" s="10" t="str">
        <f t="shared" si="179"/>
        <v>50+</v>
      </c>
      <c r="AM853" s="10" t="str">
        <f t="shared" si="180"/>
        <v>bon</v>
      </c>
      <c r="AN853" s="10" t="s">
        <v>2838</v>
      </c>
      <c r="AO853" s="10" t="str">
        <f t="shared" si="181"/>
        <v>Faible</v>
      </c>
    </row>
    <row r="854" spans="1:41">
      <c r="A854" t="s">
        <v>2500</v>
      </c>
      <c r="B854" s="2">
        <v>45825</v>
      </c>
      <c r="C854" t="s">
        <v>2501</v>
      </c>
      <c r="D854" t="s">
        <v>138</v>
      </c>
      <c r="E854" t="s">
        <v>98</v>
      </c>
      <c r="F854" t="s">
        <v>287</v>
      </c>
      <c r="G854">
        <v>4</v>
      </c>
      <c r="H854" s="4">
        <v>120</v>
      </c>
      <c r="I854" s="3">
        <v>0.1</v>
      </c>
      <c r="J854" t="s">
        <v>63</v>
      </c>
      <c r="K854" t="s">
        <v>46</v>
      </c>
      <c r="L854" t="s">
        <v>2502</v>
      </c>
      <c r="M854" t="s">
        <v>65</v>
      </c>
      <c r="N854" t="s">
        <v>112</v>
      </c>
      <c r="O854" t="s">
        <v>142</v>
      </c>
      <c r="P854" t="s">
        <v>51</v>
      </c>
      <c r="Q854" t="s">
        <v>143</v>
      </c>
      <c r="R854" t="s">
        <v>104</v>
      </c>
      <c r="S854" t="s">
        <v>79</v>
      </c>
      <c r="T854" t="s">
        <v>289</v>
      </c>
      <c r="U854" s="5">
        <v>60</v>
      </c>
      <c r="V854" s="5" t="s">
        <v>56</v>
      </c>
      <c r="W854" s="5">
        <v>61</v>
      </c>
      <c r="X854" s="5">
        <v>4.9000000000000004</v>
      </c>
      <c r="Y854" s="5">
        <v>7</v>
      </c>
      <c r="Z854" s="5" t="s">
        <v>71</v>
      </c>
      <c r="AA854" s="6">
        <v>73.2</v>
      </c>
      <c r="AB854" s="8">
        <f t="shared" si="169"/>
        <v>480</v>
      </c>
      <c r="AC854" s="8">
        <f t="shared" si="170"/>
        <v>48</v>
      </c>
      <c r="AD854" s="8">
        <f t="shared" si="171"/>
        <v>432</v>
      </c>
      <c r="AE854" s="8">
        <f t="shared" si="172"/>
        <v>292.8</v>
      </c>
      <c r="AF854" s="8">
        <f t="shared" si="173"/>
        <v>139.19999999999999</v>
      </c>
      <c r="AG854" s="9">
        <f t="shared" si="174"/>
        <v>0.32222222222222219</v>
      </c>
      <c r="AH854" s="10">
        <f t="shared" si="175"/>
        <v>2025</v>
      </c>
      <c r="AI854" s="10">
        <f t="shared" si="176"/>
        <v>6</v>
      </c>
      <c r="AJ854" s="10" t="str">
        <f t="shared" si="177"/>
        <v>2025-06</v>
      </c>
      <c r="AK854" s="10" t="str">
        <f t="shared" si="178"/>
        <v>T2</v>
      </c>
      <c r="AL854" s="10" t="str">
        <f t="shared" si="179"/>
        <v>50+</v>
      </c>
      <c r="AM854" s="10" t="str">
        <f t="shared" si="180"/>
        <v>faible</v>
      </c>
      <c r="AN854" s="10" t="s">
        <v>2837</v>
      </c>
      <c r="AO854" s="10" t="str">
        <f t="shared" si="181"/>
        <v>Faible</v>
      </c>
    </row>
    <row r="855" spans="1:41">
      <c r="A855" t="s">
        <v>2503</v>
      </c>
      <c r="B855" s="2">
        <v>45713</v>
      </c>
      <c r="C855" t="s">
        <v>762</v>
      </c>
      <c r="D855" t="s">
        <v>272</v>
      </c>
      <c r="E855" t="s">
        <v>88</v>
      </c>
      <c r="F855" t="s">
        <v>968</v>
      </c>
      <c r="G855">
        <v>4</v>
      </c>
      <c r="H855" s="4">
        <v>420</v>
      </c>
      <c r="I855" s="3">
        <v>0.08</v>
      </c>
      <c r="J855" t="s">
        <v>63</v>
      </c>
      <c r="K855" t="s">
        <v>46</v>
      </c>
      <c r="L855" t="s">
        <v>763</v>
      </c>
      <c r="M855" t="s">
        <v>69</v>
      </c>
      <c r="N855" t="s">
        <v>49</v>
      </c>
      <c r="O855" t="s">
        <v>274</v>
      </c>
      <c r="P855" t="s">
        <v>133</v>
      </c>
      <c r="Q855" t="s">
        <v>114</v>
      </c>
      <c r="R855" t="s">
        <v>92</v>
      </c>
      <c r="S855" t="s">
        <v>48</v>
      </c>
      <c r="T855" t="s">
        <v>970</v>
      </c>
      <c r="U855" s="5">
        <v>24</v>
      </c>
      <c r="V855" s="5" t="s">
        <v>85</v>
      </c>
      <c r="W855" s="5">
        <v>45</v>
      </c>
      <c r="X855" s="5">
        <v>8.5</v>
      </c>
      <c r="Y855" s="5">
        <v>2</v>
      </c>
      <c r="Z855" s="5" t="s">
        <v>94</v>
      </c>
      <c r="AA855" s="6">
        <v>273</v>
      </c>
      <c r="AB855" s="8">
        <f t="shared" si="169"/>
        <v>1680</v>
      </c>
      <c r="AC855" s="8">
        <f t="shared" si="170"/>
        <v>134.4</v>
      </c>
      <c r="AD855" s="8">
        <f t="shared" si="171"/>
        <v>1545.6</v>
      </c>
      <c r="AE855" s="8">
        <f t="shared" si="172"/>
        <v>1092</v>
      </c>
      <c r="AF855" s="8">
        <f t="shared" si="173"/>
        <v>453.59999999999991</v>
      </c>
      <c r="AG855" s="9">
        <f t="shared" si="174"/>
        <v>0.29347826086956519</v>
      </c>
      <c r="AH855" s="10">
        <f t="shared" si="175"/>
        <v>2025</v>
      </c>
      <c r="AI855" s="10">
        <f t="shared" si="176"/>
        <v>2</v>
      </c>
      <c r="AJ855" s="10" t="str">
        <f t="shared" si="177"/>
        <v>2025-02</v>
      </c>
      <c r="AK855" s="10" t="str">
        <f t="shared" si="178"/>
        <v>T1</v>
      </c>
      <c r="AL855" s="10" t="str">
        <f t="shared" si="179"/>
        <v>22-29</v>
      </c>
      <c r="AM855" s="10" t="str">
        <f t="shared" si="180"/>
        <v>bon</v>
      </c>
      <c r="AN855" s="10" t="s">
        <v>2838</v>
      </c>
      <c r="AO855" s="10" t="str">
        <f t="shared" si="181"/>
        <v>Elevée</v>
      </c>
    </row>
    <row r="856" spans="1:41">
      <c r="A856" t="s">
        <v>2504</v>
      </c>
      <c r="B856" s="2">
        <v>45966</v>
      </c>
      <c r="C856" t="s">
        <v>2505</v>
      </c>
      <c r="D856" t="s">
        <v>181</v>
      </c>
      <c r="E856" t="s">
        <v>226</v>
      </c>
      <c r="F856" t="s">
        <v>424</v>
      </c>
      <c r="G856">
        <v>3</v>
      </c>
      <c r="H856" s="4">
        <v>145</v>
      </c>
      <c r="I856" s="3">
        <v>0</v>
      </c>
      <c r="J856" t="s">
        <v>90</v>
      </c>
      <c r="K856" t="s">
        <v>46</v>
      </c>
      <c r="L856" t="s">
        <v>2506</v>
      </c>
      <c r="M856" t="s">
        <v>123</v>
      </c>
      <c r="N856" t="s">
        <v>49</v>
      </c>
      <c r="O856" t="s">
        <v>184</v>
      </c>
      <c r="P856" t="s">
        <v>103</v>
      </c>
      <c r="Q856" t="s">
        <v>52</v>
      </c>
      <c r="R856" t="s">
        <v>229</v>
      </c>
      <c r="S856" t="s">
        <v>48</v>
      </c>
      <c r="T856" t="s">
        <v>426</v>
      </c>
      <c r="U856" s="5">
        <v>57</v>
      </c>
      <c r="V856" s="5" t="s">
        <v>56</v>
      </c>
      <c r="W856" s="5">
        <v>28</v>
      </c>
      <c r="X856" s="5">
        <v>7.6</v>
      </c>
      <c r="Y856" s="5">
        <v>2</v>
      </c>
      <c r="Z856" s="5" t="s">
        <v>71</v>
      </c>
      <c r="AA856" s="6">
        <v>97.15</v>
      </c>
      <c r="AB856" s="8">
        <f t="shared" si="169"/>
        <v>435</v>
      </c>
      <c r="AC856" s="8">
        <f t="shared" si="170"/>
        <v>0</v>
      </c>
      <c r="AD856" s="8">
        <f t="shared" si="171"/>
        <v>435</v>
      </c>
      <c r="AE856" s="8">
        <f t="shared" si="172"/>
        <v>291.45000000000005</v>
      </c>
      <c r="AF856" s="8">
        <f t="shared" si="173"/>
        <v>143.54999999999995</v>
      </c>
      <c r="AG856" s="9">
        <f t="shared" si="174"/>
        <v>0.3299999999999999</v>
      </c>
      <c r="AH856" s="10">
        <f t="shared" si="175"/>
        <v>2025</v>
      </c>
      <c r="AI856" s="10">
        <f t="shared" si="176"/>
        <v>11</v>
      </c>
      <c r="AJ856" s="10" t="str">
        <f t="shared" si="177"/>
        <v>2025-11</v>
      </c>
      <c r="AK856" s="10" t="str">
        <f t="shared" si="178"/>
        <v>T4</v>
      </c>
      <c r="AL856" s="10" t="str">
        <f t="shared" si="179"/>
        <v>50+</v>
      </c>
      <c r="AM856" s="10" t="str">
        <f t="shared" si="180"/>
        <v>bon</v>
      </c>
      <c r="AN856" s="10" t="s">
        <v>2838</v>
      </c>
      <c r="AO856" s="10" t="str">
        <f t="shared" si="181"/>
        <v>Faible</v>
      </c>
    </row>
    <row r="857" spans="1:41">
      <c r="A857" t="s">
        <v>2507</v>
      </c>
      <c r="B857" s="2">
        <v>45830</v>
      </c>
      <c r="C857" t="s">
        <v>1201</v>
      </c>
      <c r="D857" t="s">
        <v>162</v>
      </c>
      <c r="E857" t="s">
        <v>189</v>
      </c>
      <c r="F857" t="s">
        <v>413</v>
      </c>
      <c r="G857">
        <v>2</v>
      </c>
      <c r="H857" s="4">
        <v>35</v>
      </c>
      <c r="I857" s="3">
        <v>0.1</v>
      </c>
      <c r="J857" t="s">
        <v>45</v>
      </c>
      <c r="K857" t="s">
        <v>46</v>
      </c>
      <c r="L857" t="s">
        <v>1202</v>
      </c>
      <c r="M857" t="s">
        <v>79</v>
      </c>
      <c r="N857" t="s">
        <v>255</v>
      </c>
      <c r="O857" t="s">
        <v>166</v>
      </c>
      <c r="P857" t="s">
        <v>103</v>
      </c>
      <c r="Q857" t="s">
        <v>143</v>
      </c>
      <c r="R857" t="s">
        <v>193</v>
      </c>
      <c r="S857" t="s">
        <v>79</v>
      </c>
      <c r="T857" t="s">
        <v>415</v>
      </c>
      <c r="U857" s="5">
        <v>57</v>
      </c>
      <c r="V857" s="5" t="s">
        <v>56</v>
      </c>
      <c r="W857" s="5">
        <v>33</v>
      </c>
      <c r="X857" s="5">
        <v>5.4</v>
      </c>
      <c r="Y857" s="5">
        <v>7</v>
      </c>
      <c r="Z857" s="5" t="s">
        <v>94</v>
      </c>
      <c r="AA857" s="6">
        <v>24.15</v>
      </c>
      <c r="AB857" s="8">
        <f t="shared" si="169"/>
        <v>70</v>
      </c>
      <c r="AC857" s="8">
        <f t="shared" si="170"/>
        <v>7</v>
      </c>
      <c r="AD857" s="8">
        <f t="shared" si="171"/>
        <v>63</v>
      </c>
      <c r="AE857" s="8">
        <f t="shared" si="172"/>
        <v>48.3</v>
      </c>
      <c r="AF857" s="8">
        <f t="shared" si="173"/>
        <v>14.700000000000003</v>
      </c>
      <c r="AG857" s="9">
        <f t="shared" si="174"/>
        <v>0.23333333333333336</v>
      </c>
      <c r="AH857" s="10">
        <f t="shared" si="175"/>
        <v>2025</v>
      </c>
      <c r="AI857" s="10">
        <f t="shared" si="176"/>
        <v>6</v>
      </c>
      <c r="AJ857" s="10" t="str">
        <f t="shared" si="177"/>
        <v>2025-06</v>
      </c>
      <c r="AK857" s="10" t="str">
        <f t="shared" si="178"/>
        <v>T2</v>
      </c>
      <c r="AL857" s="10" t="str">
        <f t="shared" si="179"/>
        <v>50+</v>
      </c>
      <c r="AM857" s="10" t="str">
        <f t="shared" si="180"/>
        <v>moyen</v>
      </c>
      <c r="AN857" s="10" t="s">
        <v>2837</v>
      </c>
      <c r="AO857" s="10" t="str">
        <f t="shared" si="181"/>
        <v>Faible</v>
      </c>
    </row>
    <row r="858" spans="1:41">
      <c r="A858" t="s">
        <v>2508</v>
      </c>
      <c r="B858" s="2">
        <v>45666</v>
      </c>
      <c r="C858" t="s">
        <v>2509</v>
      </c>
      <c r="D858" t="s">
        <v>162</v>
      </c>
      <c r="E858" t="s">
        <v>129</v>
      </c>
      <c r="F858" t="s">
        <v>130</v>
      </c>
      <c r="G858">
        <v>3</v>
      </c>
      <c r="H858" s="4">
        <v>35</v>
      </c>
      <c r="I858" s="3">
        <v>0</v>
      </c>
      <c r="J858" t="s">
        <v>45</v>
      </c>
      <c r="K858" t="s">
        <v>46</v>
      </c>
      <c r="L858" t="s">
        <v>2510</v>
      </c>
      <c r="M858" t="s">
        <v>65</v>
      </c>
      <c r="N858" t="s">
        <v>49</v>
      </c>
      <c r="O858" t="s">
        <v>166</v>
      </c>
      <c r="P858" t="s">
        <v>103</v>
      </c>
      <c r="Q858" t="s">
        <v>143</v>
      </c>
      <c r="R858" t="s">
        <v>134</v>
      </c>
      <c r="S858" t="s">
        <v>123</v>
      </c>
      <c r="T858" t="s">
        <v>135</v>
      </c>
      <c r="U858" s="5">
        <v>56</v>
      </c>
      <c r="V858" s="5" t="s">
        <v>56</v>
      </c>
      <c r="W858" s="5">
        <v>40</v>
      </c>
      <c r="X858" s="5">
        <v>5.3</v>
      </c>
      <c r="Y858" s="5">
        <v>6</v>
      </c>
      <c r="Z858" s="5" t="s">
        <v>71</v>
      </c>
      <c r="AA858" s="6">
        <v>24.15</v>
      </c>
      <c r="AB858" s="8">
        <f t="shared" si="169"/>
        <v>105</v>
      </c>
      <c r="AC858" s="8">
        <f t="shared" si="170"/>
        <v>0</v>
      </c>
      <c r="AD858" s="8">
        <f t="shared" si="171"/>
        <v>105</v>
      </c>
      <c r="AE858" s="8">
        <f t="shared" si="172"/>
        <v>72.449999999999989</v>
      </c>
      <c r="AF858" s="8">
        <f t="shared" si="173"/>
        <v>32.550000000000011</v>
      </c>
      <c r="AG858" s="9">
        <f t="shared" si="174"/>
        <v>0.31000000000000011</v>
      </c>
      <c r="AH858" s="10">
        <f t="shared" si="175"/>
        <v>2025</v>
      </c>
      <c r="AI858" s="10">
        <f t="shared" si="176"/>
        <v>1</v>
      </c>
      <c r="AJ858" s="10" t="str">
        <f t="shared" si="177"/>
        <v>2025-01</v>
      </c>
      <c r="AK858" s="10" t="str">
        <f t="shared" si="178"/>
        <v>T1</v>
      </c>
      <c r="AL858" s="10" t="str">
        <f t="shared" si="179"/>
        <v>50+</v>
      </c>
      <c r="AM858" s="10" t="str">
        <f t="shared" si="180"/>
        <v>moyen</v>
      </c>
      <c r="AN858" s="10" t="s">
        <v>2839</v>
      </c>
      <c r="AO858" s="10" t="str">
        <f t="shared" si="181"/>
        <v>Faible</v>
      </c>
    </row>
    <row r="859" spans="1:41">
      <c r="A859" t="s">
        <v>2511</v>
      </c>
      <c r="B859" s="2">
        <v>45931</v>
      </c>
      <c r="C859" t="s">
        <v>2185</v>
      </c>
      <c r="D859" t="s">
        <v>181</v>
      </c>
      <c r="E859" t="s">
        <v>139</v>
      </c>
      <c r="F859" t="s">
        <v>369</v>
      </c>
      <c r="G859">
        <v>20</v>
      </c>
      <c r="H859" s="4">
        <v>145</v>
      </c>
      <c r="I859" s="3">
        <v>0</v>
      </c>
      <c r="J859" t="s">
        <v>90</v>
      </c>
      <c r="K859" t="s">
        <v>46</v>
      </c>
      <c r="L859" t="s">
        <v>2186</v>
      </c>
      <c r="M859" t="s">
        <v>65</v>
      </c>
      <c r="N859" t="s">
        <v>112</v>
      </c>
      <c r="O859" t="s">
        <v>184</v>
      </c>
      <c r="P859" t="s">
        <v>103</v>
      </c>
      <c r="Q859" t="s">
        <v>52</v>
      </c>
      <c r="R859" t="s">
        <v>144</v>
      </c>
      <c r="S859" t="s">
        <v>65</v>
      </c>
      <c r="T859" t="s">
        <v>371</v>
      </c>
      <c r="U859" s="5">
        <v>38</v>
      </c>
      <c r="V859" s="5" t="s">
        <v>85</v>
      </c>
      <c r="W859" s="5">
        <v>51</v>
      </c>
      <c r="X859" s="5">
        <v>4.8</v>
      </c>
      <c r="Y859" s="5">
        <v>6</v>
      </c>
      <c r="Z859" s="5" t="s">
        <v>57</v>
      </c>
      <c r="AA859" s="6">
        <v>97.15</v>
      </c>
      <c r="AB859" s="8">
        <f t="shared" si="169"/>
        <v>2900</v>
      </c>
      <c r="AC859" s="8">
        <f t="shared" si="170"/>
        <v>0</v>
      </c>
      <c r="AD859" s="8">
        <f t="shared" si="171"/>
        <v>2900</v>
      </c>
      <c r="AE859" s="8">
        <f t="shared" si="172"/>
        <v>1943</v>
      </c>
      <c r="AF859" s="8">
        <f t="shared" si="173"/>
        <v>957</v>
      </c>
      <c r="AG859" s="9">
        <f t="shared" si="174"/>
        <v>0.33</v>
      </c>
      <c r="AH859" s="10">
        <f t="shared" si="175"/>
        <v>2025</v>
      </c>
      <c r="AI859" s="10">
        <f t="shared" si="176"/>
        <v>10</v>
      </c>
      <c r="AJ859" s="10" t="str">
        <f t="shared" si="177"/>
        <v>2025-10</v>
      </c>
      <c r="AK859" s="10" t="str">
        <f t="shared" si="178"/>
        <v>T4</v>
      </c>
      <c r="AL859" s="10" t="str">
        <f t="shared" si="179"/>
        <v>30-39</v>
      </c>
      <c r="AM859" s="10" t="str">
        <f t="shared" si="180"/>
        <v>faible</v>
      </c>
      <c r="AN859" s="10" t="s">
        <v>2839</v>
      </c>
      <c r="AO859" s="10" t="str">
        <f t="shared" si="181"/>
        <v>Elevée</v>
      </c>
    </row>
    <row r="860" spans="1:41">
      <c r="A860" t="s">
        <v>2512</v>
      </c>
      <c r="B860" s="2">
        <v>45767</v>
      </c>
      <c r="C860" t="s">
        <v>2513</v>
      </c>
      <c r="D860" t="s">
        <v>42</v>
      </c>
      <c r="E860" t="s">
        <v>163</v>
      </c>
      <c r="F860" t="s">
        <v>175</v>
      </c>
      <c r="G860">
        <v>1</v>
      </c>
      <c r="H860" s="4">
        <v>260</v>
      </c>
      <c r="I860" s="3">
        <v>0</v>
      </c>
      <c r="J860" t="s">
        <v>90</v>
      </c>
      <c r="K860" t="s">
        <v>46</v>
      </c>
      <c r="L860" t="s">
        <v>2514</v>
      </c>
      <c r="M860" t="s">
        <v>79</v>
      </c>
      <c r="N860" t="s">
        <v>112</v>
      </c>
      <c r="O860" t="s">
        <v>50</v>
      </c>
      <c r="P860" t="s">
        <v>51</v>
      </c>
      <c r="Q860" t="s">
        <v>52</v>
      </c>
      <c r="R860" t="s">
        <v>167</v>
      </c>
      <c r="S860" t="s">
        <v>123</v>
      </c>
      <c r="T860" t="s">
        <v>178</v>
      </c>
      <c r="U860" s="5">
        <v>24</v>
      </c>
      <c r="V860" s="5" t="s">
        <v>56</v>
      </c>
      <c r="W860" s="5">
        <v>52</v>
      </c>
      <c r="X860" s="5">
        <v>4.5</v>
      </c>
      <c r="Y860" s="5">
        <v>7</v>
      </c>
      <c r="Z860" s="5" t="s">
        <v>71</v>
      </c>
      <c r="AA860" s="6">
        <v>189.8</v>
      </c>
      <c r="AB860" s="8">
        <f t="shared" si="169"/>
        <v>260</v>
      </c>
      <c r="AC860" s="8">
        <f t="shared" si="170"/>
        <v>0</v>
      </c>
      <c r="AD860" s="8">
        <f t="shared" si="171"/>
        <v>260</v>
      </c>
      <c r="AE860" s="8">
        <f t="shared" si="172"/>
        <v>189.8</v>
      </c>
      <c r="AF860" s="8">
        <f t="shared" si="173"/>
        <v>70.199999999999989</v>
      </c>
      <c r="AG860" s="9">
        <f t="shared" si="174"/>
        <v>0.26999999999999996</v>
      </c>
      <c r="AH860" s="10">
        <f t="shared" si="175"/>
        <v>2025</v>
      </c>
      <c r="AI860" s="10">
        <f t="shared" si="176"/>
        <v>4</v>
      </c>
      <c r="AJ860" s="10" t="str">
        <f t="shared" si="177"/>
        <v>2025-04</v>
      </c>
      <c r="AK860" s="10" t="str">
        <f t="shared" si="178"/>
        <v>T2</v>
      </c>
      <c r="AL860" s="10" t="str">
        <f t="shared" si="179"/>
        <v>22-29</v>
      </c>
      <c r="AM860" s="10" t="str">
        <f t="shared" si="180"/>
        <v>faible</v>
      </c>
      <c r="AN860" s="10" t="s">
        <v>2837</v>
      </c>
      <c r="AO860" s="10" t="str">
        <f t="shared" si="181"/>
        <v>Faible</v>
      </c>
    </row>
    <row r="861" spans="1:41">
      <c r="A861" t="s">
        <v>2515</v>
      </c>
      <c r="B861" s="2">
        <v>45959</v>
      </c>
      <c r="C861" t="s">
        <v>2516</v>
      </c>
      <c r="D861" t="s">
        <v>97</v>
      </c>
      <c r="E861" t="s">
        <v>109</v>
      </c>
      <c r="F861" t="s">
        <v>292</v>
      </c>
      <c r="G861">
        <v>5</v>
      </c>
      <c r="H861" s="4">
        <v>520</v>
      </c>
      <c r="I861" s="3">
        <v>0</v>
      </c>
      <c r="J861" t="s">
        <v>90</v>
      </c>
      <c r="K861" t="s">
        <v>46</v>
      </c>
      <c r="L861" t="s">
        <v>2517</v>
      </c>
      <c r="M861" t="s">
        <v>54</v>
      </c>
      <c r="N861" t="s">
        <v>112</v>
      </c>
      <c r="O861" t="s">
        <v>102</v>
      </c>
      <c r="P861" t="s">
        <v>103</v>
      </c>
      <c r="Q861" t="s">
        <v>52</v>
      </c>
      <c r="R861" t="s">
        <v>115</v>
      </c>
      <c r="S861" t="s">
        <v>65</v>
      </c>
      <c r="T861" t="s">
        <v>294</v>
      </c>
      <c r="U861" s="5">
        <v>45</v>
      </c>
      <c r="V861" s="5" t="s">
        <v>56</v>
      </c>
      <c r="W861" s="5">
        <v>16</v>
      </c>
      <c r="X861" s="5">
        <v>4.8</v>
      </c>
      <c r="Y861" s="5">
        <v>8</v>
      </c>
      <c r="Z861" s="5" t="s">
        <v>71</v>
      </c>
      <c r="AA861" s="6">
        <v>348.4</v>
      </c>
      <c r="AB861" s="8">
        <f t="shared" si="169"/>
        <v>2600</v>
      </c>
      <c r="AC861" s="8">
        <f t="shared" si="170"/>
        <v>0</v>
      </c>
      <c r="AD861" s="8">
        <f t="shared" si="171"/>
        <v>2600</v>
      </c>
      <c r="AE861" s="8">
        <f t="shared" si="172"/>
        <v>1742</v>
      </c>
      <c r="AF861" s="8">
        <f t="shared" si="173"/>
        <v>858</v>
      </c>
      <c r="AG861" s="9">
        <f t="shared" si="174"/>
        <v>0.33</v>
      </c>
      <c r="AH861" s="10">
        <f t="shared" si="175"/>
        <v>2025</v>
      </c>
      <c r="AI861" s="10">
        <f t="shared" si="176"/>
        <v>10</v>
      </c>
      <c r="AJ861" s="10" t="str">
        <f t="shared" si="177"/>
        <v>2025-10</v>
      </c>
      <c r="AK861" s="10" t="str">
        <f t="shared" si="178"/>
        <v>T4</v>
      </c>
      <c r="AL861" s="10" t="str">
        <f t="shared" si="179"/>
        <v>40-49</v>
      </c>
      <c r="AM861" s="10" t="str">
        <f t="shared" si="180"/>
        <v>faible</v>
      </c>
      <c r="AN861" s="10" t="s">
        <v>2837</v>
      </c>
      <c r="AO861" s="10" t="str">
        <f t="shared" si="181"/>
        <v>Elevée</v>
      </c>
    </row>
    <row r="862" spans="1:41">
      <c r="A862" t="s">
        <v>2518</v>
      </c>
      <c r="B862" s="2">
        <v>45786</v>
      </c>
      <c r="C862" t="s">
        <v>2519</v>
      </c>
      <c r="D862" t="s">
        <v>97</v>
      </c>
      <c r="E862" t="s">
        <v>214</v>
      </c>
      <c r="F862" t="s">
        <v>439</v>
      </c>
      <c r="G862">
        <v>4</v>
      </c>
      <c r="H862" s="4">
        <v>520</v>
      </c>
      <c r="I862" s="3">
        <v>0.05</v>
      </c>
      <c r="J862" t="s">
        <v>45</v>
      </c>
      <c r="K862" t="s">
        <v>46</v>
      </c>
      <c r="L862" t="s">
        <v>2520</v>
      </c>
      <c r="M862" t="s">
        <v>65</v>
      </c>
      <c r="N862" t="s">
        <v>112</v>
      </c>
      <c r="O862" t="s">
        <v>102</v>
      </c>
      <c r="P862" t="s">
        <v>103</v>
      </c>
      <c r="Q862" t="s">
        <v>52</v>
      </c>
      <c r="R862" t="s">
        <v>216</v>
      </c>
      <c r="S862" t="s">
        <v>65</v>
      </c>
      <c r="T862" t="s">
        <v>441</v>
      </c>
      <c r="U862" s="5">
        <v>38</v>
      </c>
      <c r="V862" s="5" t="s">
        <v>85</v>
      </c>
      <c r="W862" s="5">
        <v>21</v>
      </c>
      <c r="X862" s="5">
        <v>3.9</v>
      </c>
      <c r="Y862" s="5">
        <v>8</v>
      </c>
      <c r="Z862" s="5" t="s">
        <v>117</v>
      </c>
      <c r="AA862" s="6">
        <v>348.4</v>
      </c>
      <c r="AB862" s="8">
        <f t="shared" si="169"/>
        <v>2080</v>
      </c>
      <c r="AC862" s="8">
        <f t="shared" si="170"/>
        <v>104</v>
      </c>
      <c r="AD862" s="8">
        <f t="shared" si="171"/>
        <v>1976</v>
      </c>
      <c r="AE862" s="8">
        <f t="shared" si="172"/>
        <v>1393.6</v>
      </c>
      <c r="AF862" s="8">
        <f t="shared" si="173"/>
        <v>582.40000000000009</v>
      </c>
      <c r="AG862" s="9">
        <f t="shared" si="174"/>
        <v>0.29473684210526319</v>
      </c>
      <c r="AH862" s="10">
        <f t="shared" si="175"/>
        <v>2025</v>
      </c>
      <c r="AI862" s="10">
        <f t="shared" si="176"/>
        <v>5</v>
      </c>
      <c r="AJ862" s="10" t="str">
        <f t="shared" si="177"/>
        <v>2025-05</v>
      </c>
      <c r="AK862" s="10" t="str">
        <f t="shared" si="178"/>
        <v>T2</v>
      </c>
      <c r="AL862" s="10" t="str">
        <f t="shared" si="179"/>
        <v>30-39</v>
      </c>
      <c r="AM862" s="10" t="str">
        <f t="shared" si="180"/>
        <v>faible</v>
      </c>
      <c r="AN862" s="10" t="s">
        <v>2837</v>
      </c>
      <c r="AO862" s="10" t="str">
        <f t="shared" si="181"/>
        <v>Elevée</v>
      </c>
    </row>
    <row r="863" spans="1:41">
      <c r="A863" t="s">
        <v>2521</v>
      </c>
      <c r="B863" s="2">
        <v>45908</v>
      </c>
      <c r="C863" t="s">
        <v>2244</v>
      </c>
      <c r="D863" t="s">
        <v>128</v>
      </c>
      <c r="E863" t="s">
        <v>120</v>
      </c>
      <c r="F863" t="s">
        <v>323</v>
      </c>
      <c r="G863">
        <v>4</v>
      </c>
      <c r="H863" s="4">
        <v>190</v>
      </c>
      <c r="I863" s="3">
        <v>0</v>
      </c>
      <c r="J863" t="s">
        <v>63</v>
      </c>
      <c r="K863" t="s">
        <v>46</v>
      </c>
      <c r="L863" t="s">
        <v>2245</v>
      </c>
      <c r="M863" t="s">
        <v>48</v>
      </c>
      <c r="N863" t="s">
        <v>112</v>
      </c>
      <c r="O863" t="s">
        <v>132</v>
      </c>
      <c r="P863" t="s">
        <v>133</v>
      </c>
      <c r="Q863" t="s">
        <v>52</v>
      </c>
      <c r="R863" t="s">
        <v>124</v>
      </c>
      <c r="S863" t="s">
        <v>48</v>
      </c>
      <c r="T863" t="s">
        <v>325</v>
      </c>
      <c r="U863" s="5">
        <v>41</v>
      </c>
      <c r="V863" s="5" t="s">
        <v>85</v>
      </c>
      <c r="W863" s="5">
        <v>22</v>
      </c>
      <c r="X863" s="5">
        <v>6.6</v>
      </c>
      <c r="Y863" s="5">
        <v>3</v>
      </c>
      <c r="Z863" s="5" t="s">
        <v>57</v>
      </c>
      <c r="AA863" s="6">
        <v>148.19999999999999</v>
      </c>
      <c r="AB863" s="8">
        <f t="shared" si="169"/>
        <v>760</v>
      </c>
      <c r="AC863" s="8">
        <f t="shared" si="170"/>
        <v>0</v>
      </c>
      <c r="AD863" s="8">
        <f t="shared" si="171"/>
        <v>760</v>
      </c>
      <c r="AE863" s="8">
        <f t="shared" si="172"/>
        <v>592.79999999999995</v>
      </c>
      <c r="AF863" s="8">
        <f t="shared" si="173"/>
        <v>167.20000000000005</v>
      </c>
      <c r="AG863" s="9">
        <f t="shared" si="174"/>
        <v>0.22000000000000006</v>
      </c>
      <c r="AH863" s="10">
        <f t="shared" si="175"/>
        <v>2025</v>
      </c>
      <c r="AI863" s="10">
        <f t="shared" si="176"/>
        <v>9</v>
      </c>
      <c r="AJ863" s="10" t="str">
        <f t="shared" si="177"/>
        <v>2025-09</v>
      </c>
      <c r="AK863" s="10" t="str">
        <f t="shared" si="178"/>
        <v>T3</v>
      </c>
      <c r="AL863" s="10" t="str">
        <f t="shared" si="179"/>
        <v>40-49</v>
      </c>
      <c r="AM863" s="10" t="str">
        <f t="shared" si="180"/>
        <v>moyen</v>
      </c>
      <c r="AN863" s="10" t="s">
        <v>2838</v>
      </c>
      <c r="AO863" s="10" t="str">
        <f t="shared" si="181"/>
        <v>Moyenne</v>
      </c>
    </row>
    <row r="864" spans="1:41">
      <c r="A864" t="s">
        <v>2522</v>
      </c>
      <c r="B864" s="2">
        <v>45775</v>
      </c>
      <c r="C864" t="s">
        <v>2523</v>
      </c>
      <c r="D864" t="s">
        <v>174</v>
      </c>
      <c r="E864" t="s">
        <v>207</v>
      </c>
      <c r="F864" t="s">
        <v>89</v>
      </c>
      <c r="G864">
        <v>6</v>
      </c>
      <c r="H864" s="4">
        <v>780</v>
      </c>
      <c r="I864" s="3">
        <v>0</v>
      </c>
      <c r="J864" t="s">
        <v>90</v>
      </c>
      <c r="K864" t="s">
        <v>46</v>
      </c>
      <c r="L864" t="s">
        <v>2524</v>
      </c>
      <c r="M864" t="s">
        <v>65</v>
      </c>
      <c r="N864" t="s">
        <v>255</v>
      </c>
      <c r="O864" t="s">
        <v>177</v>
      </c>
      <c r="P864" t="s">
        <v>103</v>
      </c>
      <c r="Q864" t="s">
        <v>114</v>
      </c>
      <c r="R864" t="s">
        <v>210</v>
      </c>
      <c r="S864" t="s">
        <v>79</v>
      </c>
      <c r="T864" t="s">
        <v>93</v>
      </c>
      <c r="U864" s="5">
        <v>59</v>
      </c>
      <c r="V864" s="5" t="s">
        <v>85</v>
      </c>
      <c r="W864" s="5">
        <v>64</v>
      </c>
      <c r="X864" s="5">
        <v>6</v>
      </c>
      <c r="Y864" s="5">
        <v>4</v>
      </c>
      <c r="Z864" s="5" t="s">
        <v>94</v>
      </c>
      <c r="AA864" s="6">
        <v>468</v>
      </c>
      <c r="AB864" s="8">
        <f t="shared" si="169"/>
        <v>4680</v>
      </c>
      <c r="AC864" s="8">
        <f t="shared" si="170"/>
        <v>0</v>
      </c>
      <c r="AD864" s="8">
        <f t="shared" si="171"/>
        <v>4680</v>
      </c>
      <c r="AE864" s="8">
        <f t="shared" si="172"/>
        <v>2808</v>
      </c>
      <c r="AF864" s="8">
        <f t="shared" si="173"/>
        <v>1872</v>
      </c>
      <c r="AG864" s="9">
        <f t="shared" si="174"/>
        <v>0.4</v>
      </c>
      <c r="AH864" s="10">
        <f t="shared" si="175"/>
        <v>2025</v>
      </c>
      <c r="AI864" s="10">
        <f t="shared" si="176"/>
        <v>4</v>
      </c>
      <c r="AJ864" s="10" t="str">
        <f t="shared" si="177"/>
        <v>2025-04</v>
      </c>
      <c r="AK864" s="10" t="str">
        <f t="shared" si="178"/>
        <v>T2</v>
      </c>
      <c r="AL864" s="10" t="str">
        <f t="shared" si="179"/>
        <v>50+</v>
      </c>
      <c r="AM864" s="10" t="str">
        <f t="shared" si="180"/>
        <v>moyen</v>
      </c>
      <c r="AN864" s="10" t="s">
        <v>2839</v>
      </c>
      <c r="AO864" s="10" t="str">
        <f t="shared" si="181"/>
        <v>Elevée</v>
      </c>
    </row>
    <row r="865" spans="1:41">
      <c r="A865" t="s">
        <v>2525</v>
      </c>
      <c r="B865" s="2">
        <v>45738</v>
      </c>
      <c r="C865" t="s">
        <v>1000</v>
      </c>
      <c r="D865" t="s">
        <v>340</v>
      </c>
      <c r="E865" t="s">
        <v>88</v>
      </c>
      <c r="F865" t="s">
        <v>968</v>
      </c>
      <c r="G865">
        <v>1</v>
      </c>
      <c r="H865" s="4">
        <v>22</v>
      </c>
      <c r="I865" s="3">
        <v>0</v>
      </c>
      <c r="J865" t="s">
        <v>45</v>
      </c>
      <c r="K865" t="s">
        <v>46</v>
      </c>
      <c r="L865" t="s">
        <v>1001</v>
      </c>
      <c r="M865" t="s">
        <v>48</v>
      </c>
      <c r="N865" t="s">
        <v>80</v>
      </c>
      <c r="O865" t="s">
        <v>342</v>
      </c>
      <c r="P865" t="s">
        <v>103</v>
      </c>
      <c r="Q865" t="s">
        <v>143</v>
      </c>
      <c r="R865" t="s">
        <v>92</v>
      </c>
      <c r="S865" t="s">
        <v>48</v>
      </c>
      <c r="T865" t="s">
        <v>970</v>
      </c>
      <c r="U865" s="5">
        <v>28</v>
      </c>
      <c r="V865" s="5" t="s">
        <v>85</v>
      </c>
      <c r="W865" s="5">
        <v>31</v>
      </c>
      <c r="X865" s="5">
        <v>7.7</v>
      </c>
      <c r="Y865" s="5">
        <v>3</v>
      </c>
      <c r="Z865" s="5" t="s">
        <v>117</v>
      </c>
      <c r="AA865" s="6">
        <v>14.96</v>
      </c>
      <c r="AB865" s="8">
        <f t="shared" si="169"/>
        <v>22</v>
      </c>
      <c r="AC865" s="8">
        <f t="shared" si="170"/>
        <v>0</v>
      </c>
      <c r="AD865" s="8">
        <f t="shared" si="171"/>
        <v>22</v>
      </c>
      <c r="AE865" s="8">
        <f t="shared" si="172"/>
        <v>14.96</v>
      </c>
      <c r="AF865" s="8">
        <f t="shared" si="173"/>
        <v>7.0399999999999991</v>
      </c>
      <c r="AG865" s="9">
        <f t="shared" si="174"/>
        <v>0.31999999999999995</v>
      </c>
      <c r="AH865" s="10">
        <f t="shared" si="175"/>
        <v>2025</v>
      </c>
      <c r="AI865" s="10">
        <f t="shared" si="176"/>
        <v>3</v>
      </c>
      <c r="AJ865" s="10" t="str">
        <f t="shared" si="177"/>
        <v>2025-03</v>
      </c>
      <c r="AK865" s="10" t="str">
        <f t="shared" si="178"/>
        <v>T1</v>
      </c>
      <c r="AL865" s="10" t="str">
        <f t="shared" si="179"/>
        <v>22-29</v>
      </c>
      <c r="AM865" s="10" t="str">
        <f t="shared" si="180"/>
        <v>bon</v>
      </c>
      <c r="AN865" s="10" t="s">
        <v>2838</v>
      </c>
      <c r="AO865" s="10" t="str">
        <f t="shared" si="181"/>
        <v>Faible</v>
      </c>
    </row>
    <row r="866" spans="1:41">
      <c r="A866" t="s">
        <v>2526</v>
      </c>
      <c r="B866" s="2">
        <v>45893</v>
      </c>
      <c r="C866" t="s">
        <v>2527</v>
      </c>
      <c r="D866" t="s">
        <v>181</v>
      </c>
      <c r="E866" t="s">
        <v>98</v>
      </c>
      <c r="F866" t="s">
        <v>350</v>
      </c>
      <c r="G866">
        <v>1</v>
      </c>
      <c r="H866" s="4">
        <v>145</v>
      </c>
      <c r="I866" s="3">
        <v>0.02</v>
      </c>
      <c r="J866" t="s">
        <v>45</v>
      </c>
      <c r="K866" t="s">
        <v>46</v>
      </c>
      <c r="L866" t="s">
        <v>2528</v>
      </c>
      <c r="M866" t="s">
        <v>48</v>
      </c>
      <c r="N866" t="s">
        <v>255</v>
      </c>
      <c r="O866" t="s">
        <v>184</v>
      </c>
      <c r="P866" t="s">
        <v>103</v>
      </c>
      <c r="Q866" t="s">
        <v>52</v>
      </c>
      <c r="R866" t="s">
        <v>104</v>
      </c>
      <c r="S866" t="s">
        <v>79</v>
      </c>
      <c r="T866" t="s">
        <v>352</v>
      </c>
      <c r="U866" s="5">
        <v>53</v>
      </c>
      <c r="V866" s="5" t="s">
        <v>85</v>
      </c>
      <c r="W866" s="5">
        <v>56</v>
      </c>
      <c r="X866" s="5">
        <v>6.8</v>
      </c>
      <c r="Y866" s="5">
        <v>5</v>
      </c>
      <c r="Z866" s="5" t="s">
        <v>57</v>
      </c>
      <c r="AA866" s="6">
        <v>97.15</v>
      </c>
      <c r="AB866" s="8">
        <f t="shared" si="169"/>
        <v>145</v>
      </c>
      <c r="AC866" s="8">
        <f t="shared" si="170"/>
        <v>2.9</v>
      </c>
      <c r="AD866" s="8">
        <f t="shared" si="171"/>
        <v>142.1</v>
      </c>
      <c r="AE866" s="8">
        <f t="shared" si="172"/>
        <v>97.15</v>
      </c>
      <c r="AF866" s="8">
        <f t="shared" si="173"/>
        <v>44.949999999999989</v>
      </c>
      <c r="AG866" s="9">
        <f t="shared" si="174"/>
        <v>0.31632653061224481</v>
      </c>
      <c r="AH866" s="10">
        <f t="shared" si="175"/>
        <v>2025</v>
      </c>
      <c r="AI866" s="10">
        <f t="shared" si="176"/>
        <v>8</v>
      </c>
      <c r="AJ866" s="10" t="str">
        <f t="shared" si="177"/>
        <v>2025-08</v>
      </c>
      <c r="AK866" s="10" t="str">
        <f t="shared" si="178"/>
        <v>T3</v>
      </c>
      <c r="AL866" s="10" t="str">
        <f t="shared" si="179"/>
        <v>50+</v>
      </c>
      <c r="AM866" s="10" t="str">
        <f t="shared" si="180"/>
        <v>moyen</v>
      </c>
      <c r="AN866" s="10" t="s">
        <v>2839</v>
      </c>
      <c r="AO866" s="10" t="str">
        <f t="shared" si="181"/>
        <v>Faible</v>
      </c>
    </row>
    <row r="867" spans="1:41">
      <c r="A867" t="s">
        <v>2529</v>
      </c>
      <c r="B867" s="2">
        <v>45979</v>
      </c>
      <c r="C867" t="s">
        <v>1240</v>
      </c>
      <c r="D867" t="s">
        <v>97</v>
      </c>
      <c r="E867" t="s">
        <v>88</v>
      </c>
      <c r="F867" t="s">
        <v>334</v>
      </c>
      <c r="G867">
        <v>4</v>
      </c>
      <c r="H867" s="4">
        <v>520</v>
      </c>
      <c r="I867" s="3">
        <v>0.1</v>
      </c>
      <c r="J867" t="s">
        <v>77</v>
      </c>
      <c r="K867" t="s">
        <v>46</v>
      </c>
      <c r="L867" t="s">
        <v>1241</v>
      </c>
      <c r="M867" t="s">
        <v>54</v>
      </c>
      <c r="N867" t="s">
        <v>255</v>
      </c>
      <c r="O867" t="s">
        <v>102</v>
      </c>
      <c r="P867" t="s">
        <v>103</v>
      </c>
      <c r="Q867" t="s">
        <v>52</v>
      </c>
      <c r="R867" t="s">
        <v>92</v>
      </c>
      <c r="S867" t="s">
        <v>48</v>
      </c>
      <c r="T867" t="s">
        <v>337</v>
      </c>
      <c r="U867" s="5">
        <v>48</v>
      </c>
      <c r="V867" s="5" t="s">
        <v>85</v>
      </c>
      <c r="W867" s="5">
        <v>64</v>
      </c>
      <c r="X867" s="5">
        <v>4.8</v>
      </c>
      <c r="Y867" s="5">
        <v>6</v>
      </c>
      <c r="Z867" s="5" t="s">
        <v>117</v>
      </c>
      <c r="AA867" s="6">
        <v>348.4</v>
      </c>
      <c r="AB867" s="8">
        <f t="shared" si="169"/>
        <v>2080</v>
      </c>
      <c r="AC867" s="8">
        <f t="shared" si="170"/>
        <v>208</v>
      </c>
      <c r="AD867" s="8">
        <f t="shared" si="171"/>
        <v>1872</v>
      </c>
      <c r="AE867" s="8">
        <f t="shared" si="172"/>
        <v>1393.6</v>
      </c>
      <c r="AF867" s="8">
        <f t="shared" si="173"/>
        <v>478.40000000000009</v>
      </c>
      <c r="AG867" s="9">
        <f t="shared" si="174"/>
        <v>0.25555555555555559</v>
      </c>
      <c r="AH867" s="10">
        <f t="shared" si="175"/>
        <v>2025</v>
      </c>
      <c r="AI867" s="10">
        <f t="shared" si="176"/>
        <v>11</v>
      </c>
      <c r="AJ867" s="10" t="str">
        <f t="shared" si="177"/>
        <v>2025-11</v>
      </c>
      <c r="AK867" s="10" t="str">
        <f t="shared" si="178"/>
        <v>T4</v>
      </c>
      <c r="AL867" s="10" t="str">
        <f t="shared" si="179"/>
        <v>40-49</v>
      </c>
      <c r="AM867" s="10" t="str">
        <f t="shared" si="180"/>
        <v>faible</v>
      </c>
      <c r="AN867" s="10" t="s">
        <v>2839</v>
      </c>
      <c r="AO867" s="10" t="str">
        <f t="shared" si="181"/>
        <v>Elevée</v>
      </c>
    </row>
    <row r="868" spans="1:41">
      <c r="A868" t="s">
        <v>2530</v>
      </c>
      <c r="B868" s="2">
        <v>45739</v>
      </c>
      <c r="C868" t="s">
        <v>1818</v>
      </c>
      <c r="D868" t="s">
        <v>42</v>
      </c>
      <c r="E868" t="s">
        <v>214</v>
      </c>
      <c r="F868" t="s">
        <v>149</v>
      </c>
      <c r="G868">
        <v>2</v>
      </c>
      <c r="H868" s="4">
        <v>260</v>
      </c>
      <c r="I868" s="3">
        <v>0</v>
      </c>
      <c r="J868" t="s">
        <v>45</v>
      </c>
      <c r="K868" t="s">
        <v>46</v>
      </c>
      <c r="L868" t="s">
        <v>1819</v>
      </c>
      <c r="M868" t="s">
        <v>69</v>
      </c>
      <c r="N868" t="s">
        <v>49</v>
      </c>
      <c r="O868" t="s">
        <v>50</v>
      </c>
      <c r="P868" t="s">
        <v>51</v>
      </c>
      <c r="Q868" t="s">
        <v>52</v>
      </c>
      <c r="R868" t="s">
        <v>216</v>
      </c>
      <c r="S868" t="s">
        <v>65</v>
      </c>
      <c r="T868" t="s">
        <v>152</v>
      </c>
      <c r="U868" s="5">
        <v>60</v>
      </c>
      <c r="V868" s="5" t="s">
        <v>85</v>
      </c>
      <c r="W868" s="5">
        <v>55</v>
      </c>
      <c r="X868" s="5">
        <v>3.8</v>
      </c>
      <c r="Y868" s="5">
        <v>9</v>
      </c>
      <c r="Z868" s="5" t="s">
        <v>117</v>
      </c>
      <c r="AA868" s="6">
        <v>189.8</v>
      </c>
      <c r="AB868" s="8">
        <f t="shared" si="169"/>
        <v>520</v>
      </c>
      <c r="AC868" s="8">
        <f t="shared" si="170"/>
        <v>0</v>
      </c>
      <c r="AD868" s="8">
        <f t="shared" si="171"/>
        <v>520</v>
      </c>
      <c r="AE868" s="8">
        <f t="shared" si="172"/>
        <v>379.6</v>
      </c>
      <c r="AF868" s="8">
        <f t="shared" si="173"/>
        <v>140.39999999999998</v>
      </c>
      <c r="AG868" s="9">
        <f t="shared" si="174"/>
        <v>0.26999999999999996</v>
      </c>
      <c r="AH868" s="10">
        <f t="shared" si="175"/>
        <v>2025</v>
      </c>
      <c r="AI868" s="10">
        <f t="shared" si="176"/>
        <v>3</v>
      </c>
      <c r="AJ868" s="10" t="str">
        <f t="shared" si="177"/>
        <v>2025-03</v>
      </c>
      <c r="AK868" s="10" t="str">
        <f t="shared" si="178"/>
        <v>T1</v>
      </c>
      <c r="AL868" s="10" t="str">
        <f t="shared" si="179"/>
        <v>50+</v>
      </c>
      <c r="AM868" s="10" t="str">
        <f t="shared" si="180"/>
        <v>faible</v>
      </c>
      <c r="AN868" s="10" t="s">
        <v>2837</v>
      </c>
      <c r="AO868" s="10" t="str">
        <f t="shared" si="181"/>
        <v>Moyenne</v>
      </c>
    </row>
    <row r="869" spans="1:41">
      <c r="A869" t="s">
        <v>2531</v>
      </c>
      <c r="B869" s="2">
        <v>45701</v>
      </c>
      <c r="C869" t="s">
        <v>2532</v>
      </c>
      <c r="D869" t="s">
        <v>128</v>
      </c>
      <c r="E869" t="s">
        <v>129</v>
      </c>
      <c r="F869" t="s">
        <v>444</v>
      </c>
      <c r="G869">
        <v>4</v>
      </c>
      <c r="H869" s="4">
        <v>190</v>
      </c>
      <c r="I869" s="3">
        <v>0</v>
      </c>
      <c r="J869" t="s">
        <v>90</v>
      </c>
      <c r="K869" t="s">
        <v>46</v>
      </c>
      <c r="L869" t="s">
        <v>2533</v>
      </c>
      <c r="M869" t="s">
        <v>123</v>
      </c>
      <c r="N869" t="s">
        <v>49</v>
      </c>
      <c r="O869" t="s">
        <v>132</v>
      </c>
      <c r="P869" t="s">
        <v>133</v>
      </c>
      <c r="Q869" t="s">
        <v>52</v>
      </c>
      <c r="R869" t="s">
        <v>134</v>
      </c>
      <c r="S869" t="s">
        <v>123</v>
      </c>
      <c r="T869" t="s">
        <v>446</v>
      </c>
      <c r="U869" s="5">
        <v>50</v>
      </c>
      <c r="V869" s="5" t="s">
        <v>56</v>
      </c>
      <c r="W869" s="5">
        <v>32</v>
      </c>
      <c r="X869" s="5">
        <v>5.4</v>
      </c>
      <c r="Y869" s="5">
        <v>5</v>
      </c>
      <c r="Z869" s="5" t="s">
        <v>117</v>
      </c>
      <c r="AA869" s="6">
        <v>148.19999999999999</v>
      </c>
      <c r="AB869" s="8">
        <f t="shared" si="169"/>
        <v>760</v>
      </c>
      <c r="AC869" s="8">
        <f t="shared" si="170"/>
        <v>0</v>
      </c>
      <c r="AD869" s="8">
        <f t="shared" si="171"/>
        <v>760</v>
      </c>
      <c r="AE869" s="8">
        <f t="shared" si="172"/>
        <v>592.79999999999995</v>
      </c>
      <c r="AF869" s="8">
        <f t="shared" si="173"/>
        <v>167.20000000000005</v>
      </c>
      <c r="AG869" s="9">
        <f t="shared" si="174"/>
        <v>0.22000000000000006</v>
      </c>
      <c r="AH869" s="10">
        <f t="shared" si="175"/>
        <v>2025</v>
      </c>
      <c r="AI869" s="10">
        <f t="shared" si="176"/>
        <v>2</v>
      </c>
      <c r="AJ869" s="10" t="str">
        <f t="shared" si="177"/>
        <v>2025-02</v>
      </c>
      <c r="AK869" s="10" t="str">
        <f t="shared" si="178"/>
        <v>T1</v>
      </c>
      <c r="AL869" s="10" t="str">
        <f t="shared" si="179"/>
        <v>50+</v>
      </c>
      <c r="AM869" s="10" t="str">
        <f t="shared" si="180"/>
        <v>moyen</v>
      </c>
      <c r="AN869" s="10" t="s">
        <v>2839</v>
      </c>
      <c r="AO869" s="10" t="str">
        <f t="shared" si="181"/>
        <v>Moyenne</v>
      </c>
    </row>
    <row r="870" spans="1:41">
      <c r="A870" t="s">
        <v>2534</v>
      </c>
      <c r="B870" s="2">
        <v>45743</v>
      </c>
      <c r="C870" t="s">
        <v>2535</v>
      </c>
      <c r="D870" t="s">
        <v>333</v>
      </c>
      <c r="E870" t="s">
        <v>163</v>
      </c>
      <c r="F870" t="s">
        <v>182</v>
      </c>
      <c r="G870">
        <v>1</v>
      </c>
      <c r="H870" s="4">
        <v>65</v>
      </c>
      <c r="I870" s="3">
        <v>0.05</v>
      </c>
      <c r="J870" t="s">
        <v>77</v>
      </c>
      <c r="K870" t="s">
        <v>46</v>
      </c>
      <c r="L870" t="s">
        <v>2536</v>
      </c>
      <c r="M870" t="s">
        <v>69</v>
      </c>
      <c r="N870" t="s">
        <v>255</v>
      </c>
      <c r="O870" t="s">
        <v>336</v>
      </c>
      <c r="P870" t="s">
        <v>51</v>
      </c>
      <c r="Q870" t="s">
        <v>52</v>
      </c>
      <c r="R870" t="s">
        <v>167</v>
      </c>
      <c r="S870" t="s">
        <v>123</v>
      </c>
      <c r="T870" t="s">
        <v>185</v>
      </c>
      <c r="U870" s="5">
        <v>27</v>
      </c>
      <c r="V870" s="5" t="s">
        <v>56</v>
      </c>
      <c r="W870" s="5">
        <v>60</v>
      </c>
      <c r="X870" s="5">
        <v>7.5</v>
      </c>
      <c r="Y870" s="5">
        <v>3</v>
      </c>
      <c r="Z870" s="5" t="s">
        <v>71</v>
      </c>
      <c r="AA870" s="6">
        <v>47.45</v>
      </c>
      <c r="AB870" s="8">
        <f t="shared" si="169"/>
        <v>65</v>
      </c>
      <c r="AC870" s="8">
        <f t="shared" si="170"/>
        <v>3.25</v>
      </c>
      <c r="AD870" s="8">
        <f t="shared" si="171"/>
        <v>61.75</v>
      </c>
      <c r="AE870" s="8">
        <f t="shared" si="172"/>
        <v>47.45</v>
      </c>
      <c r="AF870" s="8">
        <f t="shared" si="173"/>
        <v>14.299999999999997</v>
      </c>
      <c r="AG870" s="9">
        <f t="shared" si="174"/>
        <v>0.231578947368421</v>
      </c>
      <c r="AH870" s="10">
        <f t="shared" si="175"/>
        <v>2025</v>
      </c>
      <c r="AI870" s="10">
        <f t="shared" si="176"/>
        <v>3</v>
      </c>
      <c r="AJ870" s="10" t="str">
        <f t="shared" si="177"/>
        <v>2025-03</v>
      </c>
      <c r="AK870" s="10" t="str">
        <f t="shared" si="178"/>
        <v>T1</v>
      </c>
      <c r="AL870" s="10" t="str">
        <f t="shared" si="179"/>
        <v>22-29</v>
      </c>
      <c r="AM870" s="10" t="str">
        <f t="shared" si="180"/>
        <v>bon</v>
      </c>
      <c r="AN870" s="10" t="s">
        <v>2838</v>
      </c>
      <c r="AO870" s="10" t="str">
        <f t="shared" si="181"/>
        <v>Faible</v>
      </c>
    </row>
    <row r="871" spans="1:41">
      <c r="A871" t="s">
        <v>2537</v>
      </c>
      <c r="B871" s="2">
        <v>45746</v>
      </c>
      <c r="C871" t="s">
        <v>2538</v>
      </c>
      <c r="D871" t="s">
        <v>181</v>
      </c>
      <c r="E871" t="s">
        <v>139</v>
      </c>
      <c r="F871" t="s">
        <v>190</v>
      </c>
      <c r="G871">
        <v>3</v>
      </c>
      <c r="H871" s="4">
        <v>145</v>
      </c>
      <c r="I871" s="3">
        <v>0.1</v>
      </c>
      <c r="J871" t="s">
        <v>63</v>
      </c>
      <c r="K871" t="s">
        <v>46</v>
      </c>
      <c r="L871" t="s">
        <v>2539</v>
      </c>
      <c r="M871" t="s">
        <v>54</v>
      </c>
      <c r="N871" t="s">
        <v>49</v>
      </c>
      <c r="O871" t="s">
        <v>184</v>
      </c>
      <c r="P871" t="s">
        <v>103</v>
      </c>
      <c r="Q871" t="s">
        <v>52</v>
      </c>
      <c r="R871" t="s">
        <v>144</v>
      </c>
      <c r="S871" t="s">
        <v>65</v>
      </c>
      <c r="T871" t="s">
        <v>194</v>
      </c>
      <c r="U871" s="5">
        <v>41</v>
      </c>
      <c r="V871" s="5" t="s">
        <v>85</v>
      </c>
      <c r="W871" s="5">
        <v>13</v>
      </c>
      <c r="X871" s="5">
        <v>5.4</v>
      </c>
      <c r="Y871" s="5">
        <v>7</v>
      </c>
      <c r="Z871" s="5" t="s">
        <v>57</v>
      </c>
      <c r="AA871" s="6">
        <v>97.15</v>
      </c>
      <c r="AB871" s="8">
        <f t="shared" si="169"/>
        <v>435</v>
      </c>
      <c r="AC871" s="8">
        <f t="shared" si="170"/>
        <v>43.5</v>
      </c>
      <c r="AD871" s="8">
        <f t="shared" si="171"/>
        <v>391.5</v>
      </c>
      <c r="AE871" s="8">
        <f t="shared" si="172"/>
        <v>291.45000000000005</v>
      </c>
      <c r="AF871" s="8">
        <f t="shared" si="173"/>
        <v>100.04999999999995</v>
      </c>
      <c r="AG871" s="9">
        <f t="shared" si="174"/>
        <v>0.25555555555555542</v>
      </c>
      <c r="AH871" s="10">
        <f t="shared" si="175"/>
        <v>2025</v>
      </c>
      <c r="AI871" s="10">
        <f t="shared" si="176"/>
        <v>3</v>
      </c>
      <c r="AJ871" s="10" t="str">
        <f t="shared" si="177"/>
        <v>2025-03</v>
      </c>
      <c r="AK871" s="10" t="str">
        <f t="shared" si="178"/>
        <v>T1</v>
      </c>
      <c r="AL871" s="10" t="str">
        <f t="shared" si="179"/>
        <v>40-49</v>
      </c>
      <c r="AM871" s="10" t="str">
        <f t="shared" si="180"/>
        <v>moyen</v>
      </c>
      <c r="AN871" s="10" t="s">
        <v>2837</v>
      </c>
      <c r="AO871" s="10" t="str">
        <f t="shared" si="181"/>
        <v>Faible</v>
      </c>
    </row>
    <row r="872" spans="1:41">
      <c r="A872" t="s">
        <v>2540</v>
      </c>
      <c r="B872" s="2">
        <v>46016</v>
      </c>
      <c r="C872" t="s">
        <v>2095</v>
      </c>
      <c r="D872" t="s">
        <v>42</v>
      </c>
      <c r="E872" t="s">
        <v>219</v>
      </c>
      <c r="F872" t="s">
        <v>156</v>
      </c>
      <c r="G872">
        <v>3</v>
      </c>
      <c r="H872" s="4">
        <v>260</v>
      </c>
      <c r="I872" s="3">
        <v>0.1</v>
      </c>
      <c r="J872" t="s">
        <v>90</v>
      </c>
      <c r="K872" t="s">
        <v>46</v>
      </c>
      <c r="L872" t="s">
        <v>2096</v>
      </c>
      <c r="M872" t="s">
        <v>65</v>
      </c>
      <c r="N872" t="s">
        <v>255</v>
      </c>
      <c r="O872" t="s">
        <v>50</v>
      </c>
      <c r="P872" t="s">
        <v>51</v>
      </c>
      <c r="Q872" t="s">
        <v>52</v>
      </c>
      <c r="R872" t="s">
        <v>222</v>
      </c>
      <c r="S872" t="s">
        <v>123</v>
      </c>
      <c r="T872" t="s">
        <v>159</v>
      </c>
      <c r="U872" s="5">
        <v>54</v>
      </c>
      <c r="V872" s="5" t="s">
        <v>56</v>
      </c>
      <c r="W872" s="5">
        <v>60</v>
      </c>
      <c r="X872" s="5">
        <v>4.2</v>
      </c>
      <c r="Y872" s="5">
        <v>8</v>
      </c>
      <c r="Z872" s="5" t="s">
        <v>94</v>
      </c>
      <c r="AA872" s="6">
        <v>189.8</v>
      </c>
      <c r="AB872" s="8">
        <f t="shared" si="169"/>
        <v>780</v>
      </c>
      <c r="AC872" s="8">
        <f t="shared" si="170"/>
        <v>78</v>
      </c>
      <c r="AD872" s="8">
        <f t="shared" si="171"/>
        <v>702</v>
      </c>
      <c r="AE872" s="8">
        <f t="shared" si="172"/>
        <v>569.40000000000009</v>
      </c>
      <c r="AF872" s="8">
        <f t="shared" si="173"/>
        <v>132.59999999999991</v>
      </c>
      <c r="AG872" s="9">
        <f t="shared" si="174"/>
        <v>0.18888888888888877</v>
      </c>
      <c r="AH872" s="10">
        <f t="shared" si="175"/>
        <v>2025</v>
      </c>
      <c r="AI872" s="10">
        <f t="shared" si="176"/>
        <v>12</v>
      </c>
      <c r="AJ872" s="10" t="str">
        <f t="shared" si="177"/>
        <v>2025-12</v>
      </c>
      <c r="AK872" s="10" t="str">
        <f t="shared" si="178"/>
        <v>T4</v>
      </c>
      <c r="AL872" s="10" t="str">
        <f t="shared" si="179"/>
        <v>50+</v>
      </c>
      <c r="AM872" s="10" t="str">
        <f t="shared" si="180"/>
        <v>faible</v>
      </c>
      <c r="AN872" s="10" t="s">
        <v>2837</v>
      </c>
      <c r="AO872" s="10" t="str">
        <f t="shared" si="181"/>
        <v>Moyenne</v>
      </c>
    </row>
    <row r="873" spans="1:41">
      <c r="A873" t="s">
        <v>2541</v>
      </c>
      <c r="B873" s="2">
        <v>45750</v>
      </c>
      <c r="C873" t="s">
        <v>2478</v>
      </c>
      <c r="D873" t="s">
        <v>42</v>
      </c>
      <c r="E873" t="s">
        <v>219</v>
      </c>
      <c r="F873" t="s">
        <v>297</v>
      </c>
      <c r="G873">
        <v>3</v>
      </c>
      <c r="H873" s="4">
        <v>260</v>
      </c>
      <c r="I873" s="3">
        <v>0</v>
      </c>
      <c r="J873" t="s">
        <v>45</v>
      </c>
      <c r="K873" t="s">
        <v>46</v>
      </c>
      <c r="L873" t="s">
        <v>2479</v>
      </c>
      <c r="M873" t="s">
        <v>69</v>
      </c>
      <c r="N873" t="s">
        <v>255</v>
      </c>
      <c r="O873" t="s">
        <v>50</v>
      </c>
      <c r="P873" t="s">
        <v>51</v>
      </c>
      <c r="Q873" t="s">
        <v>52</v>
      </c>
      <c r="R873" t="s">
        <v>222</v>
      </c>
      <c r="S873" t="s">
        <v>123</v>
      </c>
      <c r="T873" t="s">
        <v>299</v>
      </c>
      <c r="U873" s="5">
        <v>56</v>
      </c>
      <c r="V873" s="5" t="s">
        <v>56</v>
      </c>
      <c r="W873" s="5">
        <v>46</v>
      </c>
      <c r="X873" s="5">
        <v>5.7</v>
      </c>
      <c r="Y873" s="5">
        <v>6</v>
      </c>
      <c r="Z873" s="5" t="s">
        <v>117</v>
      </c>
      <c r="AA873" s="6">
        <v>189.8</v>
      </c>
      <c r="AB873" s="8">
        <f t="shared" si="169"/>
        <v>780</v>
      </c>
      <c r="AC873" s="8">
        <f t="shared" si="170"/>
        <v>0</v>
      </c>
      <c r="AD873" s="8">
        <f t="shared" si="171"/>
        <v>780</v>
      </c>
      <c r="AE873" s="8">
        <f t="shared" si="172"/>
        <v>569.40000000000009</v>
      </c>
      <c r="AF873" s="8">
        <f t="shared" si="173"/>
        <v>210.59999999999991</v>
      </c>
      <c r="AG873" s="9">
        <f t="shared" si="174"/>
        <v>0.26999999999999991</v>
      </c>
      <c r="AH873" s="10">
        <f t="shared" si="175"/>
        <v>2025</v>
      </c>
      <c r="AI873" s="10">
        <f t="shared" si="176"/>
        <v>4</v>
      </c>
      <c r="AJ873" s="10" t="str">
        <f t="shared" si="177"/>
        <v>2025-04</v>
      </c>
      <c r="AK873" s="10" t="str">
        <f t="shared" si="178"/>
        <v>T2</v>
      </c>
      <c r="AL873" s="10" t="str">
        <f t="shared" si="179"/>
        <v>50+</v>
      </c>
      <c r="AM873" s="10" t="str">
        <f t="shared" si="180"/>
        <v>moyen</v>
      </c>
      <c r="AN873" s="10" t="s">
        <v>2839</v>
      </c>
      <c r="AO873" s="10" t="str">
        <f t="shared" si="181"/>
        <v>Moyenne</v>
      </c>
    </row>
    <row r="874" spans="1:41">
      <c r="A874" t="s">
        <v>2542</v>
      </c>
      <c r="B874" s="2">
        <v>45940</v>
      </c>
      <c r="C874" t="s">
        <v>2543</v>
      </c>
      <c r="D874" t="s">
        <v>174</v>
      </c>
      <c r="E874" t="s">
        <v>163</v>
      </c>
      <c r="F874" t="s">
        <v>374</v>
      </c>
      <c r="G874">
        <v>1</v>
      </c>
      <c r="H874" s="4">
        <v>780</v>
      </c>
      <c r="I874" s="3">
        <v>0.05</v>
      </c>
      <c r="J874" t="s">
        <v>90</v>
      </c>
      <c r="K874" t="s">
        <v>46</v>
      </c>
      <c r="L874" t="s">
        <v>2544</v>
      </c>
      <c r="M874" t="s">
        <v>123</v>
      </c>
      <c r="N874" t="s">
        <v>101</v>
      </c>
      <c r="O874" t="s">
        <v>177</v>
      </c>
      <c r="P874" t="s">
        <v>103</v>
      </c>
      <c r="Q874" t="s">
        <v>114</v>
      </c>
      <c r="R874" t="s">
        <v>167</v>
      </c>
      <c r="S874" t="s">
        <v>123</v>
      </c>
      <c r="T874" t="s">
        <v>376</v>
      </c>
      <c r="U874" s="5">
        <v>53</v>
      </c>
      <c r="V874" s="5" t="s">
        <v>85</v>
      </c>
      <c r="W874" s="5">
        <v>17</v>
      </c>
      <c r="X874" s="5">
        <v>7.9</v>
      </c>
      <c r="Y874" s="5">
        <v>3</v>
      </c>
      <c r="Z874" s="5" t="s">
        <v>117</v>
      </c>
      <c r="AA874" s="6">
        <v>468</v>
      </c>
      <c r="AB874" s="8">
        <f t="shared" si="169"/>
        <v>780</v>
      </c>
      <c r="AC874" s="8">
        <f t="shared" si="170"/>
        <v>39</v>
      </c>
      <c r="AD874" s="8">
        <f t="shared" si="171"/>
        <v>741</v>
      </c>
      <c r="AE874" s="8">
        <f t="shared" si="172"/>
        <v>468</v>
      </c>
      <c r="AF874" s="8">
        <f t="shared" si="173"/>
        <v>273</v>
      </c>
      <c r="AG874" s="9">
        <f t="shared" si="174"/>
        <v>0.36842105263157893</v>
      </c>
      <c r="AH874" s="10">
        <f t="shared" si="175"/>
        <v>2025</v>
      </c>
      <c r="AI874" s="10">
        <f t="shared" si="176"/>
        <v>10</v>
      </c>
      <c r="AJ874" s="10" t="str">
        <f t="shared" si="177"/>
        <v>2025-10</v>
      </c>
      <c r="AK874" s="10" t="str">
        <f t="shared" si="178"/>
        <v>T4</v>
      </c>
      <c r="AL874" s="10" t="str">
        <f t="shared" si="179"/>
        <v>50+</v>
      </c>
      <c r="AM874" s="10" t="str">
        <f t="shared" si="180"/>
        <v>bon</v>
      </c>
      <c r="AN874" s="10" t="s">
        <v>2838</v>
      </c>
      <c r="AO874" s="10" t="str">
        <f t="shared" si="181"/>
        <v>Moyenne</v>
      </c>
    </row>
    <row r="875" spans="1:41">
      <c r="A875" t="s">
        <v>2545</v>
      </c>
      <c r="B875" s="2">
        <v>45876</v>
      </c>
      <c r="C875" t="s">
        <v>2546</v>
      </c>
      <c r="D875" t="s">
        <v>42</v>
      </c>
      <c r="E875" t="s">
        <v>75</v>
      </c>
      <c r="F875" t="s">
        <v>413</v>
      </c>
      <c r="G875">
        <v>2</v>
      </c>
      <c r="H875" s="4">
        <v>260</v>
      </c>
      <c r="I875" s="3">
        <v>0.1</v>
      </c>
      <c r="J875" t="s">
        <v>45</v>
      </c>
      <c r="K875" t="s">
        <v>46</v>
      </c>
      <c r="L875" t="s">
        <v>2547</v>
      </c>
      <c r="M875" t="s">
        <v>69</v>
      </c>
      <c r="N875" t="s">
        <v>101</v>
      </c>
      <c r="O875" t="s">
        <v>50</v>
      </c>
      <c r="P875" t="s">
        <v>51</v>
      </c>
      <c r="Q875" t="s">
        <v>52</v>
      </c>
      <c r="R875" t="s">
        <v>83</v>
      </c>
      <c r="S875" t="s">
        <v>69</v>
      </c>
      <c r="T875" t="s">
        <v>415</v>
      </c>
      <c r="U875" s="5">
        <v>59</v>
      </c>
      <c r="V875" s="5" t="s">
        <v>85</v>
      </c>
      <c r="W875" s="5">
        <v>16</v>
      </c>
      <c r="X875" s="5">
        <v>3.6</v>
      </c>
      <c r="Y875" s="5">
        <v>9</v>
      </c>
      <c r="Z875" s="5" t="s">
        <v>117</v>
      </c>
      <c r="AA875" s="6">
        <v>189.8</v>
      </c>
      <c r="AB875" s="8">
        <f t="shared" si="169"/>
        <v>520</v>
      </c>
      <c r="AC875" s="8">
        <f t="shared" si="170"/>
        <v>52</v>
      </c>
      <c r="AD875" s="8">
        <f t="shared" si="171"/>
        <v>468</v>
      </c>
      <c r="AE875" s="8">
        <f t="shared" si="172"/>
        <v>379.6</v>
      </c>
      <c r="AF875" s="8">
        <f t="shared" si="173"/>
        <v>88.399999999999977</v>
      </c>
      <c r="AG875" s="9">
        <f t="shared" si="174"/>
        <v>0.18888888888888883</v>
      </c>
      <c r="AH875" s="10">
        <f t="shared" si="175"/>
        <v>2025</v>
      </c>
      <c r="AI875" s="10">
        <f t="shared" si="176"/>
        <v>8</v>
      </c>
      <c r="AJ875" s="10" t="str">
        <f t="shared" si="177"/>
        <v>2025-08</v>
      </c>
      <c r="AK875" s="10" t="str">
        <f t="shared" si="178"/>
        <v>T3</v>
      </c>
      <c r="AL875" s="10" t="str">
        <f t="shared" si="179"/>
        <v>50+</v>
      </c>
      <c r="AM875" s="10" t="str">
        <f t="shared" si="180"/>
        <v>faible</v>
      </c>
      <c r="AN875" s="10" t="s">
        <v>2837</v>
      </c>
      <c r="AO875" s="10" t="str">
        <f t="shared" si="181"/>
        <v>Faible</v>
      </c>
    </row>
    <row r="876" spans="1:41">
      <c r="A876" t="s">
        <v>2548</v>
      </c>
      <c r="B876" s="2">
        <v>45977</v>
      </c>
      <c r="C876" t="s">
        <v>2549</v>
      </c>
      <c r="D876" t="s">
        <v>174</v>
      </c>
      <c r="E876" t="s">
        <v>207</v>
      </c>
      <c r="F876" t="s">
        <v>813</v>
      </c>
      <c r="G876">
        <v>2</v>
      </c>
      <c r="H876" s="4">
        <v>780</v>
      </c>
      <c r="I876" s="3">
        <v>0.02</v>
      </c>
      <c r="J876" t="s">
        <v>90</v>
      </c>
      <c r="K876" t="s">
        <v>46</v>
      </c>
      <c r="L876" t="s">
        <v>2550</v>
      </c>
      <c r="M876" t="s">
        <v>48</v>
      </c>
      <c r="N876" t="s">
        <v>80</v>
      </c>
      <c r="O876" t="s">
        <v>177</v>
      </c>
      <c r="P876" t="s">
        <v>103</v>
      </c>
      <c r="Q876" t="s">
        <v>114</v>
      </c>
      <c r="R876" t="s">
        <v>210</v>
      </c>
      <c r="S876" t="s">
        <v>79</v>
      </c>
      <c r="T876" t="s">
        <v>815</v>
      </c>
      <c r="U876" s="5">
        <v>52</v>
      </c>
      <c r="V876" s="5" t="s">
        <v>56</v>
      </c>
      <c r="W876" s="5">
        <v>38</v>
      </c>
      <c r="X876" s="5">
        <v>5.4</v>
      </c>
      <c r="Y876" s="5">
        <v>5</v>
      </c>
      <c r="Z876" s="5" t="s">
        <v>117</v>
      </c>
      <c r="AA876" s="6">
        <v>468</v>
      </c>
      <c r="AB876" s="8">
        <f t="shared" si="169"/>
        <v>1560</v>
      </c>
      <c r="AC876" s="8">
        <f t="shared" si="170"/>
        <v>31.2</v>
      </c>
      <c r="AD876" s="8">
        <f t="shared" si="171"/>
        <v>1528.8</v>
      </c>
      <c r="AE876" s="8">
        <f t="shared" si="172"/>
        <v>936</v>
      </c>
      <c r="AF876" s="8">
        <f t="shared" si="173"/>
        <v>592.79999999999995</v>
      </c>
      <c r="AG876" s="9">
        <f t="shared" si="174"/>
        <v>0.38775510204081631</v>
      </c>
      <c r="AH876" s="10">
        <f t="shared" si="175"/>
        <v>2025</v>
      </c>
      <c r="AI876" s="10">
        <f t="shared" si="176"/>
        <v>11</v>
      </c>
      <c r="AJ876" s="10" t="str">
        <f t="shared" si="177"/>
        <v>2025-11</v>
      </c>
      <c r="AK876" s="10" t="str">
        <f t="shared" si="178"/>
        <v>T4</v>
      </c>
      <c r="AL876" s="10" t="str">
        <f t="shared" si="179"/>
        <v>50+</v>
      </c>
      <c r="AM876" s="10" t="str">
        <f t="shared" si="180"/>
        <v>moyen</v>
      </c>
      <c r="AN876" s="10" t="s">
        <v>2839</v>
      </c>
      <c r="AO876" s="10" t="str">
        <f t="shared" si="181"/>
        <v>Elevée</v>
      </c>
    </row>
    <row r="877" spans="1:41">
      <c r="A877" t="s">
        <v>2551</v>
      </c>
      <c r="B877" s="2">
        <v>45799</v>
      </c>
      <c r="C877" t="s">
        <v>2552</v>
      </c>
      <c r="D877" t="s">
        <v>155</v>
      </c>
      <c r="E877" t="s">
        <v>75</v>
      </c>
      <c r="F877" t="s">
        <v>140</v>
      </c>
      <c r="G877">
        <v>20</v>
      </c>
      <c r="H877" s="4">
        <v>48</v>
      </c>
      <c r="I877" s="3">
        <v>0</v>
      </c>
      <c r="J877" t="s">
        <v>90</v>
      </c>
      <c r="K877" t="s">
        <v>46</v>
      </c>
      <c r="L877" t="s">
        <v>2553</v>
      </c>
      <c r="M877" t="s">
        <v>48</v>
      </c>
      <c r="N877" t="s">
        <v>255</v>
      </c>
      <c r="O877" t="s">
        <v>158</v>
      </c>
      <c r="P877" t="s">
        <v>51</v>
      </c>
      <c r="Q877" t="s">
        <v>143</v>
      </c>
      <c r="R877" t="s">
        <v>83</v>
      </c>
      <c r="S877" t="s">
        <v>69</v>
      </c>
      <c r="T877" t="s">
        <v>145</v>
      </c>
      <c r="U877" s="5">
        <v>53</v>
      </c>
      <c r="V877" s="5" t="s">
        <v>56</v>
      </c>
      <c r="W877" s="5">
        <v>33</v>
      </c>
      <c r="X877" s="5">
        <v>5.4</v>
      </c>
      <c r="Y877" s="5">
        <v>5</v>
      </c>
      <c r="Z877" s="5" t="s">
        <v>94</v>
      </c>
      <c r="AA877" s="6">
        <v>37.44</v>
      </c>
      <c r="AB877" s="8">
        <f t="shared" si="169"/>
        <v>960</v>
      </c>
      <c r="AC877" s="8">
        <f t="shared" si="170"/>
        <v>0</v>
      </c>
      <c r="AD877" s="8">
        <f t="shared" si="171"/>
        <v>960</v>
      </c>
      <c r="AE877" s="8">
        <f t="shared" si="172"/>
        <v>748.8</v>
      </c>
      <c r="AF877" s="8">
        <f t="shared" si="173"/>
        <v>211.20000000000005</v>
      </c>
      <c r="AG877" s="9">
        <f t="shared" si="174"/>
        <v>0.22000000000000006</v>
      </c>
      <c r="AH877" s="10">
        <f t="shared" si="175"/>
        <v>2025</v>
      </c>
      <c r="AI877" s="10">
        <f t="shared" si="176"/>
        <v>5</v>
      </c>
      <c r="AJ877" s="10" t="str">
        <f t="shared" si="177"/>
        <v>2025-05</v>
      </c>
      <c r="AK877" s="10" t="str">
        <f t="shared" si="178"/>
        <v>T2</v>
      </c>
      <c r="AL877" s="10" t="str">
        <f t="shared" si="179"/>
        <v>50+</v>
      </c>
      <c r="AM877" s="10" t="str">
        <f t="shared" si="180"/>
        <v>moyen</v>
      </c>
      <c r="AN877" s="10" t="s">
        <v>2839</v>
      </c>
      <c r="AO877" s="10" t="str">
        <f t="shared" si="181"/>
        <v>Moyenne</v>
      </c>
    </row>
    <row r="878" spans="1:41">
      <c r="A878" t="s">
        <v>2554</v>
      </c>
      <c r="B878" s="2">
        <v>45673</v>
      </c>
      <c r="C878" t="s">
        <v>1514</v>
      </c>
      <c r="D878" t="s">
        <v>138</v>
      </c>
      <c r="E878" t="s">
        <v>120</v>
      </c>
      <c r="F878" t="s">
        <v>548</v>
      </c>
      <c r="G878">
        <v>1</v>
      </c>
      <c r="H878" s="4">
        <v>120</v>
      </c>
      <c r="I878" s="3">
        <v>0</v>
      </c>
      <c r="J878" t="s">
        <v>90</v>
      </c>
      <c r="K878" t="s">
        <v>46</v>
      </c>
      <c r="L878" t="s">
        <v>1515</v>
      </c>
      <c r="M878" t="s">
        <v>79</v>
      </c>
      <c r="N878" t="s">
        <v>101</v>
      </c>
      <c r="O878" t="s">
        <v>142</v>
      </c>
      <c r="P878" t="s">
        <v>51</v>
      </c>
      <c r="Q878" t="s">
        <v>143</v>
      </c>
      <c r="R878" t="s">
        <v>124</v>
      </c>
      <c r="S878" t="s">
        <v>48</v>
      </c>
      <c r="T878" t="s">
        <v>550</v>
      </c>
      <c r="U878" s="5">
        <v>56</v>
      </c>
      <c r="V878" s="5" t="s">
        <v>56</v>
      </c>
      <c r="W878" s="5">
        <v>14</v>
      </c>
      <c r="X878" s="5">
        <v>3.9</v>
      </c>
      <c r="Y878" s="5">
        <v>8</v>
      </c>
      <c r="Z878" s="5" t="s">
        <v>71</v>
      </c>
      <c r="AA878" s="6">
        <v>73.2</v>
      </c>
      <c r="AB878" s="8">
        <f t="shared" si="169"/>
        <v>120</v>
      </c>
      <c r="AC878" s="8">
        <f t="shared" si="170"/>
        <v>0</v>
      </c>
      <c r="AD878" s="8">
        <f t="shared" si="171"/>
        <v>120</v>
      </c>
      <c r="AE878" s="8">
        <f t="shared" si="172"/>
        <v>73.2</v>
      </c>
      <c r="AF878" s="8">
        <f t="shared" si="173"/>
        <v>46.8</v>
      </c>
      <c r="AG878" s="9">
        <f t="shared" si="174"/>
        <v>0.38999999999999996</v>
      </c>
      <c r="AH878" s="10">
        <f t="shared" si="175"/>
        <v>2025</v>
      </c>
      <c r="AI878" s="10">
        <f t="shared" si="176"/>
        <v>1</v>
      </c>
      <c r="AJ878" s="10" t="str">
        <f t="shared" si="177"/>
        <v>2025-01</v>
      </c>
      <c r="AK878" s="10" t="str">
        <f t="shared" si="178"/>
        <v>T1</v>
      </c>
      <c r="AL878" s="10" t="str">
        <f t="shared" si="179"/>
        <v>50+</v>
      </c>
      <c r="AM878" s="10" t="str">
        <f t="shared" si="180"/>
        <v>faible</v>
      </c>
      <c r="AN878" s="10" t="s">
        <v>2837</v>
      </c>
      <c r="AO878" s="10" t="str">
        <f t="shared" si="181"/>
        <v>Faible</v>
      </c>
    </row>
    <row r="879" spans="1:41">
      <c r="A879" t="s">
        <v>2555</v>
      </c>
      <c r="B879" s="2">
        <v>45933</v>
      </c>
      <c r="C879" t="s">
        <v>2556</v>
      </c>
      <c r="D879" t="s">
        <v>272</v>
      </c>
      <c r="E879" t="s">
        <v>345</v>
      </c>
      <c r="F879" t="s">
        <v>1303</v>
      </c>
      <c r="G879">
        <v>3</v>
      </c>
      <c r="H879" s="4">
        <v>420</v>
      </c>
      <c r="I879" s="3">
        <v>0</v>
      </c>
      <c r="J879" t="s">
        <v>90</v>
      </c>
      <c r="K879" t="s">
        <v>46</v>
      </c>
      <c r="L879" t="s">
        <v>2557</v>
      </c>
      <c r="M879" t="s">
        <v>54</v>
      </c>
      <c r="N879" t="s">
        <v>101</v>
      </c>
      <c r="O879" t="s">
        <v>274</v>
      </c>
      <c r="P879" t="s">
        <v>133</v>
      </c>
      <c r="Q879" t="s">
        <v>114</v>
      </c>
      <c r="R879" t="s">
        <v>347</v>
      </c>
      <c r="S879" t="s">
        <v>54</v>
      </c>
      <c r="T879" t="s">
        <v>1305</v>
      </c>
      <c r="U879" s="5">
        <v>34</v>
      </c>
      <c r="V879" s="5" t="s">
        <v>85</v>
      </c>
      <c r="W879" s="5">
        <v>3</v>
      </c>
      <c r="X879" s="5">
        <v>4.3</v>
      </c>
      <c r="Y879" s="5">
        <v>9</v>
      </c>
      <c r="Z879" s="5" t="s">
        <v>94</v>
      </c>
      <c r="AA879" s="6">
        <v>273</v>
      </c>
      <c r="AB879" s="8">
        <f t="shared" si="169"/>
        <v>1260</v>
      </c>
      <c r="AC879" s="8">
        <f t="shared" si="170"/>
        <v>0</v>
      </c>
      <c r="AD879" s="8">
        <f t="shared" si="171"/>
        <v>1260</v>
      </c>
      <c r="AE879" s="8">
        <f t="shared" si="172"/>
        <v>819</v>
      </c>
      <c r="AF879" s="8">
        <f t="shared" si="173"/>
        <v>441</v>
      </c>
      <c r="AG879" s="9">
        <f t="shared" si="174"/>
        <v>0.35</v>
      </c>
      <c r="AH879" s="10">
        <f t="shared" si="175"/>
        <v>2025</v>
      </c>
      <c r="AI879" s="10">
        <f t="shared" si="176"/>
        <v>10</v>
      </c>
      <c r="AJ879" s="10" t="str">
        <f t="shared" si="177"/>
        <v>2025-10</v>
      </c>
      <c r="AK879" s="10" t="str">
        <f t="shared" si="178"/>
        <v>T4</v>
      </c>
      <c r="AL879" s="10" t="str">
        <f t="shared" si="179"/>
        <v>30-39</v>
      </c>
      <c r="AM879" s="10" t="str">
        <f t="shared" si="180"/>
        <v>faible</v>
      </c>
      <c r="AN879" s="10" t="s">
        <v>2837</v>
      </c>
      <c r="AO879" s="10" t="str">
        <f t="shared" si="181"/>
        <v>Elevée</v>
      </c>
    </row>
    <row r="880" spans="1:41">
      <c r="A880" t="s">
        <v>2558</v>
      </c>
      <c r="B880" s="2">
        <v>45716</v>
      </c>
      <c r="C880" t="s">
        <v>2559</v>
      </c>
      <c r="D880" t="s">
        <v>108</v>
      </c>
      <c r="E880" t="s">
        <v>226</v>
      </c>
      <c r="F880" t="s">
        <v>140</v>
      </c>
      <c r="G880">
        <v>4</v>
      </c>
      <c r="H880" s="4">
        <v>240</v>
      </c>
      <c r="I880" s="3">
        <v>0.05</v>
      </c>
      <c r="J880" t="s">
        <v>77</v>
      </c>
      <c r="K880" t="s">
        <v>46</v>
      </c>
      <c r="L880" t="s">
        <v>2560</v>
      </c>
      <c r="M880" t="s">
        <v>79</v>
      </c>
      <c r="N880" t="s">
        <v>112</v>
      </c>
      <c r="O880" t="s">
        <v>113</v>
      </c>
      <c r="P880" t="s">
        <v>82</v>
      </c>
      <c r="Q880" t="s">
        <v>114</v>
      </c>
      <c r="R880" t="s">
        <v>229</v>
      </c>
      <c r="S880" t="s">
        <v>48</v>
      </c>
      <c r="T880" t="s">
        <v>145</v>
      </c>
      <c r="U880" s="5">
        <v>52</v>
      </c>
      <c r="V880" s="5" t="s">
        <v>56</v>
      </c>
      <c r="W880" s="5">
        <v>11</v>
      </c>
      <c r="X880" s="5">
        <v>8</v>
      </c>
      <c r="Y880" s="5">
        <v>2</v>
      </c>
      <c r="Z880" s="5" t="s">
        <v>57</v>
      </c>
      <c r="AA880" s="6">
        <v>177.6</v>
      </c>
      <c r="AB880" s="8">
        <f t="shared" si="169"/>
        <v>960</v>
      </c>
      <c r="AC880" s="8">
        <f t="shared" si="170"/>
        <v>48</v>
      </c>
      <c r="AD880" s="8">
        <f t="shared" si="171"/>
        <v>912</v>
      </c>
      <c r="AE880" s="8">
        <f t="shared" si="172"/>
        <v>710.4</v>
      </c>
      <c r="AF880" s="8">
        <f t="shared" si="173"/>
        <v>201.60000000000002</v>
      </c>
      <c r="AG880" s="9">
        <f t="shared" si="174"/>
        <v>0.22105263157894739</v>
      </c>
      <c r="AH880" s="10">
        <f t="shared" si="175"/>
        <v>2025</v>
      </c>
      <c r="AI880" s="10">
        <f t="shared" si="176"/>
        <v>2</v>
      </c>
      <c r="AJ880" s="10" t="str">
        <f t="shared" si="177"/>
        <v>2025-02</v>
      </c>
      <c r="AK880" s="10" t="str">
        <f t="shared" si="178"/>
        <v>T1</v>
      </c>
      <c r="AL880" s="10" t="str">
        <f t="shared" si="179"/>
        <v>50+</v>
      </c>
      <c r="AM880" s="10" t="str">
        <f t="shared" si="180"/>
        <v>bon</v>
      </c>
      <c r="AN880" s="10" t="s">
        <v>2838</v>
      </c>
      <c r="AO880" s="10" t="str">
        <f t="shared" si="181"/>
        <v>Moyenne</v>
      </c>
    </row>
    <row r="881" spans="1:41">
      <c r="A881" t="s">
        <v>2561</v>
      </c>
      <c r="B881" s="2">
        <v>45733</v>
      </c>
      <c r="C881" t="s">
        <v>2562</v>
      </c>
      <c r="D881" t="s">
        <v>128</v>
      </c>
      <c r="E881" t="s">
        <v>214</v>
      </c>
      <c r="F881" t="s">
        <v>374</v>
      </c>
      <c r="G881">
        <v>3</v>
      </c>
      <c r="H881" s="4">
        <v>190</v>
      </c>
      <c r="I881" s="3">
        <v>0.05</v>
      </c>
      <c r="J881" t="s">
        <v>63</v>
      </c>
      <c r="K881" t="s">
        <v>46</v>
      </c>
      <c r="L881" t="s">
        <v>2563</v>
      </c>
      <c r="M881" t="s">
        <v>48</v>
      </c>
      <c r="N881" t="s">
        <v>80</v>
      </c>
      <c r="O881" t="s">
        <v>132</v>
      </c>
      <c r="P881" t="s">
        <v>133</v>
      </c>
      <c r="Q881" t="s">
        <v>52</v>
      </c>
      <c r="R881" t="s">
        <v>216</v>
      </c>
      <c r="S881" t="s">
        <v>65</v>
      </c>
      <c r="T881" t="s">
        <v>376</v>
      </c>
      <c r="U881" s="5">
        <v>52</v>
      </c>
      <c r="V881" s="5" t="s">
        <v>85</v>
      </c>
      <c r="W881" s="5">
        <v>62</v>
      </c>
      <c r="X881" s="5">
        <v>7.5</v>
      </c>
      <c r="Y881" s="5">
        <v>3</v>
      </c>
      <c r="Z881" s="5" t="s">
        <v>117</v>
      </c>
      <c r="AA881" s="6">
        <v>148.19999999999999</v>
      </c>
      <c r="AB881" s="8">
        <f t="shared" si="169"/>
        <v>570</v>
      </c>
      <c r="AC881" s="8">
        <f t="shared" si="170"/>
        <v>28.5</v>
      </c>
      <c r="AD881" s="8">
        <f t="shared" si="171"/>
        <v>541.5</v>
      </c>
      <c r="AE881" s="8">
        <f t="shared" si="172"/>
        <v>444.59999999999997</v>
      </c>
      <c r="AF881" s="8">
        <f t="shared" si="173"/>
        <v>96.900000000000034</v>
      </c>
      <c r="AG881" s="9">
        <f t="shared" si="174"/>
        <v>0.17894736842105269</v>
      </c>
      <c r="AH881" s="10">
        <f t="shared" si="175"/>
        <v>2025</v>
      </c>
      <c r="AI881" s="10">
        <f t="shared" si="176"/>
        <v>3</v>
      </c>
      <c r="AJ881" s="10" t="str">
        <f t="shared" si="177"/>
        <v>2025-03</v>
      </c>
      <c r="AK881" s="10" t="str">
        <f t="shared" si="178"/>
        <v>T1</v>
      </c>
      <c r="AL881" s="10" t="str">
        <f t="shared" si="179"/>
        <v>50+</v>
      </c>
      <c r="AM881" s="10" t="str">
        <f t="shared" si="180"/>
        <v>bon</v>
      </c>
      <c r="AN881" s="10" t="s">
        <v>2838</v>
      </c>
      <c r="AO881" s="10" t="str">
        <f t="shared" si="181"/>
        <v>Moyenne</v>
      </c>
    </row>
    <row r="882" spans="1:41">
      <c r="A882" t="s">
        <v>2564</v>
      </c>
      <c r="B882" s="2">
        <v>45805</v>
      </c>
      <c r="C882" t="s">
        <v>2565</v>
      </c>
      <c r="D882" t="s">
        <v>174</v>
      </c>
      <c r="E882" t="s">
        <v>98</v>
      </c>
      <c r="F882" t="s">
        <v>968</v>
      </c>
      <c r="G882">
        <v>2</v>
      </c>
      <c r="H882" s="4">
        <v>780</v>
      </c>
      <c r="I882" s="3">
        <v>0.1</v>
      </c>
      <c r="J882" t="s">
        <v>90</v>
      </c>
      <c r="K882" t="s">
        <v>46</v>
      </c>
      <c r="L882" t="s">
        <v>2566</v>
      </c>
      <c r="M882" t="s">
        <v>69</v>
      </c>
      <c r="N882" t="s">
        <v>255</v>
      </c>
      <c r="O882" t="s">
        <v>177</v>
      </c>
      <c r="P882" t="s">
        <v>103</v>
      </c>
      <c r="Q882" t="s">
        <v>114</v>
      </c>
      <c r="R882" t="s">
        <v>104</v>
      </c>
      <c r="S882" t="s">
        <v>79</v>
      </c>
      <c r="T882" t="s">
        <v>970</v>
      </c>
      <c r="U882" s="5">
        <v>57</v>
      </c>
      <c r="V882" s="5" t="s">
        <v>56</v>
      </c>
      <c r="W882" s="5">
        <v>49</v>
      </c>
      <c r="X882" s="5">
        <v>7.4</v>
      </c>
      <c r="Y882" s="5">
        <v>4</v>
      </c>
      <c r="Z882" s="5" t="s">
        <v>94</v>
      </c>
      <c r="AA882" s="6">
        <v>468</v>
      </c>
      <c r="AB882" s="8">
        <f t="shared" si="169"/>
        <v>1560</v>
      </c>
      <c r="AC882" s="8">
        <f t="shared" si="170"/>
        <v>156</v>
      </c>
      <c r="AD882" s="8">
        <f t="shared" si="171"/>
        <v>1404</v>
      </c>
      <c r="AE882" s="8">
        <f t="shared" si="172"/>
        <v>936</v>
      </c>
      <c r="AF882" s="8">
        <f t="shared" si="173"/>
        <v>468</v>
      </c>
      <c r="AG882" s="9">
        <f t="shared" si="174"/>
        <v>0.33333333333333331</v>
      </c>
      <c r="AH882" s="10">
        <f t="shared" si="175"/>
        <v>2025</v>
      </c>
      <c r="AI882" s="10">
        <f t="shared" si="176"/>
        <v>5</v>
      </c>
      <c r="AJ882" s="10" t="str">
        <f t="shared" si="177"/>
        <v>2025-05</v>
      </c>
      <c r="AK882" s="10" t="str">
        <f t="shared" si="178"/>
        <v>T2</v>
      </c>
      <c r="AL882" s="10" t="str">
        <f t="shared" si="179"/>
        <v>50+</v>
      </c>
      <c r="AM882" s="10" t="str">
        <f t="shared" si="180"/>
        <v>bon</v>
      </c>
      <c r="AN882" s="10" t="s">
        <v>2839</v>
      </c>
      <c r="AO882" s="10" t="str">
        <f t="shared" si="181"/>
        <v>Elevée</v>
      </c>
    </row>
    <row r="883" spans="1:41">
      <c r="A883" t="s">
        <v>2567</v>
      </c>
      <c r="B883" s="2">
        <v>45897</v>
      </c>
      <c r="C883" t="s">
        <v>2568</v>
      </c>
      <c r="D883" t="s">
        <v>188</v>
      </c>
      <c r="E883" t="s">
        <v>207</v>
      </c>
      <c r="F883" t="s">
        <v>190</v>
      </c>
      <c r="G883">
        <v>1</v>
      </c>
      <c r="H883" s="4">
        <v>350</v>
      </c>
      <c r="I883" s="3">
        <v>0.05</v>
      </c>
      <c r="J883" t="s">
        <v>90</v>
      </c>
      <c r="K883" t="s">
        <v>46</v>
      </c>
      <c r="L883" t="s">
        <v>2569</v>
      </c>
      <c r="M883" t="s">
        <v>65</v>
      </c>
      <c r="N883" t="s">
        <v>101</v>
      </c>
      <c r="O883" t="s">
        <v>192</v>
      </c>
      <c r="P883" t="s">
        <v>51</v>
      </c>
      <c r="Q883" t="s">
        <v>114</v>
      </c>
      <c r="R883" t="s">
        <v>210</v>
      </c>
      <c r="S883" t="s">
        <v>79</v>
      </c>
      <c r="T883" t="s">
        <v>194</v>
      </c>
      <c r="U883" s="5">
        <v>49</v>
      </c>
      <c r="V883" s="5" t="s">
        <v>56</v>
      </c>
      <c r="W883" s="5">
        <v>41</v>
      </c>
      <c r="X883" s="5">
        <v>6.5</v>
      </c>
      <c r="Y883" s="5">
        <v>5</v>
      </c>
      <c r="Z883" s="5" t="s">
        <v>57</v>
      </c>
      <c r="AA883" s="6">
        <v>213.5</v>
      </c>
      <c r="AB883" s="8">
        <f t="shared" si="169"/>
        <v>350</v>
      </c>
      <c r="AC883" s="8">
        <f t="shared" si="170"/>
        <v>17.5</v>
      </c>
      <c r="AD883" s="8">
        <f t="shared" si="171"/>
        <v>332.5</v>
      </c>
      <c r="AE883" s="8">
        <f t="shared" si="172"/>
        <v>213.5</v>
      </c>
      <c r="AF883" s="8">
        <f t="shared" si="173"/>
        <v>119</v>
      </c>
      <c r="AG883" s="9">
        <f t="shared" si="174"/>
        <v>0.35789473684210527</v>
      </c>
      <c r="AH883" s="10">
        <f t="shared" si="175"/>
        <v>2025</v>
      </c>
      <c r="AI883" s="10">
        <f t="shared" si="176"/>
        <v>8</v>
      </c>
      <c r="AJ883" s="10" t="str">
        <f t="shared" si="177"/>
        <v>2025-08</v>
      </c>
      <c r="AK883" s="10" t="str">
        <f t="shared" si="178"/>
        <v>T3</v>
      </c>
      <c r="AL883" s="10" t="str">
        <f t="shared" si="179"/>
        <v>40-49</v>
      </c>
      <c r="AM883" s="10" t="str">
        <f t="shared" si="180"/>
        <v>moyen</v>
      </c>
      <c r="AN883" s="10" t="s">
        <v>2839</v>
      </c>
      <c r="AO883" s="10" t="str">
        <f t="shared" si="181"/>
        <v>Faible</v>
      </c>
    </row>
    <row r="884" spans="1:41">
      <c r="A884" t="s">
        <v>2570</v>
      </c>
      <c r="B884" s="2">
        <v>45983</v>
      </c>
      <c r="C884" t="s">
        <v>2571</v>
      </c>
      <c r="D884" t="s">
        <v>162</v>
      </c>
      <c r="E884" t="s">
        <v>226</v>
      </c>
      <c r="F884" t="s">
        <v>328</v>
      </c>
      <c r="G884">
        <v>2</v>
      </c>
      <c r="H884" s="4">
        <v>35</v>
      </c>
      <c r="I884" s="3">
        <v>0</v>
      </c>
      <c r="J884" t="s">
        <v>77</v>
      </c>
      <c r="K884" t="s">
        <v>46</v>
      </c>
      <c r="L884" t="s">
        <v>2572</v>
      </c>
      <c r="M884" t="s">
        <v>48</v>
      </c>
      <c r="N884" t="s">
        <v>255</v>
      </c>
      <c r="O884" t="s">
        <v>166</v>
      </c>
      <c r="P884" t="s">
        <v>103</v>
      </c>
      <c r="Q884" t="s">
        <v>143</v>
      </c>
      <c r="R884" t="s">
        <v>229</v>
      </c>
      <c r="S884" t="s">
        <v>48</v>
      </c>
      <c r="T884" t="s">
        <v>330</v>
      </c>
      <c r="U884" s="5">
        <v>29</v>
      </c>
      <c r="V884" s="5" t="s">
        <v>85</v>
      </c>
      <c r="W884" s="5">
        <v>22</v>
      </c>
      <c r="X884" s="5">
        <v>4.7</v>
      </c>
      <c r="Y884" s="5">
        <v>7</v>
      </c>
      <c r="Z884" s="5" t="s">
        <v>94</v>
      </c>
      <c r="AA884" s="6">
        <v>24.15</v>
      </c>
      <c r="AB884" s="8">
        <f t="shared" si="169"/>
        <v>70</v>
      </c>
      <c r="AC884" s="8">
        <f t="shared" si="170"/>
        <v>0</v>
      </c>
      <c r="AD884" s="8">
        <f t="shared" si="171"/>
        <v>70</v>
      </c>
      <c r="AE884" s="8">
        <f t="shared" si="172"/>
        <v>48.3</v>
      </c>
      <c r="AF884" s="8">
        <f t="shared" si="173"/>
        <v>21.700000000000003</v>
      </c>
      <c r="AG884" s="9">
        <f t="shared" si="174"/>
        <v>0.31000000000000005</v>
      </c>
      <c r="AH884" s="10">
        <f t="shared" si="175"/>
        <v>2025</v>
      </c>
      <c r="AI884" s="10">
        <f t="shared" si="176"/>
        <v>11</v>
      </c>
      <c r="AJ884" s="10" t="str">
        <f t="shared" si="177"/>
        <v>2025-11</v>
      </c>
      <c r="AK884" s="10" t="str">
        <f t="shared" si="178"/>
        <v>T4</v>
      </c>
      <c r="AL884" s="10" t="str">
        <f t="shared" si="179"/>
        <v>22-29</v>
      </c>
      <c r="AM884" s="10" t="str">
        <f t="shared" si="180"/>
        <v>faible</v>
      </c>
      <c r="AN884" s="10" t="s">
        <v>2837</v>
      </c>
      <c r="AO884" s="10" t="str">
        <f t="shared" si="181"/>
        <v>Faible</v>
      </c>
    </row>
    <row r="885" spans="1:41">
      <c r="A885" t="s">
        <v>2573</v>
      </c>
      <c r="B885" s="2">
        <v>45745</v>
      </c>
      <c r="C885" t="s">
        <v>2574</v>
      </c>
      <c r="D885" t="s">
        <v>188</v>
      </c>
      <c r="E885" t="s">
        <v>315</v>
      </c>
      <c r="F885" t="s">
        <v>220</v>
      </c>
      <c r="G885">
        <v>4</v>
      </c>
      <c r="H885" s="4">
        <v>350</v>
      </c>
      <c r="I885" s="3">
        <v>0.02</v>
      </c>
      <c r="J885" t="s">
        <v>90</v>
      </c>
      <c r="K885" t="s">
        <v>46</v>
      </c>
      <c r="L885" t="s">
        <v>2575</v>
      </c>
      <c r="M885" t="s">
        <v>48</v>
      </c>
      <c r="N885" t="s">
        <v>255</v>
      </c>
      <c r="O885" t="s">
        <v>192</v>
      </c>
      <c r="P885" t="s">
        <v>51</v>
      </c>
      <c r="Q885" t="s">
        <v>114</v>
      </c>
      <c r="R885" t="s">
        <v>317</v>
      </c>
      <c r="S885" t="s">
        <v>69</v>
      </c>
      <c r="T885" t="s">
        <v>223</v>
      </c>
      <c r="U885" s="5">
        <v>29</v>
      </c>
      <c r="V885" s="5" t="s">
        <v>85</v>
      </c>
      <c r="W885" s="5">
        <v>48</v>
      </c>
      <c r="X885" s="5">
        <v>4.2</v>
      </c>
      <c r="Y885" s="5">
        <v>9</v>
      </c>
      <c r="Z885" s="5" t="s">
        <v>71</v>
      </c>
      <c r="AA885" s="6">
        <v>213.5</v>
      </c>
      <c r="AB885" s="8">
        <f t="shared" si="169"/>
        <v>1400</v>
      </c>
      <c r="AC885" s="8">
        <f t="shared" si="170"/>
        <v>28</v>
      </c>
      <c r="AD885" s="8">
        <f t="shared" si="171"/>
        <v>1372</v>
      </c>
      <c r="AE885" s="8">
        <f t="shared" si="172"/>
        <v>854</v>
      </c>
      <c r="AF885" s="8">
        <f t="shared" si="173"/>
        <v>518</v>
      </c>
      <c r="AG885" s="9">
        <f t="shared" si="174"/>
        <v>0.37755102040816324</v>
      </c>
      <c r="AH885" s="10">
        <f t="shared" si="175"/>
        <v>2025</v>
      </c>
      <c r="AI885" s="10">
        <f t="shared" si="176"/>
        <v>3</v>
      </c>
      <c r="AJ885" s="10" t="str">
        <f t="shared" si="177"/>
        <v>2025-03</v>
      </c>
      <c r="AK885" s="10" t="str">
        <f t="shared" si="178"/>
        <v>T1</v>
      </c>
      <c r="AL885" s="10" t="str">
        <f t="shared" si="179"/>
        <v>22-29</v>
      </c>
      <c r="AM885" s="10" t="str">
        <f t="shared" si="180"/>
        <v>faible</v>
      </c>
      <c r="AN885" s="10" t="s">
        <v>2837</v>
      </c>
      <c r="AO885" s="10" t="str">
        <f t="shared" si="181"/>
        <v>Elevée</v>
      </c>
    </row>
    <row r="886" spans="1:41">
      <c r="A886" t="s">
        <v>2576</v>
      </c>
      <c r="B886" s="2">
        <v>45764</v>
      </c>
      <c r="C886" t="s">
        <v>2577</v>
      </c>
      <c r="D886" t="s">
        <v>272</v>
      </c>
      <c r="E886" t="s">
        <v>219</v>
      </c>
      <c r="F886" t="s">
        <v>369</v>
      </c>
      <c r="G886">
        <v>1</v>
      </c>
      <c r="H886" s="4">
        <v>420</v>
      </c>
      <c r="I886" s="3">
        <v>0.05</v>
      </c>
      <c r="J886" t="s">
        <v>63</v>
      </c>
      <c r="K886" t="s">
        <v>46</v>
      </c>
      <c r="L886" t="s">
        <v>2578</v>
      </c>
      <c r="M886" t="s">
        <v>54</v>
      </c>
      <c r="N886" t="s">
        <v>112</v>
      </c>
      <c r="O886" t="s">
        <v>274</v>
      </c>
      <c r="P886" t="s">
        <v>133</v>
      </c>
      <c r="Q886" t="s">
        <v>114</v>
      </c>
      <c r="R886" t="s">
        <v>222</v>
      </c>
      <c r="S886" t="s">
        <v>123</v>
      </c>
      <c r="T886" t="s">
        <v>371</v>
      </c>
      <c r="U886" s="5">
        <v>37</v>
      </c>
      <c r="V886" s="5" t="s">
        <v>56</v>
      </c>
      <c r="W886" s="5">
        <v>58</v>
      </c>
      <c r="X886" s="5">
        <v>6</v>
      </c>
      <c r="Y886" s="5">
        <v>6</v>
      </c>
      <c r="Z886" s="5" t="s">
        <v>71</v>
      </c>
      <c r="AA886" s="6">
        <v>273</v>
      </c>
      <c r="AB886" s="8">
        <f t="shared" si="169"/>
        <v>420</v>
      </c>
      <c r="AC886" s="8">
        <f t="shared" si="170"/>
        <v>21</v>
      </c>
      <c r="AD886" s="8">
        <f t="shared" si="171"/>
        <v>399</v>
      </c>
      <c r="AE886" s="8">
        <f t="shared" si="172"/>
        <v>273</v>
      </c>
      <c r="AF886" s="8">
        <f t="shared" si="173"/>
        <v>126</v>
      </c>
      <c r="AG886" s="9">
        <f t="shared" si="174"/>
        <v>0.31578947368421051</v>
      </c>
      <c r="AH886" s="10">
        <f t="shared" si="175"/>
        <v>2025</v>
      </c>
      <c r="AI886" s="10">
        <f t="shared" si="176"/>
        <v>4</v>
      </c>
      <c r="AJ886" s="10" t="str">
        <f t="shared" si="177"/>
        <v>2025-04</v>
      </c>
      <c r="AK886" s="10" t="str">
        <f t="shared" si="178"/>
        <v>T2</v>
      </c>
      <c r="AL886" s="10" t="str">
        <f t="shared" si="179"/>
        <v>30-39</v>
      </c>
      <c r="AM886" s="10" t="str">
        <f t="shared" si="180"/>
        <v>moyen</v>
      </c>
      <c r="AN886" s="10" t="s">
        <v>2839</v>
      </c>
      <c r="AO886" s="10" t="str">
        <f t="shared" si="181"/>
        <v>Faible</v>
      </c>
    </row>
    <row r="887" spans="1:41">
      <c r="A887" t="s">
        <v>2579</v>
      </c>
      <c r="B887" s="2">
        <v>45689</v>
      </c>
      <c r="C887" t="s">
        <v>2580</v>
      </c>
      <c r="D887" t="s">
        <v>128</v>
      </c>
      <c r="E887" t="s">
        <v>98</v>
      </c>
      <c r="F887" t="s">
        <v>282</v>
      </c>
      <c r="G887">
        <v>1</v>
      </c>
      <c r="H887" s="4">
        <v>190</v>
      </c>
      <c r="I887" s="3">
        <v>0</v>
      </c>
      <c r="J887" t="s">
        <v>90</v>
      </c>
      <c r="K887" t="s">
        <v>46</v>
      </c>
      <c r="L887" t="s">
        <v>2581</v>
      </c>
      <c r="M887" t="s">
        <v>123</v>
      </c>
      <c r="N887" t="s">
        <v>80</v>
      </c>
      <c r="O887" t="s">
        <v>132</v>
      </c>
      <c r="P887" t="s">
        <v>133</v>
      </c>
      <c r="Q887" t="s">
        <v>52</v>
      </c>
      <c r="R887" t="s">
        <v>104</v>
      </c>
      <c r="S887" t="s">
        <v>79</v>
      </c>
      <c r="T887" t="s">
        <v>284</v>
      </c>
      <c r="U887" s="5">
        <v>26</v>
      </c>
      <c r="V887" s="5" t="s">
        <v>85</v>
      </c>
      <c r="W887" s="5">
        <v>56</v>
      </c>
      <c r="X887" s="5">
        <v>8</v>
      </c>
      <c r="Y887" s="5">
        <v>1</v>
      </c>
      <c r="Z887" s="5" t="s">
        <v>71</v>
      </c>
      <c r="AA887" s="6">
        <v>148.19999999999999</v>
      </c>
      <c r="AB887" s="8">
        <f t="shared" si="169"/>
        <v>190</v>
      </c>
      <c r="AC887" s="8">
        <f t="shared" si="170"/>
        <v>0</v>
      </c>
      <c r="AD887" s="8">
        <f t="shared" si="171"/>
        <v>190</v>
      </c>
      <c r="AE887" s="8">
        <f t="shared" si="172"/>
        <v>148.19999999999999</v>
      </c>
      <c r="AF887" s="8">
        <f t="shared" si="173"/>
        <v>41.800000000000011</v>
      </c>
      <c r="AG887" s="9">
        <f t="shared" si="174"/>
        <v>0.22000000000000006</v>
      </c>
      <c r="AH887" s="10">
        <f t="shared" si="175"/>
        <v>2025</v>
      </c>
      <c r="AI887" s="10">
        <f t="shared" si="176"/>
        <v>2</v>
      </c>
      <c r="AJ887" s="10" t="str">
        <f t="shared" si="177"/>
        <v>2025-02</v>
      </c>
      <c r="AK887" s="10" t="str">
        <f t="shared" si="178"/>
        <v>T1</v>
      </c>
      <c r="AL887" s="10" t="str">
        <f t="shared" si="179"/>
        <v>22-29</v>
      </c>
      <c r="AM887" s="10" t="str">
        <f t="shared" si="180"/>
        <v>bon</v>
      </c>
      <c r="AN887" s="10" t="s">
        <v>2838</v>
      </c>
      <c r="AO887" s="10" t="str">
        <f t="shared" si="181"/>
        <v>Faible</v>
      </c>
    </row>
    <row r="888" spans="1:41">
      <c r="A888" t="s">
        <v>2582</v>
      </c>
      <c r="B888" s="2">
        <v>45785</v>
      </c>
      <c r="C888" t="s">
        <v>1724</v>
      </c>
      <c r="D888" t="s">
        <v>272</v>
      </c>
      <c r="E888" t="s">
        <v>277</v>
      </c>
      <c r="F888" t="s">
        <v>779</v>
      </c>
      <c r="G888">
        <v>2</v>
      </c>
      <c r="H888" s="4">
        <v>420</v>
      </c>
      <c r="I888" s="3">
        <v>0.02</v>
      </c>
      <c r="J888" t="s">
        <v>45</v>
      </c>
      <c r="K888" t="s">
        <v>46</v>
      </c>
      <c r="L888" t="s">
        <v>1725</v>
      </c>
      <c r="M888" t="s">
        <v>54</v>
      </c>
      <c r="N888" t="s">
        <v>101</v>
      </c>
      <c r="O888" t="s">
        <v>274</v>
      </c>
      <c r="P888" t="s">
        <v>133</v>
      </c>
      <c r="Q888" t="s">
        <v>114</v>
      </c>
      <c r="R888" t="s">
        <v>279</v>
      </c>
      <c r="S888" t="s">
        <v>54</v>
      </c>
      <c r="T888" t="s">
        <v>781</v>
      </c>
      <c r="U888" s="5">
        <v>52</v>
      </c>
      <c r="V888" s="5" t="s">
        <v>85</v>
      </c>
      <c r="W888" s="5">
        <v>18</v>
      </c>
      <c r="X888" s="5">
        <v>8</v>
      </c>
      <c r="Y888" s="5">
        <v>1</v>
      </c>
      <c r="Z888" s="5" t="s">
        <v>117</v>
      </c>
      <c r="AA888" s="6">
        <v>273</v>
      </c>
      <c r="AB888" s="8">
        <f t="shared" si="169"/>
        <v>840</v>
      </c>
      <c r="AC888" s="8">
        <f t="shared" si="170"/>
        <v>16.8</v>
      </c>
      <c r="AD888" s="8">
        <f t="shared" si="171"/>
        <v>823.2</v>
      </c>
      <c r="AE888" s="8">
        <f t="shared" si="172"/>
        <v>546</v>
      </c>
      <c r="AF888" s="8">
        <f t="shared" si="173"/>
        <v>277.20000000000005</v>
      </c>
      <c r="AG888" s="9">
        <f t="shared" si="174"/>
        <v>0.33673469387755106</v>
      </c>
      <c r="AH888" s="10">
        <f t="shared" si="175"/>
        <v>2025</v>
      </c>
      <c r="AI888" s="10">
        <f t="shared" si="176"/>
        <v>5</v>
      </c>
      <c r="AJ888" s="10" t="str">
        <f t="shared" si="177"/>
        <v>2025-05</v>
      </c>
      <c r="AK888" s="10" t="str">
        <f t="shared" si="178"/>
        <v>T2</v>
      </c>
      <c r="AL888" s="10" t="str">
        <f t="shared" si="179"/>
        <v>50+</v>
      </c>
      <c r="AM888" s="10" t="str">
        <f t="shared" si="180"/>
        <v>bon</v>
      </c>
      <c r="AN888" s="10" t="s">
        <v>2838</v>
      </c>
      <c r="AO888" s="10" t="str">
        <f t="shared" si="181"/>
        <v>Moyenne</v>
      </c>
    </row>
    <row r="889" spans="1:41">
      <c r="A889" t="s">
        <v>2583</v>
      </c>
      <c r="B889" s="2">
        <v>45737</v>
      </c>
      <c r="C889" t="s">
        <v>2584</v>
      </c>
      <c r="D889" t="s">
        <v>148</v>
      </c>
      <c r="E889" t="s">
        <v>109</v>
      </c>
      <c r="F889" t="s">
        <v>259</v>
      </c>
      <c r="G889">
        <v>3</v>
      </c>
      <c r="H889" s="4">
        <v>110</v>
      </c>
      <c r="I889" s="3">
        <v>0</v>
      </c>
      <c r="J889" t="s">
        <v>63</v>
      </c>
      <c r="K889" t="s">
        <v>46</v>
      </c>
      <c r="L889" t="s">
        <v>2585</v>
      </c>
      <c r="M889" t="s">
        <v>69</v>
      </c>
      <c r="N889" t="s">
        <v>80</v>
      </c>
      <c r="O889" t="s">
        <v>151</v>
      </c>
      <c r="P889" t="s">
        <v>103</v>
      </c>
      <c r="Q889" t="s">
        <v>114</v>
      </c>
      <c r="R889" t="s">
        <v>115</v>
      </c>
      <c r="S889" t="s">
        <v>65</v>
      </c>
      <c r="T889" t="s">
        <v>261</v>
      </c>
      <c r="U889" s="5">
        <v>51</v>
      </c>
      <c r="V889" s="5" t="s">
        <v>85</v>
      </c>
      <c r="W889" s="5">
        <v>62</v>
      </c>
      <c r="X889" s="5">
        <v>4.7</v>
      </c>
      <c r="Y889" s="5">
        <v>7</v>
      </c>
      <c r="Z889" s="5" t="s">
        <v>71</v>
      </c>
      <c r="AA889" s="6">
        <v>72.599999999999994</v>
      </c>
      <c r="AB889" s="8">
        <f t="shared" si="169"/>
        <v>330</v>
      </c>
      <c r="AC889" s="8">
        <f t="shared" si="170"/>
        <v>0</v>
      </c>
      <c r="AD889" s="8">
        <f t="shared" si="171"/>
        <v>330</v>
      </c>
      <c r="AE889" s="8">
        <f t="shared" si="172"/>
        <v>217.79999999999998</v>
      </c>
      <c r="AF889" s="8">
        <f t="shared" si="173"/>
        <v>112.20000000000002</v>
      </c>
      <c r="AG889" s="9">
        <f t="shared" si="174"/>
        <v>0.34</v>
      </c>
      <c r="AH889" s="10">
        <f t="shared" si="175"/>
        <v>2025</v>
      </c>
      <c r="AI889" s="10">
        <f t="shared" si="176"/>
        <v>3</v>
      </c>
      <c r="AJ889" s="10" t="str">
        <f t="shared" si="177"/>
        <v>2025-03</v>
      </c>
      <c r="AK889" s="10" t="str">
        <f t="shared" si="178"/>
        <v>T1</v>
      </c>
      <c r="AL889" s="10" t="str">
        <f t="shared" si="179"/>
        <v>50+</v>
      </c>
      <c r="AM889" s="10" t="str">
        <f t="shared" si="180"/>
        <v>faible</v>
      </c>
      <c r="AN889" s="10" t="s">
        <v>2837</v>
      </c>
      <c r="AO889" s="10" t="str">
        <f t="shared" si="181"/>
        <v>Faible</v>
      </c>
    </row>
    <row r="890" spans="1:41">
      <c r="A890" t="s">
        <v>2586</v>
      </c>
      <c r="B890" s="2">
        <v>45988</v>
      </c>
      <c r="C890" t="s">
        <v>327</v>
      </c>
      <c r="D890" t="s">
        <v>128</v>
      </c>
      <c r="E890" t="s">
        <v>207</v>
      </c>
      <c r="F890" t="s">
        <v>44</v>
      </c>
      <c r="G890">
        <v>3</v>
      </c>
      <c r="H890" s="4">
        <v>190</v>
      </c>
      <c r="I890" s="3">
        <v>0.08</v>
      </c>
      <c r="J890" t="s">
        <v>77</v>
      </c>
      <c r="K890" t="s">
        <v>46</v>
      </c>
      <c r="L890" t="s">
        <v>329</v>
      </c>
      <c r="M890" t="s">
        <v>48</v>
      </c>
      <c r="N890" t="s">
        <v>101</v>
      </c>
      <c r="O890" t="s">
        <v>132</v>
      </c>
      <c r="P890" t="s">
        <v>133</v>
      </c>
      <c r="Q890" t="s">
        <v>52</v>
      </c>
      <c r="R890" t="s">
        <v>210</v>
      </c>
      <c r="S890" t="s">
        <v>79</v>
      </c>
      <c r="T890" t="s">
        <v>55</v>
      </c>
      <c r="U890" s="5">
        <v>26</v>
      </c>
      <c r="V890" s="5" t="s">
        <v>85</v>
      </c>
      <c r="W890" s="5">
        <v>5</v>
      </c>
      <c r="X890" s="5">
        <v>8.3000000000000007</v>
      </c>
      <c r="Y890" s="5">
        <v>2</v>
      </c>
      <c r="Z890" s="5" t="s">
        <v>57</v>
      </c>
      <c r="AA890" s="6">
        <v>148.19999999999999</v>
      </c>
      <c r="AB890" s="8">
        <f t="shared" si="169"/>
        <v>570</v>
      </c>
      <c r="AC890" s="8">
        <f t="shared" si="170"/>
        <v>45.6</v>
      </c>
      <c r="AD890" s="8">
        <f t="shared" si="171"/>
        <v>524.4</v>
      </c>
      <c r="AE890" s="8">
        <f t="shared" si="172"/>
        <v>444.59999999999997</v>
      </c>
      <c r="AF890" s="8">
        <f t="shared" si="173"/>
        <v>79.800000000000011</v>
      </c>
      <c r="AG890" s="9">
        <f t="shared" si="174"/>
        <v>0.1521739130434783</v>
      </c>
      <c r="AH890" s="10">
        <f t="shared" si="175"/>
        <v>2025</v>
      </c>
      <c r="AI890" s="10">
        <f t="shared" si="176"/>
        <v>11</v>
      </c>
      <c r="AJ890" s="10" t="str">
        <f t="shared" si="177"/>
        <v>2025-11</v>
      </c>
      <c r="AK890" s="10" t="str">
        <f t="shared" si="178"/>
        <v>T4</v>
      </c>
      <c r="AL890" s="10" t="str">
        <f t="shared" si="179"/>
        <v>22-29</v>
      </c>
      <c r="AM890" s="10" t="str">
        <f t="shared" si="180"/>
        <v>bon</v>
      </c>
      <c r="AN890" s="10" t="s">
        <v>2838</v>
      </c>
      <c r="AO890" s="10" t="str">
        <f t="shared" si="181"/>
        <v>Moyenne</v>
      </c>
    </row>
    <row r="891" spans="1:41">
      <c r="A891" t="s">
        <v>2587</v>
      </c>
      <c r="B891" s="2">
        <v>45872</v>
      </c>
      <c r="C891" t="s">
        <v>2588</v>
      </c>
      <c r="D891" t="s">
        <v>138</v>
      </c>
      <c r="E891" t="s">
        <v>163</v>
      </c>
      <c r="F891" t="s">
        <v>779</v>
      </c>
      <c r="G891">
        <v>4</v>
      </c>
      <c r="H891" s="4">
        <v>120</v>
      </c>
      <c r="I891" s="3">
        <v>0</v>
      </c>
      <c r="J891" t="s">
        <v>77</v>
      </c>
      <c r="K891" t="s">
        <v>46</v>
      </c>
      <c r="L891" t="s">
        <v>2589</v>
      </c>
      <c r="M891" t="s">
        <v>79</v>
      </c>
      <c r="N891" t="s">
        <v>80</v>
      </c>
      <c r="O891" t="s">
        <v>142</v>
      </c>
      <c r="P891" t="s">
        <v>51</v>
      </c>
      <c r="Q891" t="s">
        <v>143</v>
      </c>
      <c r="R891" t="s">
        <v>167</v>
      </c>
      <c r="S891" t="s">
        <v>123</v>
      </c>
      <c r="T891" t="s">
        <v>781</v>
      </c>
      <c r="U891" s="5">
        <v>28</v>
      </c>
      <c r="V891" s="5" t="s">
        <v>85</v>
      </c>
      <c r="W891" s="5">
        <v>62</v>
      </c>
      <c r="X891" s="5">
        <v>6.1</v>
      </c>
      <c r="Y891" s="5">
        <v>5</v>
      </c>
      <c r="Z891" s="5" t="s">
        <v>71</v>
      </c>
      <c r="AA891" s="6">
        <v>73.2</v>
      </c>
      <c r="AB891" s="8">
        <f t="shared" si="169"/>
        <v>480</v>
      </c>
      <c r="AC891" s="8">
        <f t="shared" si="170"/>
        <v>0</v>
      </c>
      <c r="AD891" s="8">
        <f t="shared" si="171"/>
        <v>480</v>
      </c>
      <c r="AE891" s="8">
        <f t="shared" si="172"/>
        <v>292.8</v>
      </c>
      <c r="AF891" s="8">
        <f t="shared" si="173"/>
        <v>187.2</v>
      </c>
      <c r="AG891" s="9">
        <f t="shared" si="174"/>
        <v>0.38999999999999996</v>
      </c>
      <c r="AH891" s="10">
        <f t="shared" si="175"/>
        <v>2025</v>
      </c>
      <c r="AI891" s="10">
        <f t="shared" si="176"/>
        <v>8</v>
      </c>
      <c r="AJ891" s="10" t="str">
        <f t="shared" si="177"/>
        <v>2025-08</v>
      </c>
      <c r="AK891" s="10" t="str">
        <f t="shared" si="178"/>
        <v>T3</v>
      </c>
      <c r="AL891" s="10" t="str">
        <f t="shared" si="179"/>
        <v>22-29</v>
      </c>
      <c r="AM891" s="10" t="str">
        <f t="shared" si="180"/>
        <v>moyen</v>
      </c>
      <c r="AN891" s="10" t="s">
        <v>2839</v>
      </c>
      <c r="AO891" s="10" t="str">
        <f t="shared" si="181"/>
        <v>Faible</v>
      </c>
    </row>
    <row r="892" spans="1:41">
      <c r="A892" t="s">
        <v>2590</v>
      </c>
      <c r="B892" s="2">
        <v>45816</v>
      </c>
      <c r="C892" t="s">
        <v>2501</v>
      </c>
      <c r="D892" t="s">
        <v>333</v>
      </c>
      <c r="E892" t="s">
        <v>88</v>
      </c>
      <c r="F892" t="s">
        <v>444</v>
      </c>
      <c r="G892">
        <v>10</v>
      </c>
      <c r="H892" s="4">
        <v>65</v>
      </c>
      <c r="I892" s="3">
        <v>0</v>
      </c>
      <c r="J892" t="s">
        <v>90</v>
      </c>
      <c r="K892" t="s">
        <v>46</v>
      </c>
      <c r="L892" t="s">
        <v>2502</v>
      </c>
      <c r="M892" t="s">
        <v>65</v>
      </c>
      <c r="N892" t="s">
        <v>112</v>
      </c>
      <c r="O892" t="s">
        <v>336</v>
      </c>
      <c r="P892" t="s">
        <v>51</v>
      </c>
      <c r="Q892" t="s">
        <v>52</v>
      </c>
      <c r="R892" t="s">
        <v>92</v>
      </c>
      <c r="S892" t="s">
        <v>48</v>
      </c>
      <c r="T892" t="s">
        <v>446</v>
      </c>
      <c r="U892" s="5">
        <v>60</v>
      </c>
      <c r="V892" s="5" t="s">
        <v>56</v>
      </c>
      <c r="W892" s="5">
        <v>61</v>
      </c>
      <c r="X892" s="5">
        <v>4.0999999999999996</v>
      </c>
      <c r="Y892" s="5">
        <v>7</v>
      </c>
      <c r="Z892" s="5" t="s">
        <v>71</v>
      </c>
      <c r="AA892" s="6">
        <v>47.45</v>
      </c>
      <c r="AB892" s="8">
        <f t="shared" si="169"/>
        <v>650</v>
      </c>
      <c r="AC892" s="8">
        <f t="shared" si="170"/>
        <v>0</v>
      </c>
      <c r="AD892" s="8">
        <f t="shared" si="171"/>
        <v>650</v>
      </c>
      <c r="AE892" s="8">
        <f t="shared" si="172"/>
        <v>474.5</v>
      </c>
      <c r="AF892" s="8">
        <f t="shared" si="173"/>
        <v>175.5</v>
      </c>
      <c r="AG892" s="9">
        <f t="shared" si="174"/>
        <v>0.27</v>
      </c>
      <c r="AH892" s="10">
        <f t="shared" si="175"/>
        <v>2025</v>
      </c>
      <c r="AI892" s="10">
        <f t="shared" si="176"/>
        <v>6</v>
      </c>
      <c r="AJ892" s="10" t="str">
        <f t="shared" si="177"/>
        <v>2025-06</v>
      </c>
      <c r="AK892" s="10" t="str">
        <f t="shared" si="178"/>
        <v>T2</v>
      </c>
      <c r="AL892" s="10" t="str">
        <f t="shared" si="179"/>
        <v>50+</v>
      </c>
      <c r="AM892" s="10" t="str">
        <f t="shared" si="180"/>
        <v>faible</v>
      </c>
      <c r="AN892" s="10" t="s">
        <v>2837</v>
      </c>
      <c r="AO892" s="10" t="str">
        <f t="shared" si="181"/>
        <v>Moyenne</v>
      </c>
    </row>
    <row r="893" spans="1:41">
      <c r="A893" t="s">
        <v>2591</v>
      </c>
      <c r="B893" s="2">
        <v>45857</v>
      </c>
      <c r="C893" t="s">
        <v>2592</v>
      </c>
      <c r="D893" t="s">
        <v>148</v>
      </c>
      <c r="E893" t="s">
        <v>43</v>
      </c>
      <c r="F893" t="s">
        <v>243</v>
      </c>
      <c r="G893">
        <v>1</v>
      </c>
      <c r="H893" s="4">
        <v>110</v>
      </c>
      <c r="I893" s="3">
        <v>0.1</v>
      </c>
      <c r="J893" t="s">
        <v>77</v>
      </c>
      <c r="K893" t="s">
        <v>46</v>
      </c>
      <c r="L893" t="s">
        <v>2593</v>
      </c>
      <c r="M893" t="s">
        <v>69</v>
      </c>
      <c r="N893" t="s">
        <v>49</v>
      </c>
      <c r="O893" t="s">
        <v>151</v>
      </c>
      <c r="P893" t="s">
        <v>103</v>
      </c>
      <c r="Q893" t="s">
        <v>114</v>
      </c>
      <c r="R893" t="s">
        <v>53</v>
      </c>
      <c r="S893" t="s">
        <v>54</v>
      </c>
      <c r="T893" t="s">
        <v>245</v>
      </c>
      <c r="U893" s="5">
        <v>44</v>
      </c>
      <c r="V893" s="5" t="s">
        <v>85</v>
      </c>
      <c r="W893" s="5">
        <v>55</v>
      </c>
      <c r="X893" s="5">
        <v>3.8</v>
      </c>
      <c r="Y893" s="5">
        <v>9</v>
      </c>
      <c r="Z893" s="5" t="s">
        <v>117</v>
      </c>
      <c r="AA893" s="6">
        <v>72.599999999999994</v>
      </c>
      <c r="AB893" s="8">
        <f t="shared" si="169"/>
        <v>110</v>
      </c>
      <c r="AC893" s="8">
        <f t="shared" si="170"/>
        <v>11</v>
      </c>
      <c r="AD893" s="8">
        <f t="shared" si="171"/>
        <v>99</v>
      </c>
      <c r="AE893" s="8">
        <f t="shared" si="172"/>
        <v>72.599999999999994</v>
      </c>
      <c r="AF893" s="8">
        <f t="shared" si="173"/>
        <v>26.400000000000006</v>
      </c>
      <c r="AG893" s="9">
        <f t="shared" si="174"/>
        <v>0.26666666666666672</v>
      </c>
      <c r="AH893" s="10">
        <f t="shared" si="175"/>
        <v>2025</v>
      </c>
      <c r="AI893" s="10">
        <f t="shared" si="176"/>
        <v>7</v>
      </c>
      <c r="AJ893" s="10" t="str">
        <f t="shared" si="177"/>
        <v>2025-07</v>
      </c>
      <c r="AK893" s="10" t="str">
        <f t="shared" si="178"/>
        <v>T3</v>
      </c>
      <c r="AL893" s="10" t="str">
        <f t="shared" si="179"/>
        <v>40-49</v>
      </c>
      <c r="AM893" s="10" t="str">
        <f t="shared" si="180"/>
        <v>faible</v>
      </c>
      <c r="AN893" s="10" t="s">
        <v>2837</v>
      </c>
      <c r="AO893" s="10" t="str">
        <f t="shared" si="181"/>
        <v>Faible</v>
      </c>
    </row>
    <row r="894" spans="1:41">
      <c r="A894" t="s">
        <v>2594</v>
      </c>
      <c r="B894" s="2">
        <v>45775</v>
      </c>
      <c r="C894" t="s">
        <v>2300</v>
      </c>
      <c r="D894" t="s">
        <v>128</v>
      </c>
      <c r="E894" t="s">
        <v>226</v>
      </c>
      <c r="F894" t="s">
        <v>208</v>
      </c>
      <c r="G894">
        <v>4</v>
      </c>
      <c r="H894" s="4">
        <v>190</v>
      </c>
      <c r="I894" s="3">
        <v>0</v>
      </c>
      <c r="J894" t="s">
        <v>77</v>
      </c>
      <c r="K894" t="s">
        <v>46</v>
      </c>
      <c r="L894" t="s">
        <v>2301</v>
      </c>
      <c r="M894" t="s">
        <v>79</v>
      </c>
      <c r="N894" t="s">
        <v>49</v>
      </c>
      <c r="O894" t="s">
        <v>132</v>
      </c>
      <c r="P894" t="s">
        <v>133</v>
      </c>
      <c r="Q894" t="s">
        <v>52</v>
      </c>
      <c r="R894" t="s">
        <v>229</v>
      </c>
      <c r="S894" t="s">
        <v>48</v>
      </c>
      <c r="T894" t="s">
        <v>211</v>
      </c>
      <c r="U894" s="5">
        <v>49</v>
      </c>
      <c r="V894" s="5" t="s">
        <v>85</v>
      </c>
      <c r="W894" s="5">
        <v>57</v>
      </c>
      <c r="X894" s="5">
        <v>6.8</v>
      </c>
      <c r="Y894" s="5">
        <v>5</v>
      </c>
      <c r="Z894" s="5" t="s">
        <v>71</v>
      </c>
      <c r="AA894" s="6">
        <v>148.19999999999999</v>
      </c>
      <c r="AB894" s="8">
        <f t="shared" si="169"/>
        <v>760</v>
      </c>
      <c r="AC894" s="8">
        <f t="shared" si="170"/>
        <v>0</v>
      </c>
      <c r="AD894" s="8">
        <f t="shared" si="171"/>
        <v>760</v>
      </c>
      <c r="AE894" s="8">
        <f t="shared" si="172"/>
        <v>592.79999999999995</v>
      </c>
      <c r="AF894" s="8">
        <f t="shared" si="173"/>
        <v>167.20000000000005</v>
      </c>
      <c r="AG894" s="9">
        <f t="shared" si="174"/>
        <v>0.22000000000000006</v>
      </c>
      <c r="AH894" s="10">
        <f t="shared" si="175"/>
        <v>2025</v>
      </c>
      <c r="AI894" s="10">
        <f t="shared" si="176"/>
        <v>4</v>
      </c>
      <c r="AJ894" s="10" t="str">
        <f t="shared" si="177"/>
        <v>2025-04</v>
      </c>
      <c r="AK894" s="10" t="str">
        <f t="shared" si="178"/>
        <v>T2</v>
      </c>
      <c r="AL894" s="10" t="str">
        <f t="shared" si="179"/>
        <v>40-49</v>
      </c>
      <c r="AM894" s="10" t="str">
        <f t="shared" si="180"/>
        <v>moyen</v>
      </c>
      <c r="AN894" s="10" t="s">
        <v>2839</v>
      </c>
      <c r="AO894" s="10" t="str">
        <f t="shared" si="181"/>
        <v>Moyenne</v>
      </c>
    </row>
    <row r="895" spans="1:41">
      <c r="A895" t="s">
        <v>2595</v>
      </c>
      <c r="B895" s="2">
        <v>45669</v>
      </c>
      <c r="C895" t="s">
        <v>2596</v>
      </c>
      <c r="D895" t="s">
        <v>74</v>
      </c>
      <c r="E895" t="s">
        <v>88</v>
      </c>
      <c r="F895" t="s">
        <v>548</v>
      </c>
      <c r="G895">
        <v>3</v>
      </c>
      <c r="H895" s="4">
        <v>95</v>
      </c>
      <c r="I895" s="3">
        <v>0.02</v>
      </c>
      <c r="J895" t="s">
        <v>63</v>
      </c>
      <c r="K895" t="s">
        <v>46</v>
      </c>
      <c r="L895" t="s">
        <v>2597</v>
      </c>
      <c r="M895" t="s">
        <v>123</v>
      </c>
      <c r="N895" t="s">
        <v>101</v>
      </c>
      <c r="O895" t="s">
        <v>81</v>
      </c>
      <c r="P895" t="s">
        <v>82</v>
      </c>
      <c r="Q895" t="s">
        <v>52</v>
      </c>
      <c r="R895" t="s">
        <v>92</v>
      </c>
      <c r="S895" t="s">
        <v>48</v>
      </c>
      <c r="T895" t="s">
        <v>550</v>
      </c>
      <c r="U895" s="5">
        <v>24</v>
      </c>
      <c r="V895" s="5" t="s">
        <v>56</v>
      </c>
      <c r="W895" s="5">
        <v>7</v>
      </c>
      <c r="X895" s="5">
        <v>8.8000000000000007</v>
      </c>
      <c r="Y895" s="5">
        <v>1</v>
      </c>
      <c r="Z895" s="5" t="s">
        <v>94</v>
      </c>
      <c r="AA895" s="6">
        <v>70.3</v>
      </c>
      <c r="AB895" s="8">
        <f t="shared" si="169"/>
        <v>285</v>
      </c>
      <c r="AC895" s="8">
        <f t="shared" si="170"/>
        <v>5.7</v>
      </c>
      <c r="AD895" s="8">
        <f t="shared" si="171"/>
        <v>279.3</v>
      </c>
      <c r="AE895" s="8">
        <f t="shared" si="172"/>
        <v>210.89999999999998</v>
      </c>
      <c r="AF895" s="8">
        <f t="shared" si="173"/>
        <v>68.400000000000034</v>
      </c>
      <c r="AG895" s="9">
        <f t="shared" si="174"/>
        <v>0.24489795918367357</v>
      </c>
      <c r="AH895" s="10">
        <f t="shared" si="175"/>
        <v>2025</v>
      </c>
      <c r="AI895" s="10">
        <f t="shared" si="176"/>
        <v>1</v>
      </c>
      <c r="AJ895" s="10" t="str">
        <f t="shared" si="177"/>
        <v>2025-01</v>
      </c>
      <c r="AK895" s="10" t="str">
        <f t="shared" si="178"/>
        <v>T1</v>
      </c>
      <c r="AL895" s="10" t="str">
        <f t="shared" si="179"/>
        <v>22-29</v>
      </c>
      <c r="AM895" s="10" t="str">
        <f t="shared" si="180"/>
        <v>bon</v>
      </c>
      <c r="AN895" s="10" t="s">
        <v>2838</v>
      </c>
      <c r="AO895" s="10" t="str">
        <f t="shared" si="181"/>
        <v>Faible</v>
      </c>
    </row>
    <row r="896" spans="1:41">
      <c r="A896" t="s">
        <v>2598</v>
      </c>
      <c r="B896" s="2">
        <v>45929</v>
      </c>
      <c r="C896" t="s">
        <v>2599</v>
      </c>
      <c r="D896" t="s">
        <v>74</v>
      </c>
      <c r="E896" t="s">
        <v>207</v>
      </c>
      <c r="F896" t="s">
        <v>44</v>
      </c>
      <c r="G896">
        <v>2</v>
      </c>
      <c r="H896" s="4">
        <v>95</v>
      </c>
      <c r="I896" s="3">
        <v>0</v>
      </c>
      <c r="J896" t="s">
        <v>45</v>
      </c>
      <c r="K896" t="s">
        <v>46</v>
      </c>
      <c r="L896" t="s">
        <v>2600</v>
      </c>
      <c r="M896" t="s">
        <v>48</v>
      </c>
      <c r="N896" t="s">
        <v>80</v>
      </c>
      <c r="O896" t="s">
        <v>81</v>
      </c>
      <c r="P896" t="s">
        <v>82</v>
      </c>
      <c r="Q896" t="s">
        <v>52</v>
      </c>
      <c r="R896" t="s">
        <v>210</v>
      </c>
      <c r="S896" t="s">
        <v>79</v>
      </c>
      <c r="T896" t="s">
        <v>55</v>
      </c>
      <c r="U896" s="5">
        <v>30</v>
      </c>
      <c r="V896" s="5" t="s">
        <v>56</v>
      </c>
      <c r="W896" s="5">
        <v>25</v>
      </c>
      <c r="X896" s="5">
        <v>3.8</v>
      </c>
      <c r="Y896" s="5">
        <v>9</v>
      </c>
      <c r="Z896" s="5" t="s">
        <v>57</v>
      </c>
      <c r="AA896" s="6">
        <v>70.3</v>
      </c>
      <c r="AB896" s="8">
        <f t="shared" si="169"/>
        <v>190</v>
      </c>
      <c r="AC896" s="8">
        <f t="shared" si="170"/>
        <v>0</v>
      </c>
      <c r="AD896" s="8">
        <f t="shared" si="171"/>
        <v>190</v>
      </c>
      <c r="AE896" s="8">
        <f t="shared" si="172"/>
        <v>140.6</v>
      </c>
      <c r="AF896" s="8">
        <f t="shared" si="173"/>
        <v>49.400000000000006</v>
      </c>
      <c r="AG896" s="9">
        <f t="shared" si="174"/>
        <v>0.26</v>
      </c>
      <c r="AH896" s="10">
        <f t="shared" si="175"/>
        <v>2025</v>
      </c>
      <c r="AI896" s="10">
        <f t="shared" si="176"/>
        <v>9</v>
      </c>
      <c r="AJ896" s="10" t="str">
        <f t="shared" si="177"/>
        <v>2025-09</v>
      </c>
      <c r="AK896" s="10" t="str">
        <f t="shared" si="178"/>
        <v>T3</v>
      </c>
      <c r="AL896" s="10" t="str">
        <f t="shared" si="179"/>
        <v>30-39</v>
      </c>
      <c r="AM896" s="10" t="str">
        <f t="shared" si="180"/>
        <v>faible</v>
      </c>
      <c r="AN896" s="10" t="s">
        <v>2837</v>
      </c>
      <c r="AO896" s="10" t="str">
        <f t="shared" si="181"/>
        <v>Faible</v>
      </c>
    </row>
    <row r="897" spans="1:41">
      <c r="A897" t="s">
        <v>2601</v>
      </c>
      <c r="B897" s="2">
        <v>45914</v>
      </c>
      <c r="C897" t="s">
        <v>2602</v>
      </c>
      <c r="D897" t="s">
        <v>162</v>
      </c>
      <c r="E897" t="s">
        <v>61</v>
      </c>
      <c r="F897" t="s">
        <v>182</v>
      </c>
      <c r="G897">
        <v>2</v>
      </c>
      <c r="H897" s="4">
        <v>35</v>
      </c>
      <c r="I897" s="3">
        <v>0.1</v>
      </c>
      <c r="J897" t="s">
        <v>77</v>
      </c>
      <c r="K897" t="s">
        <v>46</v>
      </c>
      <c r="L897" t="s">
        <v>2603</v>
      </c>
      <c r="M897" t="s">
        <v>65</v>
      </c>
      <c r="N897" t="s">
        <v>49</v>
      </c>
      <c r="O897" t="s">
        <v>166</v>
      </c>
      <c r="P897" t="s">
        <v>103</v>
      </c>
      <c r="Q897" t="s">
        <v>143</v>
      </c>
      <c r="R897" t="s">
        <v>68</v>
      </c>
      <c r="S897" t="s">
        <v>69</v>
      </c>
      <c r="T897" t="s">
        <v>185</v>
      </c>
      <c r="U897" s="5">
        <v>47</v>
      </c>
      <c r="V897" s="5" t="s">
        <v>56</v>
      </c>
      <c r="W897" s="5">
        <v>63</v>
      </c>
      <c r="X897" s="5">
        <v>3.4</v>
      </c>
      <c r="Y897" s="5">
        <v>9</v>
      </c>
      <c r="Z897" s="5" t="s">
        <v>71</v>
      </c>
      <c r="AA897" s="6">
        <v>24.15</v>
      </c>
      <c r="AB897" s="8">
        <f t="shared" si="169"/>
        <v>70</v>
      </c>
      <c r="AC897" s="8">
        <f t="shared" si="170"/>
        <v>7</v>
      </c>
      <c r="AD897" s="8">
        <f t="shared" si="171"/>
        <v>63</v>
      </c>
      <c r="AE897" s="8">
        <f t="shared" si="172"/>
        <v>48.3</v>
      </c>
      <c r="AF897" s="8">
        <f t="shared" si="173"/>
        <v>14.700000000000003</v>
      </c>
      <c r="AG897" s="9">
        <f t="shared" si="174"/>
        <v>0.23333333333333336</v>
      </c>
      <c r="AH897" s="10">
        <f t="shared" si="175"/>
        <v>2025</v>
      </c>
      <c r="AI897" s="10">
        <f t="shared" si="176"/>
        <v>9</v>
      </c>
      <c r="AJ897" s="10" t="str">
        <f t="shared" si="177"/>
        <v>2025-09</v>
      </c>
      <c r="AK897" s="10" t="str">
        <f t="shared" si="178"/>
        <v>T3</v>
      </c>
      <c r="AL897" s="10" t="str">
        <f t="shared" si="179"/>
        <v>40-49</v>
      </c>
      <c r="AM897" s="10" t="str">
        <f t="shared" si="180"/>
        <v>faible</v>
      </c>
      <c r="AN897" s="10" t="s">
        <v>2837</v>
      </c>
      <c r="AO897" s="10" t="str">
        <f t="shared" si="181"/>
        <v>Faible</v>
      </c>
    </row>
    <row r="898" spans="1:41">
      <c r="A898" t="s">
        <v>2604</v>
      </c>
      <c r="B898" s="2">
        <v>45768</v>
      </c>
      <c r="C898" t="s">
        <v>2368</v>
      </c>
      <c r="D898" t="s">
        <v>162</v>
      </c>
      <c r="E898" t="s">
        <v>88</v>
      </c>
      <c r="F898" t="s">
        <v>121</v>
      </c>
      <c r="G898">
        <v>1</v>
      </c>
      <c r="H898" s="4">
        <v>35</v>
      </c>
      <c r="I898" s="3">
        <v>0.1</v>
      </c>
      <c r="J898" t="s">
        <v>77</v>
      </c>
      <c r="K898" t="s">
        <v>46</v>
      </c>
      <c r="L898" t="s">
        <v>2369</v>
      </c>
      <c r="M898" t="s">
        <v>48</v>
      </c>
      <c r="N898" t="s">
        <v>101</v>
      </c>
      <c r="O898" t="s">
        <v>166</v>
      </c>
      <c r="P898" t="s">
        <v>103</v>
      </c>
      <c r="Q898" t="s">
        <v>143</v>
      </c>
      <c r="R898" t="s">
        <v>92</v>
      </c>
      <c r="S898" t="s">
        <v>48</v>
      </c>
      <c r="T898" t="s">
        <v>125</v>
      </c>
      <c r="U898" s="5">
        <v>50</v>
      </c>
      <c r="V898" s="5" t="s">
        <v>56</v>
      </c>
      <c r="W898" s="5">
        <v>15</v>
      </c>
      <c r="X898" s="5">
        <v>7.7</v>
      </c>
      <c r="Y898" s="5">
        <v>3</v>
      </c>
      <c r="Z898" s="5" t="s">
        <v>71</v>
      </c>
      <c r="AA898" s="6">
        <v>24.15</v>
      </c>
      <c r="AB898" s="8">
        <f t="shared" si="169"/>
        <v>35</v>
      </c>
      <c r="AC898" s="8">
        <f t="shared" si="170"/>
        <v>3.5</v>
      </c>
      <c r="AD898" s="8">
        <f t="shared" si="171"/>
        <v>31.5</v>
      </c>
      <c r="AE898" s="8">
        <f t="shared" si="172"/>
        <v>24.15</v>
      </c>
      <c r="AF898" s="8">
        <f t="shared" si="173"/>
        <v>7.3500000000000014</v>
      </c>
      <c r="AG898" s="9">
        <f t="shared" si="174"/>
        <v>0.23333333333333336</v>
      </c>
      <c r="AH898" s="10">
        <f t="shared" si="175"/>
        <v>2025</v>
      </c>
      <c r="AI898" s="10">
        <f t="shared" si="176"/>
        <v>4</v>
      </c>
      <c r="AJ898" s="10" t="str">
        <f t="shared" si="177"/>
        <v>2025-04</v>
      </c>
      <c r="AK898" s="10" t="str">
        <f t="shared" si="178"/>
        <v>T2</v>
      </c>
      <c r="AL898" s="10" t="str">
        <f t="shared" si="179"/>
        <v>50+</v>
      </c>
      <c r="AM898" s="10" t="str">
        <f t="shared" si="180"/>
        <v>bon</v>
      </c>
      <c r="AN898" s="10" t="s">
        <v>2838</v>
      </c>
      <c r="AO898" s="10" t="str">
        <f t="shared" si="181"/>
        <v>Faible</v>
      </c>
    </row>
    <row r="899" spans="1:41">
      <c r="A899" t="s">
        <v>2605</v>
      </c>
      <c r="B899" s="2">
        <v>46020</v>
      </c>
      <c r="C899" t="s">
        <v>2606</v>
      </c>
      <c r="D899" t="s">
        <v>340</v>
      </c>
      <c r="E899" t="s">
        <v>189</v>
      </c>
      <c r="F899" t="s">
        <v>779</v>
      </c>
      <c r="G899">
        <v>1</v>
      </c>
      <c r="H899" s="4">
        <v>22</v>
      </c>
      <c r="I899" s="3">
        <v>0.08</v>
      </c>
      <c r="J899" t="s">
        <v>45</v>
      </c>
      <c r="K899" t="s">
        <v>46</v>
      </c>
      <c r="L899" t="s">
        <v>2607</v>
      </c>
      <c r="M899" t="s">
        <v>54</v>
      </c>
      <c r="N899" t="s">
        <v>255</v>
      </c>
      <c r="O899" t="s">
        <v>342</v>
      </c>
      <c r="P899" t="s">
        <v>103</v>
      </c>
      <c r="Q899" t="s">
        <v>143</v>
      </c>
      <c r="R899" t="s">
        <v>193</v>
      </c>
      <c r="S899" t="s">
        <v>79</v>
      </c>
      <c r="T899" t="s">
        <v>781</v>
      </c>
      <c r="U899" s="5">
        <v>50</v>
      </c>
      <c r="V899" s="5" t="s">
        <v>56</v>
      </c>
      <c r="W899" s="5">
        <v>12</v>
      </c>
      <c r="X899" s="5">
        <v>6.6</v>
      </c>
      <c r="Y899" s="5">
        <v>5</v>
      </c>
      <c r="Z899" s="5" t="s">
        <v>94</v>
      </c>
      <c r="AA899" s="6">
        <v>14.96</v>
      </c>
      <c r="AB899" s="8">
        <f t="shared" ref="AB899:AB962" si="182">G899*H899</f>
        <v>22</v>
      </c>
      <c r="AC899" s="8">
        <f t="shared" ref="AC899:AC962" si="183">I899*AB899</f>
        <v>1.76</v>
      </c>
      <c r="AD899" s="8">
        <f t="shared" ref="AD899:AD962" si="184">AB899-AC899</f>
        <v>20.239999999999998</v>
      </c>
      <c r="AE899" s="8">
        <f t="shared" ref="AE899:AE962" si="185">G899*AA899</f>
        <v>14.96</v>
      </c>
      <c r="AF899" s="8">
        <f t="shared" ref="AF899:AF962" si="186">AD899-AE899</f>
        <v>5.2799999999999976</v>
      </c>
      <c r="AG899" s="9">
        <f t="shared" ref="AG899:AG962" si="187">IFERROR(AF899/AD899,)</f>
        <v>0.26086956521739119</v>
      </c>
      <c r="AH899" s="10">
        <f t="shared" ref="AH899:AH962" si="188">YEAR(B899)</f>
        <v>2025</v>
      </c>
      <c r="AI899" s="10">
        <f t="shared" ref="AI899:AI962" si="189">MONTH(B899)</f>
        <v>12</v>
      </c>
      <c r="AJ899" s="10" t="str">
        <f t="shared" ref="AJ899:AJ962" si="190">TEXT(B899,"yyyy-mm")</f>
        <v>2025-12</v>
      </c>
      <c r="AK899" s="10" t="str">
        <f t="shared" ref="AK899:AK962" si="191">"T"&amp;ROUNDUP(MONTH(B899)/3,0)</f>
        <v>T4</v>
      </c>
      <c r="AL899" s="10" t="str">
        <f t="shared" ref="AL899:AL962" si="192">IF(U899&lt;30,"22-29",IF(U899&lt;40,"30-39",IF(U899&lt;50,"40-49","50+")))</f>
        <v>50+</v>
      </c>
      <c r="AM899" s="10" t="str">
        <f t="shared" ref="AM899:AM962" si="193">IF(X899&lt;5,"faible",IF(X899&lt;7,"moyen",IF(X899&lt;9,"bon","excellent")))</f>
        <v>moyen</v>
      </c>
      <c r="AN899" s="10" t="s">
        <v>2839</v>
      </c>
      <c r="AO899" s="10" t="str">
        <f t="shared" ref="AO899:AO962" si="194">IF(AD899&gt;=1000,"Elevée",IF(AD899&gt;=500,"Moyenne","Faible"))</f>
        <v>Faible</v>
      </c>
    </row>
    <row r="900" spans="1:41">
      <c r="A900" t="s">
        <v>2608</v>
      </c>
      <c r="B900" s="2">
        <v>45965</v>
      </c>
      <c r="C900" t="s">
        <v>2609</v>
      </c>
      <c r="D900" t="s">
        <v>174</v>
      </c>
      <c r="E900" t="s">
        <v>345</v>
      </c>
      <c r="F900" t="s">
        <v>502</v>
      </c>
      <c r="G900">
        <v>2</v>
      </c>
      <c r="H900" s="4">
        <v>780</v>
      </c>
      <c r="I900" s="3">
        <v>0.02</v>
      </c>
      <c r="J900" t="s">
        <v>90</v>
      </c>
      <c r="K900" t="s">
        <v>46</v>
      </c>
      <c r="L900" t="s">
        <v>2610</v>
      </c>
      <c r="M900" t="s">
        <v>54</v>
      </c>
      <c r="N900" t="s">
        <v>80</v>
      </c>
      <c r="O900" t="s">
        <v>177</v>
      </c>
      <c r="P900" t="s">
        <v>103</v>
      </c>
      <c r="Q900" t="s">
        <v>114</v>
      </c>
      <c r="R900" t="s">
        <v>347</v>
      </c>
      <c r="S900" t="s">
        <v>54</v>
      </c>
      <c r="T900" t="s">
        <v>504</v>
      </c>
      <c r="U900" s="5">
        <v>28</v>
      </c>
      <c r="V900" s="5" t="s">
        <v>56</v>
      </c>
      <c r="W900" s="5">
        <v>59</v>
      </c>
      <c r="X900" s="5">
        <v>7.5</v>
      </c>
      <c r="Y900" s="5">
        <v>3</v>
      </c>
      <c r="Z900" s="5" t="s">
        <v>94</v>
      </c>
      <c r="AA900" s="6">
        <v>468</v>
      </c>
      <c r="AB900" s="8">
        <f t="shared" si="182"/>
        <v>1560</v>
      </c>
      <c r="AC900" s="8">
        <f t="shared" si="183"/>
        <v>31.2</v>
      </c>
      <c r="AD900" s="8">
        <f t="shared" si="184"/>
        <v>1528.8</v>
      </c>
      <c r="AE900" s="8">
        <f t="shared" si="185"/>
        <v>936</v>
      </c>
      <c r="AF900" s="8">
        <f t="shared" si="186"/>
        <v>592.79999999999995</v>
      </c>
      <c r="AG900" s="9">
        <f t="shared" si="187"/>
        <v>0.38775510204081631</v>
      </c>
      <c r="AH900" s="10">
        <f t="shared" si="188"/>
        <v>2025</v>
      </c>
      <c r="AI900" s="10">
        <f t="shared" si="189"/>
        <v>11</v>
      </c>
      <c r="AJ900" s="10" t="str">
        <f t="shared" si="190"/>
        <v>2025-11</v>
      </c>
      <c r="AK900" s="10" t="str">
        <f t="shared" si="191"/>
        <v>T4</v>
      </c>
      <c r="AL900" s="10" t="str">
        <f t="shared" si="192"/>
        <v>22-29</v>
      </c>
      <c r="AM900" s="10" t="str">
        <f t="shared" si="193"/>
        <v>bon</v>
      </c>
      <c r="AN900" s="10" t="s">
        <v>2838</v>
      </c>
      <c r="AO900" s="10" t="str">
        <f t="shared" si="194"/>
        <v>Elevée</v>
      </c>
    </row>
    <row r="901" spans="1:41">
      <c r="A901" t="s">
        <v>2611</v>
      </c>
      <c r="B901" s="2">
        <v>46005</v>
      </c>
      <c r="C901" t="s">
        <v>911</v>
      </c>
      <c r="D901" t="s">
        <v>162</v>
      </c>
      <c r="E901" t="s">
        <v>214</v>
      </c>
      <c r="F901" t="s">
        <v>243</v>
      </c>
      <c r="G901">
        <v>1</v>
      </c>
      <c r="H901" s="4">
        <v>35</v>
      </c>
      <c r="I901" s="3">
        <v>0</v>
      </c>
      <c r="J901" t="s">
        <v>45</v>
      </c>
      <c r="K901" t="s">
        <v>46</v>
      </c>
      <c r="L901" t="s">
        <v>912</v>
      </c>
      <c r="M901" t="s">
        <v>54</v>
      </c>
      <c r="N901" t="s">
        <v>80</v>
      </c>
      <c r="O901" t="s">
        <v>166</v>
      </c>
      <c r="P901" t="s">
        <v>103</v>
      </c>
      <c r="Q901" t="s">
        <v>143</v>
      </c>
      <c r="R901" t="s">
        <v>216</v>
      </c>
      <c r="S901" t="s">
        <v>65</v>
      </c>
      <c r="T901" t="s">
        <v>245</v>
      </c>
      <c r="U901" s="5">
        <v>58</v>
      </c>
      <c r="V901" s="5" t="s">
        <v>56</v>
      </c>
      <c r="W901" s="5">
        <v>14</v>
      </c>
      <c r="X901" s="5">
        <v>4.0999999999999996</v>
      </c>
      <c r="Y901" s="5">
        <v>7</v>
      </c>
      <c r="Z901" s="5" t="s">
        <v>57</v>
      </c>
      <c r="AA901" s="6">
        <v>24.15</v>
      </c>
      <c r="AB901" s="8">
        <f t="shared" si="182"/>
        <v>35</v>
      </c>
      <c r="AC901" s="8">
        <f t="shared" si="183"/>
        <v>0</v>
      </c>
      <c r="AD901" s="8">
        <f t="shared" si="184"/>
        <v>35</v>
      </c>
      <c r="AE901" s="8">
        <f t="shared" si="185"/>
        <v>24.15</v>
      </c>
      <c r="AF901" s="8">
        <f t="shared" si="186"/>
        <v>10.850000000000001</v>
      </c>
      <c r="AG901" s="9">
        <f t="shared" si="187"/>
        <v>0.31000000000000005</v>
      </c>
      <c r="AH901" s="10">
        <f t="shared" si="188"/>
        <v>2025</v>
      </c>
      <c r="AI901" s="10">
        <f t="shared" si="189"/>
        <v>12</v>
      </c>
      <c r="AJ901" s="10" t="str">
        <f t="shared" si="190"/>
        <v>2025-12</v>
      </c>
      <c r="AK901" s="10" t="str">
        <f t="shared" si="191"/>
        <v>T4</v>
      </c>
      <c r="AL901" s="10" t="str">
        <f t="shared" si="192"/>
        <v>50+</v>
      </c>
      <c r="AM901" s="10" t="str">
        <f t="shared" si="193"/>
        <v>faible</v>
      </c>
      <c r="AN901" s="10" t="s">
        <v>2837</v>
      </c>
      <c r="AO901" s="10" t="str">
        <f t="shared" si="194"/>
        <v>Faible</v>
      </c>
    </row>
    <row r="902" spans="1:41">
      <c r="A902" t="s">
        <v>2612</v>
      </c>
      <c r="B902" s="2">
        <v>45706</v>
      </c>
      <c r="C902" t="s">
        <v>1293</v>
      </c>
      <c r="D902" t="s">
        <v>272</v>
      </c>
      <c r="E902" t="s">
        <v>189</v>
      </c>
      <c r="F902" t="s">
        <v>310</v>
      </c>
      <c r="G902">
        <v>2</v>
      </c>
      <c r="H902" s="4">
        <v>420</v>
      </c>
      <c r="I902" s="3">
        <v>0.05</v>
      </c>
      <c r="J902" t="s">
        <v>63</v>
      </c>
      <c r="K902" t="s">
        <v>46</v>
      </c>
      <c r="L902" t="s">
        <v>1294</v>
      </c>
      <c r="M902" t="s">
        <v>65</v>
      </c>
      <c r="N902" t="s">
        <v>80</v>
      </c>
      <c r="O902" t="s">
        <v>274</v>
      </c>
      <c r="P902" t="s">
        <v>133</v>
      </c>
      <c r="Q902" t="s">
        <v>114</v>
      </c>
      <c r="R902" t="s">
        <v>193</v>
      </c>
      <c r="S902" t="s">
        <v>79</v>
      </c>
      <c r="T902" t="s">
        <v>312</v>
      </c>
      <c r="U902" s="5">
        <v>41</v>
      </c>
      <c r="V902" s="5" t="s">
        <v>85</v>
      </c>
      <c r="W902" s="5">
        <v>46</v>
      </c>
      <c r="X902" s="5">
        <v>7.9</v>
      </c>
      <c r="Y902" s="5">
        <v>3</v>
      </c>
      <c r="Z902" s="5" t="s">
        <v>71</v>
      </c>
      <c r="AA902" s="6">
        <v>273</v>
      </c>
      <c r="AB902" s="8">
        <f t="shared" si="182"/>
        <v>840</v>
      </c>
      <c r="AC902" s="8">
        <f t="shared" si="183"/>
        <v>42</v>
      </c>
      <c r="AD902" s="8">
        <f t="shared" si="184"/>
        <v>798</v>
      </c>
      <c r="AE902" s="8">
        <f t="shared" si="185"/>
        <v>546</v>
      </c>
      <c r="AF902" s="8">
        <f t="shared" si="186"/>
        <v>252</v>
      </c>
      <c r="AG902" s="9">
        <f t="shared" si="187"/>
        <v>0.31578947368421051</v>
      </c>
      <c r="AH902" s="10">
        <f t="shared" si="188"/>
        <v>2025</v>
      </c>
      <c r="AI902" s="10">
        <f t="shared" si="189"/>
        <v>2</v>
      </c>
      <c r="AJ902" s="10" t="str">
        <f t="shared" si="190"/>
        <v>2025-02</v>
      </c>
      <c r="AK902" s="10" t="str">
        <f t="shared" si="191"/>
        <v>T1</v>
      </c>
      <c r="AL902" s="10" t="str">
        <f t="shared" si="192"/>
        <v>40-49</v>
      </c>
      <c r="AM902" s="10" t="str">
        <f t="shared" si="193"/>
        <v>bon</v>
      </c>
      <c r="AN902" s="10" t="s">
        <v>2838</v>
      </c>
      <c r="AO902" s="10" t="str">
        <f t="shared" si="194"/>
        <v>Moyenne</v>
      </c>
    </row>
    <row r="903" spans="1:41">
      <c r="A903" t="s">
        <v>2613</v>
      </c>
      <c r="B903" s="2">
        <v>45752</v>
      </c>
      <c r="C903" t="s">
        <v>1402</v>
      </c>
      <c r="D903" t="s">
        <v>138</v>
      </c>
      <c r="E903" t="s">
        <v>120</v>
      </c>
      <c r="F903" t="s">
        <v>121</v>
      </c>
      <c r="G903">
        <v>1</v>
      </c>
      <c r="H903" s="4">
        <v>120</v>
      </c>
      <c r="I903" s="3">
        <v>0</v>
      </c>
      <c r="J903" t="s">
        <v>90</v>
      </c>
      <c r="K903" t="s">
        <v>46</v>
      </c>
      <c r="L903" t="s">
        <v>1403</v>
      </c>
      <c r="M903" t="s">
        <v>69</v>
      </c>
      <c r="N903" t="s">
        <v>101</v>
      </c>
      <c r="O903" t="s">
        <v>142</v>
      </c>
      <c r="P903" t="s">
        <v>51</v>
      </c>
      <c r="Q903" t="s">
        <v>143</v>
      </c>
      <c r="R903" t="s">
        <v>124</v>
      </c>
      <c r="S903" t="s">
        <v>48</v>
      </c>
      <c r="T903" t="s">
        <v>125</v>
      </c>
      <c r="U903" s="5">
        <v>50</v>
      </c>
      <c r="V903" s="5" t="s">
        <v>85</v>
      </c>
      <c r="W903" s="5">
        <v>40</v>
      </c>
      <c r="X903" s="5">
        <v>8.6</v>
      </c>
      <c r="Y903" s="5">
        <v>1</v>
      </c>
      <c r="Z903" s="5" t="s">
        <v>71</v>
      </c>
      <c r="AA903" s="6">
        <v>73.2</v>
      </c>
      <c r="AB903" s="8">
        <f t="shared" si="182"/>
        <v>120</v>
      </c>
      <c r="AC903" s="8">
        <f t="shared" si="183"/>
        <v>0</v>
      </c>
      <c r="AD903" s="8">
        <f t="shared" si="184"/>
        <v>120</v>
      </c>
      <c r="AE903" s="8">
        <f t="shared" si="185"/>
        <v>73.2</v>
      </c>
      <c r="AF903" s="8">
        <f t="shared" si="186"/>
        <v>46.8</v>
      </c>
      <c r="AG903" s="9">
        <f t="shared" si="187"/>
        <v>0.38999999999999996</v>
      </c>
      <c r="AH903" s="10">
        <f t="shared" si="188"/>
        <v>2025</v>
      </c>
      <c r="AI903" s="10">
        <f t="shared" si="189"/>
        <v>4</v>
      </c>
      <c r="AJ903" s="10" t="str">
        <f t="shared" si="190"/>
        <v>2025-04</v>
      </c>
      <c r="AK903" s="10" t="str">
        <f t="shared" si="191"/>
        <v>T2</v>
      </c>
      <c r="AL903" s="10" t="str">
        <f t="shared" si="192"/>
        <v>50+</v>
      </c>
      <c r="AM903" s="10" t="str">
        <f t="shared" si="193"/>
        <v>bon</v>
      </c>
      <c r="AN903" s="10" t="s">
        <v>2838</v>
      </c>
      <c r="AO903" s="10" t="str">
        <f t="shared" si="194"/>
        <v>Faible</v>
      </c>
    </row>
    <row r="904" spans="1:41">
      <c r="A904" t="s">
        <v>2614</v>
      </c>
      <c r="B904" s="2">
        <v>45723</v>
      </c>
      <c r="C904" t="s">
        <v>2615</v>
      </c>
      <c r="D904" t="s">
        <v>333</v>
      </c>
      <c r="E904" t="s">
        <v>345</v>
      </c>
      <c r="F904" t="s">
        <v>130</v>
      </c>
      <c r="G904">
        <v>5</v>
      </c>
      <c r="H904" s="4">
        <v>65</v>
      </c>
      <c r="I904" s="3">
        <v>0.05</v>
      </c>
      <c r="J904" t="s">
        <v>90</v>
      </c>
      <c r="K904" t="s">
        <v>46</v>
      </c>
      <c r="L904" t="s">
        <v>2616</v>
      </c>
      <c r="M904" t="s">
        <v>69</v>
      </c>
      <c r="N904" t="s">
        <v>101</v>
      </c>
      <c r="O904" t="s">
        <v>336</v>
      </c>
      <c r="P904" t="s">
        <v>51</v>
      </c>
      <c r="Q904" t="s">
        <v>52</v>
      </c>
      <c r="R904" t="s">
        <v>347</v>
      </c>
      <c r="S904" t="s">
        <v>54</v>
      </c>
      <c r="T904" t="s">
        <v>135</v>
      </c>
      <c r="U904" s="5">
        <v>35</v>
      </c>
      <c r="V904" s="5" t="s">
        <v>85</v>
      </c>
      <c r="W904" s="5">
        <v>28</v>
      </c>
      <c r="X904" s="5">
        <v>7.8</v>
      </c>
      <c r="Y904" s="5">
        <v>2</v>
      </c>
      <c r="Z904" s="5" t="s">
        <v>71</v>
      </c>
      <c r="AA904" s="6">
        <v>47.45</v>
      </c>
      <c r="AB904" s="8">
        <f t="shared" si="182"/>
        <v>325</v>
      </c>
      <c r="AC904" s="8">
        <f t="shared" si="183"/>
        <v>16.25</v>
      </c>
      <c r="AD904" s="8">
        <f t="shared" si="184"/>
        <v>308.75</v>
      </c>
      <c r="AE904" s="8">
        <f t="shared" si="185"/>
        <v>237.25</v>
      </c>
      <c r="AF904" s="8">
        <f t="shared" si="186"/>
        <v>71.5</v>
      </c>
      <c r="AG904" s="9">
        <f t="shared" si="187"/>
        <v>0.23157894736842105</v>
      </c>
      <c r="AH904" s="10">
        <f t="shared" si="188"/>
        <v>2025</v>
      </c>
      <c r="AI904" s="10">
        <f t="shared" si="189"/>
        <v>3</v>
      </c>
      <c r="AJ904" s="10" t="str">
        <f t="shared" si="190"/>
        <v>2025-03</v>
      </c>
      <c r="AK904" s="10" t="str">
        <f t="shared" si="191"/>
        <v>T1</v>
      </c>
      <c r="AL904" s="10" t="str">
        <f t="shared" si="192"/>
        <v>30-39</v>
      </c>
      <c r="AM904" s="10" t="str">
        <f t="shared" si="193"/>
        <v>bon</v>
      </c>
      <c r="AN904" s="10" t="s">
        <v>2838</v>
      </c>
      <c r="AO904" s="10" t="str">
        <f t="shared" si="194"/>
        <v>Faible</v>
      </c>
    </row>
    <row r="905" spans="1:41">
      <c r="A905" t="s">
        <v>2617</v>
      </c>
      <c r="B905" s="2">
        <v>46017</v>
      </c>
      <c r="C905" t="s">
        <v>1426</v>
      </c>
      <c r="D905" t="s">
        <v>108</v>
      </c>
      <c r="E905" t="s">
        <v>277</v>
      </c>
      <c r="F905" t="s">
        <v>243</v>
      </c>
      <c r="G905">
        <v>2</v>
      </c>
      <c r="H905" s="4">
        <v>240</v>
      </c>
      <c r="I905" s="3">
        <v>0.08</v>
      </c>
      <c r="J905" t="s">
        <v>77</v>
      </c>
      <c r="K905" t="s">
        <v>46</v>
      </c>
      <c r="L905" t="s">
        <v>1427</v>
      </c>
      <c r="M905" t="s">
        <v>54</v>
      </c>
      <c r="N905" t="s">
        <v>49</v>
      </c>
      <c r="O905" t="s">
        <v>113</v>
      </c>
      <c r="P905" t="s">
        <v>82</v>
      </c>
      <c r="Q905" t="s">
        <v>114</v>
      </c>
      <c r="R905" t="s">
        <v>279</v>
      </c>
      <c r="S905" t="s">
        <v>54</v>
      </c>
      <c r="T905" t="s">
        <v>245</v>
      </c>
      <c r="U905" s="5">
        <v>33</v>
      </c>
      <c r="V905" s="5" t="s">
        <v>56</v>
      </c>
      <c r="W905" s="5">
        <v>63</v>
      </c>
      <c r="X905" s="5">
        <v>4.7</v>
      </c>
      <c r="Y905" s="5">
        <v>7</v>
      </c>
      <c r="Z905" s="5" t="s">
        <v>71</v>
      </c>
      <c r="AA905" s="6">
        <v>177.6</v>
      </c>
      <c r="AB905" s="8">
        <f t="shared" si="182"/>
        <v>480</v>
      </c>
      <c r="AC905" s="8">
        <f t="shared" si="183"/>
        <v>38.4</v>
      </c>
      <c r="AD905" s="8">
        <f t="shared" si="184"/>
        <v>441.6</v>
      </c>
      <c r="AE905" s="8">
        <f t="shared" si="185"/>
        <v>355.2</v>
      </c>
      <c r="AF905" s="8">
        <f t="shared" si="186"/>
        <v>86.400000000000034</v>
      </c>
      <c r="AG905" s="9">
        <f t="shared" si="187"/>
        <v>0.19565217391304354</v>
      </c>
      <c r="AH905" s="10">
        <f t="shared" si="188"/>
        <v>2025</v>
      </c>
      <c r="AI905" s="10">
        <f t="shared" si="189"/>
        <v>12</v>
      </c>
      <c r="AJ905" s="10" t="str">
        <f t="shared" si="190"/>
        <v>2025-12</v>
      </c>
      <c r="AK905" s="10" t="str">
        <f t="shared" si="191"/>
        <v>T4</v>
      </c>
      <c r="AL905" s="10" t="str">
        <f t="shared" si="192"/>
        <v>30-39</v>
      </c>
      <c r="AM905" s="10" t="str">
        <f t="shared" si="193"/>
        <v>faible</v>
      </c>
      <c r="AN905" s="10" t="s">
        <v>2837</v>
      </c>
      <c r="AO905" s="10" t="str">
        <f t="shared" si="194"/>
        <v>Faible</v>
      </c>
    </row>
    <row r="906" spans="1:41">
      <c r="A906" t="s">
        <v>2618</v>
      </c>
      <c r="B906" s="2">
        <v>45975</v>
      </c>
      <c r="C906" t="s">
        <v>2619</v>
      </c>
      <c r="D906" t="s">
        <v>333</v>
      </c>
      <c r="E906" t="s">
        <v>120</v>
      </c>
      <c r="F906" t="s">
        <v>779</v>
      </c>
      <c r="G906">
        <v>3</v>
      </c>
      <c r="H906" s="4">
        <v>65</v>
      </c>
      <c r="I906" s="3">
        <v>0.02</v>
      </c>
      <c r="J906" t="s">
        <v>77</v>
      </c>
      <c r="K906" t="s">
        <v>46</v>
      </c>
      <c r="L906" t="s">
        <v>2620</v>
      </c>
      <c r="M906" t="s">
        <v>65</v>
      </c>
      <c r="N906" t="s">
        <v>101</v>
      </c>
      <c r="O906" t="s">
        <v>336</v>
      </c>
      <c r="P906" t="s">
        <v>51</v>
      </c>
      <c r="Q906" t="s">
        <v>52</v>
      </c>
      <c r="R906" t="s">
        <v>124</v>
      </c>
      <c r="S906" t="s">
        <v>48</v>
      </c>
      <c r="T906" t="s">
        <v>781</v>
      </c>
      <c r="U906" s="5">
        <v>59</v>
      </c>
      <c r="V906" s="5" t="s">
        <v>85</v>
      </c>
      <c r="W906" s="5">
        <v>31</v>
      </c>
      <c r="X906" s="5">
        <v>8.9</v>
      </c>
      <c r="Y906" s="5">
        <v>1</v>
      </c>
      <c r="Z906" s="5" t="s">
        <v>117</v>
      </c>
      <c r="AA906" s="6">
        <v>47.45</v>
      </c>
      <c r="AB906" s="8">
        <f t="shared" si="182"/>
        <v>195</v>
      </c>
      <c r="AC906" s="8">
        <f t="shared" si="183"/>
        <v>3.9</v>
      </c>
      <c r="AD906" s="8">
        <f t="shared" si="184"/>
        <v>191.1</v>
      </c>
      <c r="AE906" s="8">
        <f t="shared" si="185"/>
        <v>142.35000000000002</v>
      </c>
      <c r="AF906" s="8">
        <f t="shared" si="186"/>
        <v>48.749999999999972</v>
      </c>
      <c r="AG906" s="9">
        <f t="shared" si="187"/>
        <v>0.25510204081632637</v>
      </c>
      <c r="AH906" s="10">
        <f t="shared" si="188"/>
        <v>2025</v>
      </c>
      <c r="AI906" s="10">
        <f t="shared" si="189"/>
        <v>11</v>
      </c>
      <c r="AJ906" s="10" t="str">
        <f t="shared" si="190"/>
        <v>2025-11</v>
      </c>
      <c r="AK906" s="10" t="str">
        <f t="shared" si="191"/>
        <v>T4</v>
      </c>
      <c r="AL906" s="10" t="str">
        <f t="shared" si="192"/>
        <v>50+</v>
      </c>
      <c r="AM906" s="10" t="str">
        <f t="shared" si="193"/>
        <v>bon</v>
      </c>
      <c r="AN906" s="10" t="s">
        <v>2838</v>
      </c>
      <c r="AO906" s="10" t="str">
        <f t="shared" si="194"/>
        <v>Faible</v>
      </c>
    </row>
    <row r="907" spans="1:41">
      <c r="A907" t="s">
        <v>2621</v>
      </c>
      <c r="B907" s="2">
        <v>45817</v>
      </c>
      <c r="C907" t="s">
        <v>2622</v>
      </c>
      <c r="D907" t="s">
        <v>42</v>
      </c>
      <c r="E907" t="s">
        <v>219</v>
      </c>
      <c r="F907" t="s">
        <v>282</v>
      </c>
      <c r="G907">
        <v>3</v>
      </c>
      <c r="H907" s="4">
        <v>260</v>
      </c>
      <c r="I907" s="3">
        <v>0.1</v>
      </c>
      <c r="J907" t="s">
        <v>90</v>
      </c>
      <c r="K907" t="s">
        <v>46</v>
      </c>
      <c r="L907" t="s">
        <v>2623</v>
      </c>
      <c r="M907" t="s">
        <v>48</v>
      </c>
      <c r="N907" t="s">
        <v>49</v>
      </c>
      <c r="O907" t="s">
        <v>50</v>
      </c>
      <c r="P907" t="s">
        <v>51</v>
      </c>
      <c r="Q907" t="s">
        <v>52</v>
      </c>
      <c r="R907" t="s">
        <v>222</v>
      </c>
      <c r="S907" t="s">
        <v>123</v>
      </c>
      <c r="T907" t="s">
        <v>284</v>
      </c>
      <c r="U907" s="5">
        <v>31</v>
      </c>
      <c r="V907" s="5" t="s">
        <v>85</v>
      </c>
      <c r="W907" s="5">
        <v>11</v>
      </c>
      <c r="X907" s="5">
        <v>7.5</v>
      </c>
      <c r="Y907" s="5">
        <v>3</v>
      </c>
      <c r="Z907" s="5" t="s">
        <v>117</v>
      </c>
      <c r="AA907" s="6">
        <v>189.8</v>
      </c>
      <c r="AB907" s="8">
        <f t="shared" si="182"/>
        <v>780</v>
      </c>
      <c r="AC907" s="8">
        <f t="shared" si="183"/>
        <v>78</v>
      </c>
      <c r="AD907" s="8">
        <f t="shared" si="184"/>
        <v>702</v>
      </c>
      <c r="AE907" s="8">
        <f t="shared" si="185"/>
        <v>569.40000000000009</v>
      </c>
      <c r="AF907" s="8">
        <f t="shared" si="186"/>
        <v>132.59999999999991</v>
      </c>
      <c r="AG907" s="9">
        <f t="shared" si="187"/>
        <v>0.18888888888888877</v>
      </c>
      <c r="AH907" s="10">
        <f t="shared" si="188"/>
        <v>2025</v>
      </c>
      <c r="AI907" s="10">
        <f t="shared" si="189"/>
        <v>6</v>
      </c>
      <c r="AJ907" s="10" t="str">
        <f t="shared" si="190"/>
        <v>2025-06</v>
      </c>
      <c r="AK907" s="10" t="str">
        <f t="shared" si="191"/>
        <v>T2</v>
      </c>
      <c r="AL907" s="10" t="str">
        <f t="shared" si="192"/>
        <v>30-39</v>
      </c>
      <c r="AM907" s="10" t="str">
        <f t="shared" si="193"/>
        <v>bon</v>
      </c>
      <c r="AN907" s="10" t="s">
        <v>2838</v>
      </c>
      <c r="AO907" s="10" t="str">
        <f t="shared" si="194"/>
        <v>Moyenne</v>
      </c>
    </row>
    <row r="908" spans="1:41">
      <c r="A908" t="s">
        <v>2624</v>
      </c>
      <c r="B908" s="2">
        <v>45773</v>
      </c>
      <c r="C908" t="s">
        <v>2625</v>
      </c>
      <c r="D908" t="s">
        <v>97</v>
      </c>
      <c r="E908" t="s">
        <v>61</v>
      </c>
      <c r="F908" t="s">
        <v>350</v>
      </c>
      <c r="G908">
        <v>1</v>
      </c>
      <c r="H908" s="4">
        <v>520</v>
      </c>
      <c r="I908" s="3">
        <v>0.05</v>
      </c>
      <c r="J908" t="s">
        <v>63</v>
      </c>
      <c r="K908" t="s">
        <v>46</v>
      </c>
      <c r="L908" t="s">
        <v>2626</v>
      </c>
      <c r="M908" t="s">
        <v>123</v>
      </c>
      <c r="N908" t="s">
        <v>255</v>
      </c>
      <c r="O908" t="s">
        <v>102</v>
      </c>
      <c r="P908" t="s">
        <v>103</v>
      </c>
      <c r="Q908" t="s">
        <v>52</v>
      </c>
      <c r="R908" t="s">
        <v>68</v>
      </c>
      <c r="S908" t="s">
        <v>69</v>
      </c>
      <c r="T908" t="s">
        <v>352</v>
      </c>
      <c r="U908" s="5">
        <v>24</v>
      </c>
      <c r="V908" s="5" t="s">
        <v>56</v>
      </c>
      <c r="W908" s="5">
        <v>24</v>
      </c>
      <c r="X908" s="5">
        <v>4.5</v>
      </c>
      <c r="Y908" s="5">
        <v>7</v>
      </c>
      <c r="Z908" s="5" t="s">
        <v>71</v>
      </c>
      <c r="AA908" s="6">
        <v>348.4</v>
      </c>
      <c r="AB908" s="8">
        <f t="shared" si="182"/>
        <v>520</v>
      </c>
      <c r="AC908" s="8">
        <f t="shared" si="183"/>
        <v>26</v>
      </c>
      <c r="AD908" s="8">
        <f t="shared" si="184"/>
        <v>494</v>
      </c>
      <c r="AE908" s="8">
        <f t="shared" si="185"/>
        <v>348.4</v>
      </c>
      <c r="AF908" s="8">
        <f t="shared" si="186"/>
        <v>145.60000000000002</v>
      </c>
      <c r="AG908" s="9">
        <f t="shared" si="187"/>
        <v>0.29473684210526319</v>
      </c>
      <c r="AH908" s="10">
        <f t="shared" si="188"/>
        <v>2025</v>
      </c>
      <c r="AI908" s="10">
        <f t="shared" si="189"/>
        <v>4</v>
      </c>
      <c r="AJ908" s="10" t="str">
        <f t="shared" si="190"/>
        <v>2025-04</v>
      </c>
      <c r="AK908" s="10" t="str">
        <f t="shared" si="191"/>
        <v>T2</v>
      </c>
      <c r="AL908" s="10" t="str">
        <f t="shared" si="192"/>
        <v>22-29</v>
      </c>
      <c r="AM908" s="10" t="str">
        <f t="shared" si="193"/>
        <v>faible</v>
      </c>
      <c r="AN908" s="10" t="s">
        <v>2837</v>
      </c>
      <c r="AO908" s="10" t="str">
        <f t="shared" si="194"/>
        <v>Faible</v>
      </c>
    </row>
    <row r="909" spans="1:41">
      <c r="A909" t="s">
        <v>2627</v>
      </c>
      <c r="B909" s="2">
        <v>45745</v>
      </c>
      <c r="C909" t="s">
        <v>1115</v>
      </c>
      <c r="D909" t="s">
        <v>42</v>
      </c>
      <c r="E909" t="s">
        <v>129</v>
      </c>
      <c r="F909" t="s">
        <v>202</v>
      </c>
      <c r="G909">
        <v>4</v>
      </c>
      <c r="H909" s="4">
        <v>260</v>
      </c>
      <c r="I909" s="3">
        <v>0</v>
      </c>
      <c r="J909" t="s">
        <v>45</v>
      </c>
      <c r="K909" t="s">
        <v>46</v>
      </c>
      <c r="L909" t="s">
        <v>1116</v>
      </c>
      <c r="M909" t="s">
        <v>69</v>
      </c>
      <c r="N909" t="s">
        <v>112</v>
      </c>
      <c r="O909" t="s">
        <v>50</v>
      </c>
      <c r="P909" t="s">
        <v>51</v>
      </c>
      <c r="Q909" t="s">
        <v>52</v>
      </c>
      <c r="R909" t="s">
        <v>134</v>
      </c>
      <c r="S909" t="s">
        <v>123</v>
      </c>
      <c r="T909" t="s">
        <v>204</v>
      </c>
      <c r="U909" s="5">
        <v>23</v>
      </c>
      <c r="V909" s="5" t="s">
        <v>56</v>
      </c>
      <c r="W909" s="5">
        <v>29</v>
      </c>
      <c r="X909" s="5">
        <v>9.3000000000000007</v>
      </c>
      <c r="Y909" s="5">
        <v>1</v>
      </c>
      <c r="Z909" s="5" t="s">
        <v>94</v>
      </c>
      <c r="AA909" s="6">
        <v>189.8</v>
      </c>
      <c r="AB909" s="8">
        <f t="shared" si="182"/>
        <v>1040</v>
      </c>
      <c r="AC909" s="8">
        <f t="shared" si="183"/>
        <v>0</v>
      </c>
      <c r="AD909" s="8">
        <f t="shared" si="184"/>
        <v>1040</v>
      </c>
      <c r="AE909" s="8">
        <f t="shared" si="185"/>
        <v>759.2</v>
      </c>
      <c r="AF909" s="8">
        <f t="shared" si="186"/>
        <v>280.79999999999995</v>
      </c>
      <c r="AG909" s="9">
        <f t="shared" si="187"/>
        <v>0.26999999999999996</v>
      </c>
      <c r="AH909" s="10">
        <f t="shared" si="188"/>
        <v>2025</v>
      </c>
      <c r="AI909" s="10">
        <f t="shared" si="189"/>
        <v>3</v>
      </c>
      <c r="AJ909" s="10" t="str">
        <f t="shared" si="190"/>
        <v>2025-03</v>
      </c>
      <c r="AK909" s="10" t="str">
        <f t="shared" si="191"/>
        <v>T1</v>
      </c>
      <c r="AL909" s="10" t="str">
        <f t="shared" si="192"/>
        <v>22-29</v>
      </c>
      <c r="AM909" s="10" t="str">
        <f t="shared" si="193"/>
        <v>excellent</v>
      </c>
      <c r="AN909" s="10" t="s">
        <v>2838</v>
      </c>
      <c r="AO909" s="10" t="str">
        <f t="shared" si="194"/>
        <v>Elevée</v>
      </c>
    </row>
    <row r="910" spans="1:41">
      <c r="A910" t="s">
        <v>2628</v>
      </c>
      <c r="B910" s="2">
        <v>45889</v>
      </c>
      <c r="C910" t="s">
        <v>2629</v>
      </c>
      <c r="D910" t="s">
        <v>42</v>
      </c>
      <c r="E910" t="s">
        <v>214</v>
      </c>
      <c r="F910" t="s">
        <v>259</v>
      </c>
      <c r="G910">
        <v>1</v>
      </c>
      <c r="H910" s="4">
        <v>260</v>
      </c>
      <c r="I910" s="3">
        <v>0</v>
      </c>
      <c r="J910" t="s">
        <v>63</v>
      </c>
      <c r="K910" t="s">
        <v>46</v>
      </c>
      <c r="L910" t="s">
        <v>2630</v>
      </c>
      <c r="M910" t="s">
        <v>69</v>
      </c>
      <c r="N910" t="s">
        <v>49</v>
      </c>
      <c r="O910" t="s">
        <v>50</v>
      </c>
      <c r="P910" t="s">
        <v>51</v>
      </c>
      <c r="Q910" t="s">
        <v>52</v>
      </c>
      <c r="R910" t="s">
        <v>216</v>
      </c>
      <c r="S910" t="s">
        <v>65</v>
      </c>
      <c r="T910" t="s">
        <v>261</v>
      </c>
      <c r="U910" s="5">
        <v>51</v>
      </c>
      <c r="V910" s="5" t="s">
        <v>56</v>
      </c>
      <c r="W910" s="5">
        <v>24</v>
      </c>
      <c r="X910" s="5">
        <v>6.7</v>
      </c>
      <c r="Y910" s="5">
        <v>4</v>
      </c>
      <c r="Z910" s="5" t="s">
        <v>71</v>
      </c>
      <c r="AA910" s="6">
        <v>189.8</v>
      </c>
      <c r="AB910" s="8">
        <f t="shared" si="182"/>
        <v>260</v>
      </c>
      <c r="AC910" s="8">
        <f t="shared" si="183"/>
        <v>0</v>
      </c>
      <c r="AD910" s="8">
        <f t="shared" si="184"/>
        <v>260</v>
      </c>
      <c r="AE910" s="8">
        <f t="shared" si="185"/>
        <v>189.8</v>
      </c>
      <c r="AF910" s="8">
        <f t="shared" si="186"/>
        <v>70.199999999999989</v>
      </c>
      <c r="AG910" s="9">
        <f t="shared" si="187"/>
        <v>0.26999999999999996</v>
      </c>
      <c r="AH910" s="10">
        <f t="shared" si="188"/>
        <v>2025</v>
      </c>
      <c r="AI910" s="10">
        <f t="shared" si="189"/>
        <v>8</v>
      </c>
      <c r="AJ910" s="10" t="str">
        <f t="shared" si="190"/>
        <v>2025-08</v>
      </c>
      <c r="AK910" s="10" t="str">
        <f t="shared" si="191"/>
        <v>T3</v>
      </c>
      <c r="AL910" s="10" t="str">
        <f t="shared" si="192"/>
        <v>50+</v>
      </c>
      <c r="AM910" s="10" t="str">
        <f t="shared" si="193"/>
        <v>moyen</v>
      </c>
      <c r="AN910" s="10" t="s">
        <v>2839</v>
      </c>
      <c r="AO910" s="10" t="str">
        <f t="shared" si="194"/>
        <v>Faible</v>
      </c>
    </row>
    <row r="911" spans="1:41">
      <c r="A911" t="s">
        <v>2631</v>
      </c>
      <c r="B911" s="2">
        <v>45924</v>
      </c>
      <c r="C911" t="s">
        <v>2333</v>
      </c>
      <c r="D911" t="s">
        <v>188</v>
      </c>
      <c r="E911" t="s">
        <v>43</v>
      </c>
      <c r="F911" t="s">
        <v>248</v>
      </c>
      <c r="G911">
        <v>3</v>
      </c>
      <c r="H911" s="4">
        <v>350</v>
      </c>
      <c r="I911" s="3">
        <v>0.08</v>
      </c>
      <c r="J911" t="s">
        <v>90</v>
      </c>
      <c r="K911" t="s">
        <v>46</v>
      </c>
      <c r="L911" t="s">
        <v>2334</v>
      </c>
      <c r="M911" t="s">
        <v>48</v>
      </c>
      <c r="N911" t="s">
        <v>49</v>
      </c>
      <c r="O911" t="s">
        <v>192</v>
      </c>
      <c r="P911" t="s">
        <v>51</v>
      </c>
      <c r="Q911" t="s">
        <v>114</v>
      </c>
      <c r="R911" t="s">
        <v>53</v>
      </c>
      <c r="S911" t="s">
        <v>54</v>
      </c>
      <c r="T911" t="s">
        <v>250</v>
      </c>
      <c r="U911" s="5">
        <v>46</v>
      </c>
      <c r="V911" s="5" t="s">
        <v>85</v>
      </c>
      <c r="W911" s="5">
        <v>10</v>
      </c>
      <c r="X911" s="5">
        <v>6.4</v>
      </c>
      <c r="Y911" s="5">
        <v>4</v>
      </c>
      <c r="Z911" s="5" t="s">
        <v>71</v>
      </c>
      <c r="AA911" s="6">
        <v>213.5</v>
      </c>
      <c r="AB911" s="8">
        <f t="shared" si="182"/>
        <v>1050</v>
      </c>
      <c r="AC911" s="8">
        <f t="shared" si="183"/>
        <v>84</v>
      </c>
      <c r="AD911" s="8">
        <f t="shared" si="184"/>
        <v>966</v>
      </c>
      <c r="AE911" s="8">
        <f t="shared" si="185"/>
        <v>640.5</v>
      </c>
      <c r="AF911" s="8">
        <f t="shared" si="186"/>
        <v>325.5</v>
      </c>
      <c r="AG911" s="9">
        <f t="shared" si="187"/>
        <v>0.33695652173913043</v>
      </c>
      <c r="AH911" s="10">
        <f t="shared" si="188"/>
        <v>2025</v>
      </c>
      <c r="AI911" s="10">
        <f t="shared" si="189"/>
        <v>9</v>
      </c>
      <c r="AJ911" s="10" t="str">
        <f t="shared" si="190"/>
        <v>2025-09</v>
      </c>
      <c r="AK911" s="10" t="str">
        <f t="shared" si="191"/>
        <v>T3</v>
      </c>
      <c r="AL911" s="10" t="str">
        <f t="shared" si="192"/>
        <v>40-49</v>
      </c>
      <c r="AM911" s="10" t="str">
        <f t="shared" si="193"/>
        <v>moyen</v>
      </c>
      <c r="AN911" s="10" t="s">
        <v>2839</v>
      </c>
      <c r="AO911" s="10" t="str">
        <f t="shared" si="194"/>
        <v>Moyenne</v>
      </c>
    </row>
    <row r="912" spans="1:41">
      <c r="A912" t="s">
        <v>2632</v>
      </c>
      <c r="B912" s="2">
        <v>45860</v>
      </c>
      <c r="C912" t="s">
        <v>1000</v>
      </c>
      <c r="D912" t="s">
        <v>108</v>
      </c>
      <c r="E912" t="s">
        <v>163</v>
      </c>
      <c r="F912" t="s">
        <v>164</v>
      </c>
      <c r="G912">
        <v>2</v>
      </c>
      <c r="H912" s="4">
        <v>240</v>
      </c>
      <c r="I912" s="3">
        <v>0.1</v>
      </c>
      <c r="J912" t="s">
        <v>90</v>
      </c>
      <c r="K912" t="s">
        <v>46</v>
      </c>
      <c r="L912" t="s">
        <v>1001</v>
      </c>
      <c r="M912" t="s">
        <v>48</v>
      </c>
      <c r="N912" t="s">
        <v>80</v>
      </c>
      <c r="O912" t="s">
        <v>113</v>
      </c>
      <c r="P912" t="s">
        <v>82</v>
      </c>
      <c r="Q912" t="s">
        <v>114</v>
      </c>
      <c r="R912" t="s">
        <v>167</v>
      </c>
      <c r="S912" t="s">
        <v>123</v>
      </c>
      <c r="T912" t="s">
        <v>168</v>
      </c>
      <c r="U912" s="5">
        <v>28</v>
      </c>
      <c r="V912" s="5" t="s">
        <v>85</v>
      </c>
      <c r="W912" s="5">
        <v>31</v>
      </c>
      <c r="X912" s="5">
        <v>4.5999999999999996</v>
      </c>
      <c r="Y912" s="5">
        <v>8</v>
      </c>
      <c r="Z912" s="5" t="s">
        <v>57</v>
      </c>
      <c r="AA912" s="6">
        <v>177.6</v>
      </c>
      <c r="AB912" s="8">
        <f t="shared" si="182"/>
        <v>480</v>
      </c>
      <c r="AC912" s="8">
        <f t="shared" si="183"/>
        <v>48</v>
      </c>
      <c r="AD912" s="8">
        <f t="shared" si="184"/>
        <v>432</v>
      </c>
      <c r="AE912" s="8">
        <f t="shared" si="185"/>
        <v>355.2</v>
      </c>
      <c r="AF912" s="8">
        <f t="shared" si="186"/>
        <v>76.800000000000011</v>
      </c>
      <c r="AG912" s="9">
        <f t="shared" si="187"/>
        <v>0.17777777777777781</v>
      </c>
      <c r="AH912" s="10">
        <f t="shared" si="188"/>
        <v>2025</v>
      </c>
      <c r="AI912" s="10">
        <f t="shared" si="189"/>
        <v>7</v>
      </c>
      <c r="AJ912" s="10" t="str">
        <f t="shared" si="190"/>
        <v>2025-07</v>
      </c>
      <c r="AK912" s="10" t="str">
        <f t="shared" si="191"/>
        <v>T3</v>
      </c>
      <c r="AL912" s="10" t="str">
        <f t="shared" si="192"/>
        <v>22-29</v>
      </c>
      <c r="AM912" s="10" t="str">
        <f t="shared" si="193"/>
        <v>faible</v>
      </c>
      <c r="AN912" s="10" t="s">
        <v>2837</v>
      </c>
      <c r="AO912" s="10" t="str">
        <f t="shared" si="194"/>
        <v>Faible</v>
      </c>
    </row>
    <row r="913" spans="1:41">
      <c r="A913" t="s">
        <v>2633</v>
      </c>
      <c r="B913" s="2">
        <v>45667</v>
      </c>
      <c r="C913" t="s">
        <v>2634</v>
      </c>
      <c r="D913" t="s">
        <v>97</v>
      </c>
      <c r="E913" t="s">
        <v>98</v>
      </c>
      <c r="F913" t="s">
        <v>190</v>
      </c>
      <c r="G913">
        <v>6</v>
      </c>
      <c r="H913" s="4">
        <v>520</v>
      </c>
      <c r="I913" s="3">
        <v>0</v>
      </c>
      <c r="J913" t="s">
        <v>90</v>
      </c>
      <c r="K913" t="s">
        <v>46</v>
      </c>
      <c r="L913" t="s">
        <v>2635</v>
      </c>
      <c r="M913" t="s">
        <v>79</v>
      </c>
      <c r="N913" t="s">
        <v>255</v>
      </c>
      <c r="O913" t="s">
        <v>102</v>
      </c>
      <c r="P913" t="s">
        <v>103</v>
      </c>
      <c r="Q913" t="s">
        <v>52</v>
      </c>
      <c r="R913" t="s">
        <v>104</v>
      </c>
      <c r="S913" t="s">
        <v>79</v>
      </c>
      <c r="T913" t="s">
        <v>194</v>
      </c>
      <c r="U913" s="5">
        <v>47</v>
      </c>
      <c r="V913" s="5" t="s">
        <v>56</v>
      </c>
      <c r="W913" s="5">
        <v>57</v>
      </c>
      <c r="X913" s="5">
        <v>8</v>
      </c>
      <c r="Y913" s="5">
        <v>1</v>
      </c>
      <c r="Z913" s="5" t="s">
        <v>94</v>
      </c>
      <c r="AA913" s="6">
        <v>348.4</v>
      </c>
      <c r="AB913" s="8">
        <f t="shared" si="182"/>
        <v>3120</v>
      </c>
      <c r="AC913" s="8">
        <f t="shared" si="183"/>
        <v>0</v>
      </c>
      <c r="AD913" s="8">
        <f t="shared" si="184"/>
        <v>3120</v>
      </c>
      <c r="AE913" s="8">
        <f t="shared" si="185"/>
        <v>2090.3999999999996</v>
      </c>
      <c r="AF913" s="8">
        <f t="shared" si="186"/>
        <v>1029.6000000000004</v>
      </c>
      <c r="AG913" s="9">
        <f t="shared" si="187"/>
        <v>0.33000000000000013</v>
      </c>
      <c r="AH913" s="10">
        <f t="shared" si="188"/>
        <v>2025</v>
      </c>
      <c r="AI913" s="10">
        <f t="shared" si="189"/>
        <v>1</v>
      </c>
      <c r="AJ913" s="10" t="str">
        <f t="shared" si="190"/>
        <v>2025-01</v>
      </c>
      <c r="AK913" s="10" t="str">
        <f t="shared" si="191"/>
        <v>T1</v>
      </c>
      <c r="AL913" s="10" t="str">
        <f t="shared" si="192"/>
        <v>40-49</v>
      </c>
      <c r="AM913" s="10" t="str">
        <f t="shared" si="193"/>
        <v>bon</v>
      </c>
      <c r="AN913" s="10" t="s">
        <v>2838</v>
      </c>
      <c r="AO913" s="10" t="str">
        <f t="shared" si="194"/>
        <v>Elevée</v>
      </c>
    </row>
    <row r="914" spans="1:41">
      <c r="A914" t="s">
        <v>2636</v>
      </c>
      <c r="B914" s="2">
        <v>45969</v>
      </c>
      <c r="C914" t="s">
        <v>2637</v>
      </c>
      <c r="D914" t="s">
        <v>60</v>
      </c>
      <c r="E914" t="s">
        <v>226</v>
      </c>
      <c r="F914" t="s">
        <v>227</v>
      </c>
      <c r="G914">
        <v>1</v>
      </c>
      <c r="H914" s="4">
        <v>180</v>
      </c>
      <c r="I914" s="3">
        <v>0.1</v>
      </c>
      <c r="J914" t="s">
        <v>90</v>
      </c>
      <c r="K914" t="s">
        <v>46</v>
      </c>
      <c r="L914" t="s">
        <v>2638</v>
      </c>
      <c r="M914" t="s">
        <v>123</v>
      </c>
      <c r="N914" t="s">
        <v>112</v>
      </c>
      <c r="O914" t="s">
        <v>66</v>
      </c>
      <c r="P914" t="s">
        <v>67</v>
      </c>
      <c r="Q914" t="s">
        <v>52</v>
      </c>
      <c r="R914" t="s">
        <v>229</v>
      </c>
      <c r="S914" t="s">
        <v>48</v>
      </c>
      <c r="T914" t="s">
        <v>230</v>
      </c>
      <c r="U914" s="5">
        <v>42</v>
      </c>
      <c r="V914" s="5" t="s">
        <v>85</v>
      </c>
      <c r="W914" s="5">
        <v>41</v>
      </c>
      <c r="X914" s="5">
        <v>4.8</v>
      </c>
      <c r="Y914" s="5">
        <v>8</v>
      </c>
      <c r="Z914" s="5" t="s">
        <v>57</v>
      </c>
      <c r="AA914" s="6">
        <v>129.6</v>
      </c>
      <c r="AB914" s="8">
        <f t="shared" si="182"/>
        <v>180</v>
      </c>
      <c r="AC914" s="8">
        <f t="shared" si="183"/>
        <v>18</v>
      </c>
      <c r="AD914" s="8">
        <f t="shared" si="184"/>
        <v>162</v>
      </c>
      <c r="AE914" s="8">
        <f t="shared" si="185"/>
        <v>129.6</v>
      </c>
      <c r="AF914" s="8">
        <f t="shared" si="186"/>
        <v>32.400000000000006</v>
      </c>
      <c r="AG914" s="9">
        <f t="shared" si="187"/>
        <v>0.20000000000000004</v>
      </c>
      <c r="AH914" s="10">
        <f t="shared" si="188"/>
        <v>2025</v>
      </c>
      <c r="AI914" s="10">
        <f t="shared" si="189"/>
        <v>11</v>
      </c>
      <c r="AJ914" s="10" t="str">
        <f t="shared" si="190"/>
        <v>2025-11</v>
      </c>
      <c r="AK914" s="10" t="str">
        <f t="shared" si="191"/>
        <v>T4</v>
      </c>
      <c r="AL914" s="10" t="str">
        <f t="shared" si="192"/>
        <v>40-49</v>
      </c>
      <c r="AM914" s="10" t="str">
        <f t="shared" si="193"/>
        <v>faible</v>
      </c>
      <c r="AN914" s="10" t="s">
        <v>2837</v>
      </c>
      <c r="AO914" s="10" t="str">
        <f t="shared" si="194"/>
        <v>Faible</v>
      </c>
    </row>
    <row r="915" spans="1:41">
      <c r="A915" t="s">
        <v>2639</v>
      </c>
      <c r="B915" s="2">
        <v>45766</v>
      </c>
      <c r="C915" t="s">
        <v>2640</v>
      </c>
      <c r="D915" t="s">
        <v>174</v>
      </c>
      <c r="E915" t="s">
        <v>189</v>
      </c>
      <c r="F915" t="s">
        <v>175</v>
      </c>
      <c r="G915">
        <v>1</v>
      </c>
      <c r="H915" s="4">
        <v>780</v>
      </c>
      <c r="I915" s="3">
        <v>0</v>
      </c>
      <c r="J915" t="s">
        <v>45</v>
      </c>
      <c r="K915" t="s">
        <v>46</v>
      </c>
      <c r="L915" t="s">
        <v>2641</v>
      </c>
      <c r="M915" t="s">
        <v>48</v>
      </c>
      <c r="N915" t="s">
        <v>80</v>
      </c>
      <c r="O915" t="s">
        <v>177</v>
      </c>
      <c r="P915" t="s">
        <v>103</v>
      </c>
      <c r="Q915" t="s">
        <v>114</v>
      </c>
      <c r="R915" t="s">
        <v>193</v>
      </c>
      <c r="S915" t="s">
        <v>79</v>
      </c>
      <c r="T915" t="s">
        <v>178</v>
      </c>
      <c r="U915" s="5">
        <v>44</v>
      </c>
      <c r="V915" s="5" t="s">
        <v>56</v>
      </c>
      <c r="W915" s="5">
        <v>42</v>
      </c>
      <c r="X915" s="5">
        <v>6.5</v>
      </c>
      <c r="Y915" s="5">
        <v>5</v>
      </c>
      <c r="Z915" s="5" t="s">
        <v>117</v>
      </c>
      <c r="AA915" s="6">
        <v>468</v>
      </c>
      <c r="AB915" s="8">
        <f t="shared" si="182"/>
        <v>780</v>
      </c>
      <c r="AC915" s="8">
        <f t="shared" si="183"/>
        <v>0</v>
      </c>
      <c r="AD915" s="8">
        <f t="shared" si="184"/>
        <v>780</v>
      </c>
      <c r="AE915" s="8">
        <f t="shared" si="185"/>
        <v>468</v>
      </c>
      <c r="AF915" s="8">
        <f t="shared" si="186"/>
        <v>312</v>
      </c>
      <c r="AG915" s="9">
        <f t="shared" si="187"/>
        <v>0.4</v>
      </c>
      <c r="AH915" s="10">
        <f t="shared" si="188"/>
        <v>2025</v>
      </c>
      <c r="AI915" s="10">
        <f t="shared" si="189"/>
        <v>4</v>
      </c>
      <c r="AJ915" s="10" t="str">
        <f t="shared" si="190"/>
        <v>2025-04</v>
      </c>
      <c r="AK915" s="10" t="str">
        <f t="shared" si="191"/>
        <v>T2</v>
      </c>
      <c r="AL915" s="10" t="str">
        <f t="shared" si="192"/>
        <v>40-49</v>
      </c>
      <c r="AM915" s="10" t="str">
        <f t="shared" si="193"/>
        <v>moyen</v>
      </c>
      <c r="AN915" s="10" t="s">
        <v>2839</v>
      </c>
      <c r="AO915" s="10" t="str">
        <f t="shared" si="194"/>
        <v>Moyenne</v>
      </c>
    </row>
    <row r="916" spans="1:41">
      <c r="A916" t="s">
        <v>2642</v>
      </c>
      <c r="B916" s="2">
        <v>45878</v>
      </c>
      <c r="C916" t="s">
        <v>2643</v>
      </c>
      <c r="D916" t="s">
        <v>60</v>
      </c>
      <c r="E916" t="s">
        <v>219</v>
      </c>
      <c r="F916" t="s">
        <v>487</v>
      </c>
      <c r="G916">
        <v>2</v>
      </c>
      <c r="H916" s="4">
        <v>180</v>
      </c>
      <c r="I916" s="3">
        <v>0</v>
      </c>
      <c r="J916" t="s">
        <v>63</v>
      </c>
      <c r="K916" t="s">
        <v>46</v>
      </c>
      <c r="L916" t="s">
        <v>2644</v>
      </c>
      <c r="M916" t="s">
        <v>48</v>
      </c>
      <c r="N916" t="s">
        <v>101</v>
      </c>
      <c r="O916" t="s">
        <v>66</v>
      </c>
      <c r="P916" t="s">
        <v>67</v>
      </c>
      <c r="Q916" t="s">
        <v>52</v>
      </c>
      <c r="R916" t="s">
        <v>222</v>
      </c>
      <c r="S916" t="s">
        <v>123</v>
      </c>
      <c r="T916" t="s">
        <v>489</v>
      </c>
      <c r="U916" s="5">
        <v>37</v>
      </c>
      <c r="V916" s="5" t="s">
        <v>85</v>
      </c>
      <c r="W916" s="5">
        <v>22</v>
      </c>
      <c r="X916" s="5">
        <v>4.5999999999999996</v>
      </c>
      <c r="Y916" s="5">
        <v>8</v>
      </c>
      <c r="Z916" s="5" t="s">
        <v>117</v>
      </c>
      <c r="AA916" s="6">
        <v>129.6</v>
      </c>
      <c r="AB916" s="8">
        <f t="shared" si="182"/>
        <v>360</v>
      </c>
      <c r="AC916" s="8">
        <f t="shared" si="183"/>
        <v>0</v>
      </c>
      <c r="AD916" s="8">
        <f t="shared" si="184"/>
        <v>360</v>
      </c>
      <c r="AE916" s="8">
        <f t="shared" si="185"/>
        <v>259.2</v>
      </c>
      <c r="AF916" s="8">
        <f t="shared" si="186"/>
        <v>100.80000000000001</v>
      </c>
      <c r="AG916" s="9">
        <f t="shared" si="187"/>
        <v>0.28000000000000003</v>
      </c>
      <c r="AH916" s="10">
        <f t="shared" si="188"/>
        <v>2025</v>
      </c>
      <c r="AI916" s="10">
        <f t="shared" si="189"/>
        <v>8</v>
      </c>
      <c r="AJ916" s="10" t="str">
        <f t="shared" si="190"/>
        <v>2025-08</v>
      </c>
      <c r="AK916" s="10" t="str">
        <f t="shared" si="191"/>
        <v>T3</v>
      </c>
      <c r="AL916" s="10" t="str">
        <f t="shared" si="192"/>
        <v>30-39</v>
      </c>
      <c r="AM916" s="10" t="str">
        <f t="shared" si="193"/>
        <v>faible</v>
      </c>
      <c r="AN916" s="10" t="s">
        <v>2837</v>
      </c>
      <c r="AO916" s="10" t="str">
        <f t="shared" si="194"/>
        <v>Faible</v>
      </c>
    </row>
    <row r="917" spans="1:41">
      <c r="A917" t="s">
        <v>2645</v>
      </c>
      <c r="B917" s="2">
        <v>45781</v>
      </c>
      <c r="C917" t="s">
        <v>2646</v>
      </c>
      <c r="D917" t="s">
        <v>74</v>
      </c>
      <c r="E917" t="s">
        <v>219</v>
      </c>
      <c r="F917" t="s">
        <v>388</v>
      </c>
      <c r="G917">
        <v>2</v>
      </c>
      <c r="H917" s="4">
        <v>95</v>
      </c>
      <c r="I917" s="3">
        <v>0.05</v>
      </c>
      <c r="J917" t="s">
        <v>90</v>
      </c>
      <c r="K917" t="s">
        <v>46</v>
      </c>
      <c r="L917" t="s">
        <v>2647</v>
      </c>
      <c r="M917" t="s">
        <v>48</v>
      </c>
      <c r="N917" t="s">
        <v>101</v>
      </c>
      <c r="O917" t="s">
        <v>81</v>
      </c>
      <c r="P917" t="s">
        <v>82</v>
      </c>
      <c r="Q917" t="s">
        <v>52</v>
      </c>
      <c r="R917" t="s">
        <v>222</v>
      </c>
      <c r="S917" t="s">
        <v>123</v>
      </c>
      <c r="T917" t="s">
        <v>390</v>
      </c>
      <c r="U917" s="5">
        <v>36</v>
      </c>
      <c r="V917" s="5" t="s">
        <v>85</v>
      </c>
      <c r="W917" s="5">
        <v>72</v>
      </c>
      <c r="X917" s="5">
        <v>8.8000000000000007</v>
      </c>
      <c r="Y917" s="5">
        <v>1</v>
      </c>
      <c r="Z917" s="5" t="s">
        <v>94</v>
      </c>
      <c r="AA917" s="6">
        <v>70.3</v>
      </c>
      <c r="AB917" s="8">
        <f t="shared" si="182"/>
        <v>190</v>
      </c>
      <c r="AC917" s="8">
        <f t="shared" si="183"/>
        <v>9.5</v>
      </c>
      <c r="AD917" s="8">
        <f t="shared" si="184"/>
        <v>180.5</v>
      </c>
      <c r="AE917" s="8">
        <f t="shared" si="185"/>
        <v>140.6</v>
      </c>
      <c r="AF917" s="8">
        <f t="shared" si="186"/>
        <v>39.900000000000006</v>
      </c>
      <c r="AG917" s="9">
        <f t="shared" si="187"/>
        <v>0.22105263157894739</v>
      </c>
      <c r="AH917" s="10">
        <f t="shared" si="188"/>
        <v>2025</v>
      </c>
      <c r="AI917" s="10">
        <f t="shared" si="189"/>
        <v>5</v>
      </c>
      <c r="AJ917" s="10" t="str">
        <f t="shared" si="190"/>
        <v>2025-05</v>
      </c>
      <c r="AK917" s="10" t="str">
        <f t="shared" si="191"/>
        <v>T2</v>
      </c>
      <c r="AL917" s="10" t="str">
        <f t="shared" si="192"/>
        <v>30-39</v>
      </c>
      <c r="AM917" s="10" t="str">
        <f t="shared" si="193"/>
        <v>bon</v>
      </c>
      <c r="AN917" s="10" t="s">
        <v>2838</v>
      </c>
      <c r="AO917" s="10" t="str">
        <f t="shared" si="194"/>
        <v>Faible</v>
      </c>
    </row>
    <row r="918" spans="1:41">
      <c r="A918" t="s">
        <v>2648</v>
      </c>
      <c r="B918" s="2">
        <v>45779</v>
      </c>
      <c r="C918" t="s">
        <v>2649</v>
      </c>
      <c r="D918" t="s">
        <v>181</v>
      </c>
      <c r="E918" t="s">
        <v>189</v>
      </c>
      <c r="F918" t="s">
        <v>220</v>
      </c>
      <c r="G918">
        <v>2</v>
      </c>
      <c r="H918" s="4">
        <v>145</v>
      </c>
      <c r="I918" s="3">
        <v>0.08</v>
      </c>
      <c r="J918" t="s">
        <v>45</v>
      </c>
      <c r="K918" t="s">
        <v>46</v>
      </c>
      <c r="L918" t="s">
        <v>2650</v>
      </c>
      <c r="M918" t="s">
        <v>79</v>
      </c>
      <c r="N918" t="s">
        <v>112</v>
      </c>
      <c r="O918" t="s">
        <v>184</v>
      </c>
      <c r="P918" t="s">
        <v>103</v>
      </c>
      <c r="Q918" t="s">
        <v>52</v>
      </c>
      <c r="R918" t="s">
        <v>193</v>
      </c>
      <c r="S918" t="s">
        <v>79</v>
      </c>
      <c r="T918" t="s">
        <v>223</v>
      </c>
      <c r="U918" s="5">
        <v>23</v>
      </c>
      <c r="V918" s="5" t="s">
        <v>56</v>
      </c>
      <c r="W918" s="5">
        <v>60</v>
      </c>
      <c r="X918" s="5">
        <v>3.8</v>
      </c>
      <c r="Y918" s="5">
        <v>9</v>
      </c>
      <c r="Z918" s="5" t="s">
        <v>117</v>
      </c>
      <c r="AA918" s="6">
        <v>97.15</v>
      </c>
      <c r="AB918" s="8">
        <f t="shared" si="182"/>
        <v>290</v>
      </c>
      <c r="AC918" s="8">
        <f t="shared" si="183"/>
        <v>23.2</v>
      </c>
      <c r="AD918" s="8">
        <f t="shared" si="184"/>
        <v>266.8</v>
      </c>
      <c r="AE918" s="8">
        <f t="shared" si="185"/>
        <v>194.3</v>
      </c>
      <c r="AF918" s="8">
        <f t="shared" si="186"/>
        <v>72.5</v>
      </c>
      <c r="AG918" s="9">
        <f t="shared" si="187"/>
        <v>0.27173913043478259</v>
      </c>
      <c r="AH918" s="10">
        <f t="shared" si="188"/>
        <v>2025</v>
      </c>
      <c r="AI918" s="10">
        <f t="shared" si="189"/>
        <v>5</v>
      </c>
      <c r="AJ918" s="10" t="str">
        <f t="shared" si="190"/>
        <v>2025-05</v>
      </c>
      <c r="AK918" s="10" t="str">
        <f t="shared" si="191"/>
        <v>T2</v>
      </c>
      <c r="AL918" s="10" t="str">
        <f t="shared" si="192"/>
        <v>22-29</v>
      </c>
      <c r="AM918" s="10" t="str">
        <f t="shared" si="193"/>
        <v>faible</v>
      </c>
      <c r="AN918" s="10" t="s">
        <v>2837</v>
      </c>
      <c r="AO918" s="10" t="str">
        <f t="shared" si="194"/>
        <v>Faible</v>
      </c>
    </row>
    <row r="919" spans="1:41">
      <c r="A919" t="s">
        <v>2651</v>
      </c>
      <c r="B919" s="2">
        <v>45721</v>
      </c>
      <c r="C919" t="s">
        <v>2652</v>
      </c>
      <c r="D919" t="s">
        <v>162</v>
      </c>
      <c r="E919" t="s">
        <v>315</v>
      </c>
      <c r="F919" t="s">
        <v>267</v>
      </c>
      <c r="G919">
        <v>1</v>
      </c>
      <c r="H919" s="4">
        <v>35</v>
      </c>
      <c r="I919" s="3">
        <v>0.08</v>
      </c>
      <c r="J919" t="s">
        <v>77</v>
      </c>
      <c r="K919" t="s">
        <v>46</v>
      </c>
      <c r="L919" t="s">
        <v>2653</v>
      </c>
      <c r="M919" t="s">
        <v>65</v>
      </c>
      <c r="N919" t="s">
        <v>101</v>
      </c>
      <c r="O919" t="s">
        <v>166</v>
      </c>
      <c r="P919" t="s">
        <v>103</v>
      </c>
      <c r="Q919" t="s">
        <v>143</v>
      </c>
      <c r="R919" t="s">
        <v>317</v>
      </c>
      <c r="S919" t="s">
        <v>69</v>
      </c>
      <c r="T919" t="s">
        <v>269</v>
      </c>
      <c r="U919" s="5">
        <v>56</v>
      </c>
      <c r="V919" s="5" t="s">
        <v>56</v>
      </c>
      <c r="W919" s="5">
        <v>57</v>
      </c>
      <c r="X919" s="5">
        <v>6.5</v>
      </c>
      <c r="Y919" s="5">
        <v>4</v>
      </c>
      <c r="Z919" s="5" t="s">
        <v>71</v>
      </c>
      <c r="AA919" s="6">
        <v>24.15</v>
      </c>
      <c r="AB919" s="8">
        <f t="shared" si="182"/>
        <v>35</v>
      </c>
      <c r="AC919" s="8">
        <f t="shared" si="183"/>
        <v>2.8000000000000003</v>
      </c>
      <c r="AD919" s="8">
        <f t="shared" si="184"/>
        <v>32.200000000000003</v>
      </c>
      <c r="AE919" s="8">
        <f t="shared" si="185"/>
        <v>24.15</v>
      </c>
      <c r="AF919" s="8">
        <f t="shared" si="186"/>
        <v>8.0500000000000043</v>
      </c>
      <c r="AG919" s="9">
        <f t="shared" si="187"/>
        <v>0.25000000000000011</v>
      </c>
      <c r="AH919" s="10">
        <f t="shared" si="188"/>
        <v>2025</v>
      </c>
      <c r="AI919" s="10">
        <f t="shared" si="189"/>
        <v>3</v>
      </c>
      <c r="AJ919" s="10" t="str">
        <f t="shared" si="190"/>
        <v>2025-03</v>
      </c>
      <c r="AK919" s="10" t="str">
        <f t="shared" si="191"/>
        <v>T1</v>
      </c>
      <c r="AL919" s="10" t="str">
        <f t="shared" si="192"/>
        <v>50+</v>
      </c>
      <c r="AM919" s="10" t="str">
        <f t="shared" si="193"/>
        <v>moyen</v>
      </c>
      <c r="AN919" s="10" t="s">
        <v>2839</v>
      </c>
      <c r="AO919" s="10" t="str">
        <f t="shared" si="194"/>
        <v>Faible</v>
      </c>
    </row>
    <row r="920" spans="1:41">
      <c r="A920" t="s">
        <v>2654</v>
      </c>
      <c r="B920" s="2">
        <v>45947</v>
      </c>
      <c r="C920" t="s">
        <v>2655</v>
      </c>
      <c r="D920" t="s">
        <v>188</v>
      </c>
      <c r="E920" t="s">
        <v>207</v>
      </c>
      <c r="F920" t="s">
        <v>334</v>
      </c>
      <c r="G920">
        <v>3</v>
      </c>
      <c r="H920" s="4">
        <v>350</v>
      </c>
      <c r="I920" s="3">
        <v>0</v>
      </c>
      <c r="J920" t="s">
        <v>77</v>
      </c>
      <c r="K920" t="s">
        <v>46</v>
      </c>
      <c r="L920" t="s">
        <v>2656</v>
      </c>
      <c r="M920" t="s">
        <v>48</v>
      </c>
      <c r="N920" t="s">
        <v>255</v>
      </c>
      <c r="O920" t="s">
        <v>192</v>
      </c>
      <c r="P920" t="s">
        <v>51</v>
      </c>
      <c r="Q920" t="s">
        <v>114</v>
      </c>
      <c r="R920" t="s">
        <v>210</v>
      </c>
      <c r="S920" t="s">
        <v>79</v>
      </c>
      <c r="T920" t="s">
        <v>337</v>
      </c>
      <c r="U920" s="5">
        <v>58</v>
      </c>
      <c r="V920" s="5" t="s">
        <v>85</v>
      </c>
      <c r="W920" s="5">
        <v>14</v>
      </c>
      <c r="X920" s="5">
        <v>4.2</v>
      </c>
      <c r="Y920" s="5">
        <v>9</v>
      </c>
      <c r="Z920" s="5" t="s">
        <v>94</v>
      </c>
      <c r="AA920" s="6">
        <v>213.5</v>
      </c>
      <c r="AB920" s="8">
        <f t="shared" si="182"/>
        <v>1050</v>
      </c>
      <c r="AC920" s="8">
        <f t="shared" si="183"/>
        <v>0</v>
      </c>
      <c r="AD920" s="8">
        <f t="shared" si="184"/>
        <v>1050</v>
      </c>
      <c r="AE920" s="8">
        <f t="shared" si="185"/>
        <v>640.5</v>
      </c>
      <c r="AF920" s="8">
        <f t="shared" si="186"/>
        <v>409.5</v>
      </c>
      <c r="AG920" s="9">
        <f t="shared" si="187"/>
        <v>0.39</v>
      </c>
      <c r="AH920" s="10">
        <f t="shared" si="188"/>
        <v>2025</v>
      </c>
      <c r="AI920" s="10">
        <f t="shared" si="189"/>
        <v>10</v>
      </c>
      <c r="AJ920" s="10" t="str">
        <f t="shared" si="190"/>
        <v>2025-10</v>
      </c>
      <c r="AK920" s="10" t="str">
        <f t="shared" si="191"/>
        <v>T4</v>
      </c>
      <c r="AL920" s="10" t="str">
        <f t="shared" si="192"/>
        <v>50+</v>
      </c>
      <c r="AM920" s="10" t="str">
        <f t="shared" si="193"/>
        <v>faible</v>
      </c>
      <c r="AN920" s="10" t="s">
        <v>2837</v>
      </c>
      <c r="AO920" s="10" t="str">
        <f t="shared" si="194"/>
        <v>Elevée</v>
      </c>
    </row>
    <row r="921" spans="1:41">
      <c r="A921" t="s">
        <v>2657</v>
      </c>
      <c r="B921" s="2">
        <v>45956</v>
      </c>
      <c r="C921" t="s">
        <v>1994</v>
      </c>
      <c r="D921" t="s">
        <v>138</v>
      </c>
      <c r="E921" t="s">
        <v>139</v>
      </c>
      <c r="F921" t="s">
        <v>522</v>
      </c>
      <c r="G921">
        <v>4</v>
      </c>
      <c r="H921" s="4">
        <v>120</v>
      </c>
      <c r="I921" s="3">
        <v>0.02</v>
      </c>
      <c r="J921" t="s">
        <v>63</v>
      </c>
      <c r="K921" t="s">
        <v>46</v>
      </c>
      <c r="L921" t="s">
        <v>1995</v>
      </c>
      <c r="M921" t="s">
        <v>123</v>
      </c>
      <c r="N921" t="s">
        <v>112</v>
      </c>
      <c r="O921" t="s">
        <v>142</v>
      </c>
      <c r="P921" t="s">
        <v>51</v>
      </c>
      <c r="Q921" t="s">
        <v>143</v>
      </c>
      <c r="R921" t="s">
        <v>144</v>
      </c>
      <c r="S921" t="s">
        <v>65</v>
      </c>
      <c r="T921" t="s">
        <v>524</v>
      </c>
      <c r="U921" s="5">
        <v>55</v>
      </c>
      <c r="V921" s="5" t="s">
        <v>56</v>
      </c>
      <c r="W921" s="5">
        <v>53</v>
      </c>
      <c r="X921" s="5">
        <v>6.9</v>
      </c>
      <c r="Y921" s="5">
        <v>4</v>
      </c>
      <c r="Z921" s="5" t="s">
        <v>57</v>
      </c>
      <c r="AA921" s="6">
        <v>73.2</v>
      </c>
      <c r="AB921" s="8">
        <f t="shared" si="182"/>
        <v>480</v>
      </c>
      <c r="AC921" s="8">
        <f t="shared" si="183"/>
        <v>9.6</v>
      </c>
      <c r="AD921" s="8">
        <f t="shared" si="184"/>
        <v>470.4</v>
      </c>
      <c r="AE921" s="8">
        <f t="shared" si="185"/>
        <v>292.8</v>
      </c>
      <c r="AF921" s="8">
        <f t="shared" si="186"/>
        <v>177.59999999999997</v>
      </c>
      <c r="AG921" s="9">
        <f t="shared" si="187"/>
        <v>0.37755102040816318</v>
      </c>
      <c r="AH921" s="10">
        <f t="shared" si="188"/>
        <v>2025</v>
      </c>
      <c r="AI921" s="10">
        <f t="shared" si="189"/>
        <v>10</v>
      </c>
      <c r="AJ921" s="10" t="str">
        <f t="shared" si="190"/>
        <v>2025-10</v>
      </c>
      <c r="AK921" s="10" t="str">
        <f t="shared" si="191"/>
        <v>T4</v>
      </c>
      <c r="AL921" s="10" t="str">
        <f t="shared" si="192"/>
        <v>50+</v>
      </c>
      <c r="AM921" s="10" t="str">
        <f t="shared" si="193"/>
        <v>moyen</v>
      </c>
      <c r="AN921" s="10" t="s">
        <v>2839</v>
      </c>
      <c r="AO921" s="10" t="str">
        <f t="shared" si="194"/>
        <v>Faible</v>
      </c>
    </row>
    <row r="922" spans="1:41">
      <c r="A922" t="s">
        <v>2658</v>
      </c>
      <c r="B922" s="2">
        <v>45967</v>
      </c>
      <c r="C922" t="s">
        <v>2659</v>
      </c>
      <c r="D922" t="s">
        <v>74</v>
      </c>
      <c r="E922" t="s">
        <v>61</v>
      </c>
      <c r="F922" t="s">
        <v>292</v>
      </c>
      <c r="G922">
        <v>4</v>
      </c>
      <c r="H922" s="4">
        <v>95</v>
      </c>
      <c r="I922" s="3">
        <v>0.08</v>
      </c>
      <c r="J922" t="s">
        <v>63</v>
      </c>
      <c r="K922" t="s">
        <v>46</v>
      </c>
      <c r="L922" t="s">
        <v>2660</v>
      </c>
      <c r="M922" t="s">
        <v>48</v>
      </c>
      <c r="N922" t="s">
        <v>101</v>
      </c>
      <c r="O922" t="s">
        <v>81</v>
      </c>
      <c r="P922" t="s">
        <v>82</v>
      </c>
      <c r="Q922" t="s">
        <v>52</v>
      </c>
      <c r="R922" t="s">
        <v>68</v>
      </c>
      <c r="S922" t="s">
        <v>69</v>
      </c>
      <c r="T922" t="s">
        <v>294</v>
      </c>
      <c r="U922" s="5">
        <v>53</v>
      </c>
      <c r="V922" s="5" t="s">
        <v>56</v>
      </c>
      <c r="W922" s="5">
        <v>46</v>
      </c>
      <c r="X922" s="5">
        <v>8.1</v>
      </c>
      <c r="Y922" s="5">
        <v>3</v>
      </c>
      <c r="Z922" s="5" t="s">
        <v>94</v>
      </c>
      <c r="AA922" s="6">
        <v>70.3</v>
      </c>
      <c r="AB922" s="8">
        <f t="shared" si="182"/>
        <v>380</v>
      </c>
      <c r="AC922" s="8">
        <f t="shared" si="183"/>
        <v>30.400000000000002</v>
      </c>
      <c r="AD922" s="8">
        <f t="shared" si="184"/>
        <v>349.6</v>
      </c>
      <c r="AE922" s="8">
        <f t="shared" si="185"/>
        <v>281.2</v>
      </c>
      <c r="AF922" s="8">
        <f t="shared" si="186"/>
        <v>68.400000000000034</v>
      </c>
      <c r="AG922" s="9">
        <f t="shared" si="187"/>
        <v>0.19565217391304357</v>
      </c>
      <c r="AH922" s="10">
        <f t="shared" si="188"/>
        <v>2025</v>
      </c>
      <c r="AI922" s="10">
        <f t="shared" si="189"/>
        <v>11</v>
      </c>
      <c r="AJ922" s="10" t="str">
        <f t="shared" si="190"/>
        <v>2025-11</v>
      </c>
      <c r="AK922" s="10" t="str">
        <f t="shared" si="191"/>
        <v>T4</v>
      </c>
      <c r="AL922" s="10" t="str">
        <f t="shared" si="192"/>
        <v>50+</v>
      </c>
      <c r="AM922" s="10" t="str">
        <f t="shared" si="193"/>
        <v>bon</v>
      </c>
      <c r="AN922" s="10" t="s">
        <v>2838</v>
      </c>
      <c r="AO922" s="10" t="str">
        <f t="shared" si="194"/>
        <v>Faible</v>
      </c>
    </row>
    <row r="923" spans="1:41">
      <c r="A923" t="s">
        <v>2661</v>
      </c>
      <c r="B923" s="2">
        <v>45845</v>
      </c>
      <c r="C923" t="s">
        <v>2662</v>
      </c>
      <c r="D923" t="s">
        <v>74</v>
      </c>
      <c r="E923" t="s">
        <v>98</v>
      </c>
      <c r="F923" t="s">
        <v>374</v>
      </c>
      <c r="G923">
        <v>3</v>
      </c>
      <c r="H923" s="4">
        <v>95</v>
      </c>
      <c r="I923" s="3">
        <v>0.08</v>
      </c>
      <c r="J923" t="s">
        <v>45</v>
      </c>
      <c r="K923" t="s">
        <v>46</v>
      </c>
      <c r="L923" t="s">
        <v>2663</v>
      </c>
      <c r="M923" t="s">
        <v>79</v>
      </c>
      <c r="N923" t="s">
        <v>112</v>
      </c>
      <c r="O923" t="s">
        <v>81</v>
      </c>
      <c r="P923" t="s">
        <v>82</v>
      </c>
      <c r="Q923" t="s">
        <v>52</v>
      </c>
      <c r="R923" t="s">
        <v>104</v>
      </c>
      <c r="S923" t="s">
        <v>79</v>
      </c>
      <c r="T923" t="s">
        <v>376</v>
      </c>
      <c r="U923" s="5">
        <v>27</v>
      </c>
      <c r="V923" s="5" t="s">
        <v>85</v>
      </c>
      <c r="W923" s="5">
        <v>24</v>
      </c>
      <c r="X923" s="5">
        <v>5.8</v>
      </c>
      <c r="Y923" s="5">
        <v>6</v>
      </c>
      <c r="Z923" s="5" t="s">
        <v>71</v>
      </c>
      <c r="AA923" s="6">
        <v>70.3</v>
      </c>
      <c r="AB923" s="8">
        <f t="shared" si="182"/>
        <v>285</v>
      </c>
      <c r="AC923" s="8">
        <f t="shared" si="183"/>
        <v>22.8</v>
      </c>
      <c r="AD923" s="8">
        <f t="shared" si="184"/>
        <v>262.2</v>
      </c>
      <c r="AE923" s="8">
        <f t="shared" si="185"/>
        <v>210.89999999999998</v>
      </c>
      <c r="AF923" s="8">
        <f t="shared" si="186"/>
        <v>51.300000000000011</v>
      </c>
      <c r="AG923" s="9">
        <f t="shared" si="187"/>
        <v>0.19565217391304354</v>
      </c>
      <c r="AH923" s="10">
        <f t="shared" si="188"/>
        <v>2025</v>
      </c>
      <c r="AI923" s="10">
        <f t="shared" si="189"/>
        <v>7</v>
      </c>
      <c r="AJ923" s="10" t="str">
        <f t="shared" si="190"/>
        <v>2025-07</v>
      </c>
      <c r="AK923" s="10" t="str">
        <f t="shared" si="191"/>
        <v>T3</v>
      </c>
      <c r="AL923" s="10" t="str">
        <f t="shared" si="192"/>
        <v>22-29</v>
      </c>
      <c r="AM923" s="10" t="str">
        <f t="shared" si="193"/>
        <v>moyen</v>
      </c>
      <c r="AN923" s="10" t="s">
        <v>2839</v>
      </c>
      <c r="AO923" s="10" t="str">
        <f t="shared" si="194"/>
        <v>Faible</v>
      </c>
    </row>
    <row r="924" spans="1:41">
      <c r="A924" t="s">
        <v>2664</v>
      </c>
      <c r="B924" s="2">
        <v>45772</v>
      </c>
      <c r="C924" t="s">
        <v>2556</v>
      </c>
      <c r="D924" t="s">
        <v>97</v>
      </c>
      <c r="E924" t="s">
        <v>75</v>
      </c>
      <c r="F924" t="s">
        <v>149</v>
      </c>
      <c r="G924">
        <v>2</v>
      </c>
      <c r="H924" s="4">
        <v>520</v>
      </c>
      <c r="I924" s="3">
        <v>0</v>
      </c>
      <c r="J924" t="s">
        <v>63</v>
      </c>
      <c r="K924" t="s">
        <v>46</v>
      </c>
      <c r="L924" t="s">
        <v>2557</v>
      </c>
      <c r="M924" t="s">
        <v>54</v>
      </c>
      <c r="N924" t="s">
        <v>101</v>
      </c>
      <c r="O924" t="s">
        <v>102</v>
      </c>
      <c r="P924" t="s">
        <v>103</v>
      </c>
      <c r="Q924" t="s">
        <v>52</v>
      </c>
      <c r="R924" t="s">
        <v>83</v>
      </c>
      <c r="S924" t="s">
        <v>69</v>
      </c>
      <c r="T924" t="s">
        <v>152</v>
      </c>
      <c r="U924" s="5">
        <v>34</v>
      </c>
      <c r="V924" s="5" t="s">
        <v>85</v>
      </c>
      <c r="W924" s="5">
        <v>3</v>
      </c>
      <c r="X924" s="5">
        <v>4.5999999999999996</v>
      </c>
      <c r="Y924" s="5">
        <v>8</v>
      </c>
      <c r="Z924" s="5" t="s">
        <v>117</v>
      </c>
      <c r="AA924" s="6">
        <v>348.4</v>
      </c>
      <c r="AB924" s="8">
        <f t="shared" si="182"/>
        <v>1040</v>
      </c>
      <c r="AC924" s="8">
        <f t="shared" si="183"/>
        <v>0</v>
      </c>
      <c r="AD924" s="8">
        <f t="shared" si="184"/>
        <v>1040</v>
      </c>
      <c r="AE924" s="8">
        <f t="shared" si="185"/>
        <v>696.8</v>
      </c>
      <c r="AF924" s="8">
        <f t="shared" si="186"/>
        <v>343.20000000000005</v>
      </c>
      <c r="AG924" s="9">
        <f t="shared" si="187"/>
        <v>0.33000000000000007</v>
      </c>
      <c r="AH924" s="10">
        <f t="shared" si="188"/>
        <v>2025</v>
      </c>
      <c r="AI924" s="10">
        <f t="shared" si="189"/>
        <v>4</v>
      </c>
      <c r="AJ924" s="10" t="str">
        <f t="shared" si="190"/>
        <v>2025-04</v>
      </c>
      <c r="AK924" s="10" t="str">
        <f t="shared" si="191"/>
        <v>T2</v>
      </c>
      <c r="AL924" s="10" t="str">
        <f t="shared" si="192"/>
        <v>30-39</v>
      </c>
      <c r="AM924" s="10" t="str">
        <f t="shared" si="193"/>
        <v>faible</v>
      </c>
      <c r="AN924" s="10" t="s">
        <v>2837</v>
      </c>
      <c r="AO924" s="10" t="str">
        <f t="shared" si="194"/>
        <v>Elevée</v>
      </c>
    </row>
    <row r="925" spans="1:41">
      <c r="A925" t="s">
        <v>2665</v>
      </c>
      <c r="B925" s="2">
        <v>45900</v>
      </c>
      <c r="C925" t="s">
        <v>2443</v>
      </c>
      <c r="D925" t="s">
        <v>333</v>
      </c>
      <c r="E925" t="s">
        <v>120</v>
      </c>
      <c r="F925" t="s">
        <v>130</v>
      </c>
      <c r="G925">
        <v>1</v>
      </c>
      <c r="H925" s="4">
        <v>65</v>
      </c>
      <c r="I925" s="3">
        <v>0.08</v>
      </c>
      <c r="J925" t="s">
        <v>90</v>
      </c>
      <c r="K925" t="s">
        <v>46</v>
      </c>
      <c r="L925" t="s">
        <v>2444</v>
      </c>
      <c r="M925" t="s">
        <v>123</v>
      </c>
      <c r="N925" t="s">
        <v>49</v>
      </c>
      <c r="O925" t="s">
        <v>336</v>
      </c>
      <c r="P925" t="s">
        <v>51</v>
      </c>
      <c r="Q925" t="s">
        <v>52</v>
      </c>
      <c r="R925" t="s">
        <v>124</v>
      </c>
      <c r="S925" t="s">
        <v>48</v>
      </c>
      <c r="T925" t="s">
        <v>135</v>
      </c>
      <c r="U925" s="5">
        <v>51</v>
      </c>
      <c r="V925" s="5" t="s">
        <v>56</v>
      </c>
      <c r="W925" s="5">
        <v>56</v>
      </c>
      <c r="X925" s="5">
        <v>7.4</v>
      </c>
      <c r="Y925" s="5">
        <v>4</v>
      </c>
      <c r="Z925" s="5" t="s">
        <v>71</v>
      </c>
      <c r="AA925" s="6">
        <v>47.45</v>
      </c>
      <c r="AB925" s="8">
        <f t="shared" si="182"/>
        <v>65</v>
      </c>
      <c r="AC925" s="8">
        <f t="shared" si="183"/>
        <v>5.2</v>
      </c>
      <c r="AD925" s="8">
        <f t="shared" si="184"/>
        <v>59.8</v>
      </c>
      <c r="AE925" s="8">
        <f t="shared" si="185"/>
        <v>47.45</v>
      </c>
      <c r="AF925" s="8">
        <f t="shared" si="186"/>
        <v>12.349999999999994</v>
      </c>
      <c r="AG925" s="9">
        <f t="shared" si="187"/>
        <v>0.2065217391304347</v>
      </c>
      <c r="AH925" s="10">
        <f t="shared" si="188"/>
        <v>2025</v>
      </c>
      <c r="AI925" s="10">
        <f t="shared" si="189"/>
        <v>8</v>
      </c>
      <c r="AJ925" s="10" t="str">
        <f t="shared" si="190"/>
        <v>2025-08</v>
      </c>
      <c r="AK925" s="10" t="str">
        <f t="shared" si="191"/>
        <v>T3</v>
      </c>
      <c r="AL925" s="10" t="str">
        <f t="shared" si="192"/>
        <v>50+</v>
      </c>
      <c r="AM925" s="10" t="str">
        <f t="shared" si="193"/>
        <v>bon</v>
      </c>
      <c r="AN925" s="10" t="s">
        <v>2839</v>
      </c>
      <c r="AO925" s="10" t="str">
        <f t="shared" si="194"/>
        <v>Faible</v>
      </c>
    </row>
    <row r="926" spans="1:41">
      <c r="A926" t="s">
        <v>2666</v>
      </c>
      <c r="B926" s="2">
        <v>45768</v>
      </c>
      <c r="C926" t="s">
        <v>2667</v>
      </c>
      <c r="D926" t="s">
        <v>138</v>
      </c>
      <c r="E926" t="s">
        <v>139</v>
      </c>
      <c r="F926" t="s">
        <v>968</v>
      </c>
      <c r="G926">
        <v>2</v>
      </c>
      <c r="H926" s="4">
        <v>120</v>
      </c>
      <c r="I926" s="3">
        <v>0.08</v>
      </c>
      <c r="J926" t="s">
        <v>45</v>
      </c>
      <c r="K926" t="s">
        <v>46</v>
      </c>
      <c r="L926" t="s">
        <v>2668</v>
      </c>
      <c r="M926" t="s">
        <v>54</v>
      </c>
      <c r="N926" t="s">
        <v>112</v>
      </c>
      <c r="O926" t="s">
        <v>142</v>
      </c>
      <c r="P926" t="s">
        <v>51</v>
      </c>
      <c r="Q926" t="s">
        <v>143</v>
      </c>
      <c r="R926" t="s">
        <v>144</v>
      </c>
      <c r="S926" t="s">
        <v>65</v>
      </c>
      <c r="T926" t="s">
        <v>970</v>
      </c>
      <c r="U926" s="5">
        <v>51</v>
      </c>
      <c r="V926" s="5" t="s">
        <v>85</v>
      </c>
      <c r="W926" s="5">
        <v>16</v>
      </c>
      <c r="X926" s="5">
        <v>4.2</v>
      </c>
      <c r="Y926" s="5">
        <v>9</v>
      </c>
      <c r="Z926" s="5" t="s">
        <v>117</v>
      </c>
      <c r="AA926" s="6">
        <v>73.2</v>
      </c>
      <c r="AB926" s="8">
        <f t="shared" si="182"/>
        <v>240</v>
      </c>
      <c r="AC926" s="8">
        <f t="shared" si="183"/>
        <v>19.2</v>
      </c>
      <c r="AD926" s="8">
        <f t="shared" si="184"/>
        <v>220.8</v>
      </c>
      <c r="AE926" s="8">
        <f t="shared" si="185"/>
        <v>146.4</v>
      </c>
      <c r="AF926" s="8">
        <f t="shared" si="186"/>
        <v>74.400000000000006</v>
      </c>
      <c r="AG926" s="9">
        <f t="shared" si="187"/>
        <v>0.33695652173913043</v>
      </c>
      <c r="AH926" s="10">
        <f t="shared" si="188"/>
        <v>2025</v>
      </c>
      <c r="AI926" s="10">
        <f t="shared" si="189"/>
        <v>4</v>
      </c>
      <c r="AJ926" s="10" t="str">
        <f t="shared" si="190"/>
        <v>2025-04</v>
      </c>
      <c r="AK926" s="10" t="str">
        <f t="shared" si="191"/>
        <v>T2</v>
      </c>
      <c r="AL926" s="10" t="str">
        <f t="shared" si="192"/>
        <v>50+</v>
      </c>
      <c r="AM926" s="10" t="str">
        <f t="shared" si="193"/>
        <v>faible</v>
      </c>
      <c r="AN926" s="10" t="s">
        <v>2837</v>
      </c>
      <c r="AO926" s="10" t="str">
        <f t="shared" si="194"/>
        <v>Faible</v>
      </c>
    </row>
    <row r="927" spans="1:41">
      <c r="A927" t="s">
        <v>2669</v>
      </c>
      <c r="B927" s="2">
        <v>45782</v>
      </c>
      <c r="C927" t="s">
        <v>2259</v>
      </c>
      <c r="D927" t="s">
        <v>108</v>
      </c>
      <c r="E927" t="s">
        <v>315</v>
      </c>
      <c r="F927" t="s">
        <v>292</v>
      </c>
      <c r="G927">
        <v>5</v>
      </c>
      <c r="H927" s="4">
        <v>240</v>
      </c>
      <c r="I927" s="3">
        <v>0.05</v>
      </c>
      <c r="J927" t="s">
        <v>45</v>
      </c>
      <c r="K927" t="s">
        <v>46</v>
      </c>
      <c r="L927" t="s">
        <v>2260</v>
      </c>
      <c r="M927" t="s">
        <v>69</v>
      </c>
      <c r="N927" t="s">
        <v>101</v>
      </c>
      <c r="O927" t="s">
        <v>113</v>
      </c>
      <c r="P927" t="s">
        <v>82</v>
      </c>
      <c r="Q927" t="s">
        <v>114</v>
      </c>
      <c r="R927" t="s">
        <v>317</v>
      </c>
      <c r="S927" t="s">
        <v>69</v>
      </c>
      <c r="T927" t="s">
        <v>294</v>
      </c>
      <c r="U927" s="5">
        <v>46</v>
      </c>
      <c r="V927" s="5" t="s">
        <v>85</v>
      </c>
      <c r="W927" s="5">
        <v>27</v>
      </c>
      <c r="X927" s="5">
        <v>5.0999999999999996</v>
      </c>
      <c r="Y927" s="5">
        <v>6</v>
      </c>
      <c r="Z927" s="5" t="s">
        <v>117</v>
      </c>
      <c r="AA927" s="6">
        <v>177.6</v>
      </c>
      <c r="AB927" s="8">
        <f t="shared" si="182"/>
        <v>1200</v>
      </c>
      <c r="AC927" s="8">
        <f t="shared" si="183"/>
        <v>60</v>
      </c>
      <c r="AD927" s="8">
        <f t="shared" si="184"/>
        <v>1140</v>
      </c>
      <c r="AE927" s="8">
        <f t="shared" si="185"/>
        <v>888</v>
      </c>
      <c r="AF927" s="8">
        <f t="shared" si="186"/>
        <v>252</v>
      </c>
      <c r="AG927" s="9">
        <f t="shared" si="187"/>
        <v>0.22105263157894736</v>
      </c>
      <c r="AH927" s="10">
        <f t="shared" si="188"/>
        <v>2025</v>
      </c>
      <c r="AI927" s="10">
        <f t="shared" si="189"/>
        <v>5</v>
      </c>
      <c r="AJ927" s="10" t="str">
        <f t="shared" si="190"/>
        <v>2025-05</v>
      </c>
      <c r="AK927" s="10" t="str">
        <f t="shared" si="191"/>
        <v>T2</v>
      </c>
      <c r="AL927" s="10" t="str">
        <f t="shared" si="192"/>
        <v>40-49</v>
      </c>
      <c r="AM927" s="10" t="str">
        <f t="shared" si="193"/>
        <v>moyen</v>
      </c>
      <c r="AN927" s="10" t="s">
        <v>2839</v>
      </c>
      <c r="AO927" s="10" t="str">
        <f t="shared" si="194"/>
        <v>Elevée</v>
      </c>
    </row>
    <row r="928" spans="1:41">
      <c r="A928" t="s">
        <v>2670</v>
      </c>
      <c r="B928" s="2">
        <v>45733</v>
      </c>
      <c r="C928" t="s">
        <v>2671</v>
      </c>
      <c r="D928" t="s">
        <v>108</v>
      </c>
      <c r="E928" t="s">
        <v>120</v>
      </c>
      <c r="F928" t="s">
        <v>130</v>
      </c>
      <c r="G928">
        <v>2</v>
      </c>
      <c r="H928" s="4">
        <v>240</v>
      </c>
      <c r="I928" s="3">
        <v>0.1</v>
      </c>
      <c r="J928" t="s">
        <v>77</v>
      </c>
      <c r="K928" t="s">
        <v>46</v>
      </c>
      <c r="L928" t="s">
        <v>2672</v>
      </c>
      <c r="M928" t="s">
        <v>79</v>
      </c>
      <c r="N928" t="s">
        <v>255</v>
      </c>
      <c r="O928" t="s">
        <v>113</v>
      </c>
      <c r="P928" t="s">
        <v>82</v>
      </c>
      <c r="Q928" t="s">
        <v>114</v>
      </c>
      <c r="R928" t="s">
        <v>124</v>
      </c>
      <c r="S928" t="s">
        <v>48</v>
      </c>
      <c r="T928" t="s">
        <v>135</v>
      </c>
      <c r="U928" s="5">
        <v>27</v>
      </c>
      <c r="V928" s="5" t="s">
        <v>56</v>
      </c>
      <c r="W928" s="5">
        <v>12</v>
      </c>
      <c r="X928" s="5">
        <v>4.9000000000000004</v>
      </c>
      <c r="Y928" s="5">
        <v>6</v>
      </c>
      <c r="Z928" s="5" t="s">
        <v>71</v>
      </c>
      <c r="AA928" s="6">
        <v>177.6</v>
      </c>
      <c r="AB928" s="8">
        <f t="shared" si="182"/>
        <v>480</v>
      </c>
      <c r="AC928" s="8">
        <f t="shared" si="183"/>
        <v>48</v>
      </c>
      <c r="AD928" s="8">
        <f t="shared" si="184"/>
        <v>432</v>
      </c>
      <c r="AE928" s="8">
        <f t="shared" si="185"/>
        <v>355.2</v>
      </c>
      <c r="AF928" s="8">
        <f t="shared" si="186"/>
        <v>76.800000000000011</v>
      </c>
      <c r="AG928" s="9">
        <f t="shared" si="187"/>
        <v>0.17777777777777781</v>
      </c>
      <c r="AH928" s="10">
        <f t="shared" si="188"/>
        <v>2025</v>
      </c>
      <c r="AI928" s="10">
        <f t="shared" si="189"/>
        <v>3</v>
      </c>
      <c r="AJ928" s="10" t="str">
        <f t="shared" si="190"/>
        <v>2025-03</v>
      </c>
      <c r="AK928" s="10" t="str">
        <f t="shared" si="191"/>
        <v>T1</v>
      </c>
      <c r="AL928" s="10" t="str">
        <f t="shared" si="192"/>
        <v>22-29</v>
      </c>
      <c r="AM928" s="10" t="str">
        <f t="shared" si="193"/>
        <v>faible</v>
      </c>
      <c r="AN928" s="10" t="s">
        <v>2839</v>
      </c>
      <c r="AO928" s="10" t="str">
        <f t="shared" si="194"/>
        <v>Faible</v>
      </c>
    </row>
    <row r="929" spans="1:41">
      <c r="A929" t="s">
        <v>2673</v>
      </c>
      <c r="B929" s="2">
        <v>45939</v>
      </c>
      <c r="C929" t="s">
        <v>1420</v>
      </c>
      <c r="D929" t="s">
        <v>333</v>
      </c>
      <c r="E929" t="s">
        <v>109</v>
      </c>
      <c r="F929" t="s">
        <v>434</v>
      </c>
      <c r="G929">
        <v>2</v>
      </c>
      <c r="H929" s="4">
        <v>65</v>
      </c>
      <c r="I929" s="3">
        <v>0.02</v>
      </c>
      <c r="J929" t="s">
        <v>77</v>
      </c>
      <c r="K929" t="s">
        <v>46</v>
      </c>
      <c r="L929" t="s">
        <v>1421</v>
      </c>
      <c r="M929" t="s">
        <v>69</v>
      </c>
      <c r="N929" t="s">
        <v>255</v>
      </c>
      <c r="O929" t="s">
        <v>336</v>
      </c>
      <c r="P929" t="s">
        <v>51</v>
      </c>
      <c r="Q929" t="s">
        <v>52</v>
      </c>
      <c r="R929" t="s">
        <v>115</v>
      </c>
      <c r="S929" t="s">
        <v>65</v>
      </c>
      <c r="T929" t="s">
        <v>436</v>
      </c>
      <c r="U929" s="5">
        <v>46</v>
      </c>
      <c r="V929" s="5" t="s">
        <v>85</v>
      </c>
      <c r="W929" s="5">
        <v>5</v>
      </c>
      <c r="X929" s="5">
        <v>4.0999999999999996</v>
      </c>
      <c r="Y929" s="5">
        <v>8</v>
      </c>
      <c r="Z929" s="5" t="s">
        <v>94</v>
      </c>
      <c r="AA929" s="6">
        <v>47.45</v>
      </c>
      <c r="AB929" s="8">
        <f t="shared" si="182"/>
        <v>130</v>
      </c>
      <c r="AC929" s="8">
        <f t="shared" si="183"/>
        <v>2.6</v>
      </c>
      <c r="AD929" s="8">
        <f t="shared" si="184"/>
        <v>127.4</v>
      </c>
      <c r="AE929" s="8">
        <f t="shared" si="185"/>
        <v>94.9</v>
      </c>
      <c r="AF929" s="8">
        <f t="shared" si="186"/>
        <v>32.5</v>
      </c>
      <c r="AG929" s="9">
        <f t="shared" si="187"/>
        <v>0.25510204081632654</v>
      </c>
      <c r="AH929" s="10">
        <f t="shared" si="188"/>
        <v>2025</v>
      </c>
      <c r="AI929" s="10">
        <f t="shared" si="189"/>
        <v>10</v>
      </c>
      <c r="AJ929" s="10" t="str">
        <f t="shared" si="190"/>
        <v>2025-10</v>
      </c>
      <c r="AK929" s="10" t="str">
        <f t="shared" si="191"/>
        <v>T4</v>
      </c>
      <c r="AL929" s="10" t="str">
        <f t="shared" si="192"/>
        <v>40-49</v>
      </c>
      <c r="AM929" s="10" t="str">
        <f t="shared" si="193"/>
        <v>faible</v>
      </c>
      <c r="AN929" s="10" t="s">
        <v>2837</v>
      </c>
      <c r="AO929" s="10" t="str">
        <f t="shared" si="194"/>
        <v>Faible</v>
      </c>
    </row>
    <row r="930" spans="1:41">
      <c r="A930" t="s">
        <v>2674</v>
      </c>
      <c r="B930" s="2">
        <v>45904</v>
      </c>
      <c r="C930" t="s">
        <v>1194</v>
      </c>
      <c r="D930" t="s">
        <v>181</v>
      </c>
      <c r="E930" t="s">
        <v>120</v>
      </c>
      <c r="F930" t="s">
        <v>130</v>
      </c>
      <c r="G930">
        <v>4</v>
      </c>
      <c r="H930" s="4">
        <v>145</v>
      </c>
      <c r="I930" s="3">
        <v>0</v>
      </c>
      <c r="J930" t="s">
        <v>45</v>
      </c>
      <c r="K930" t="s">
        <v>46</v>
      </c>
      <c r="L930" t="s">
        <v>1195</v>
      </c>
      <c r="M930" t="s">
        <v>123</v>
      </c>
      <c r="N930" t="s">
        <v>255</v>
      </c>
      <c r="O930" t="s">
        <v>184</v>
      </c>
      <c r="P930" t="s">
        <v>103</v>
      </c>
      <c r="Q930" t="s">
        <v>52</v>
      </c>
      <c r="R930" t="s">
        <v>124</v>
      </c>
      <c r="S930" t="s">
        <v>48</v>
      </c>
      <c r="T930" t="s">
        <v>135</v>
      </c>
      <c r="U930" s="5">
        <v>22</v>
      </c>
      <c r="V930" s="5" t="s">
        <v>85</v>
      </c>
      <c r="W930" s="5">
        <v>5</v>
      </c>
      <c r="X930" s="5">
        <v>5.6</v>
      </c>
      <c r="Y930" s="5">
        <v>5</v>
      </c>
      <c r="Z930" s="5" t="s">
        <v>94</v>
      </c>
      <c r="AA930" s="6">
        <v>97.15</v>
      </c>
      <c r="AB930" s="8">
        <f t="shared" si="182"/>
        <v>580</v>
      </c>
      <c r="AC930" s="8">
        <f t="shared" si="183"/>
        <v>0</v>
      </c>
      <c r="AD930" s="8">
        <f t="shared" si="184"/>
        <v>580</v>
      </c>
      <c r="AE930" s="8">
        <f t="shared" si="185"/>
        <v>388.6</v>
      </c>
      <c r="AF930" s="8">
        <f t="shared" si="186"/>
        <v>191.39999999999998</v>
      </c>
      <c r="AG930" s="9">
        <f t="shared" si="187"/>
        <v>0.32999999999999996</v>
      </c>
      <c r="AH930" s="10">
        <f t="shared" si="188"/>
        <v>2025</v>
      </c>
      <c r="AI930" s="10">
        <f t="shared" si="189"/>
        <v>9</v>
      </c>
      <c r="AJ930" s="10" t="str">
        <f t="shared" si="190"/>
        <v>2025-09</v>
      </c>
      <c r="AK930" s="10" t="str">
        <f t="shared" si="191"/>
        <v>T3</v>
      </c>
      <c r="AL930" s="10" t="str">
        <f t="shared" si="192"/>
        <v>22-29</v>
      </c>
      <c r="AM930" s="10" t="str">
        <f t="shared" si="193"/>
        <v>moyen</v>
      </c>
      <c r="AN930" s="10" t="s">
        <v>2839</v>
      </c>
      <c r="AO930" s="10" t="str">
        <f t="shared" si="194"/>
        <v>Moyenne</v>
      </c>
    </row>
    <row r="931" spans="1:41">
      <c r="A931" t="s">
        <v>2675</v>
      </c>
      <c r="B931" s="2">
        <v>45719</v>
      </c>
      <c r="C931" t="s">
        <v>2501</v>
      </c>
      <c r="D931" t="s">
        <v>108</v>
      </c>
      <c r="E931" t="s">
        <v>189</v>
      </c>
      <c r="F931" t="s">
        <v>323</v>
      </c>
      <c r="G931">
        <v>1</v>
      </c>
      <c r="H931" s="4">
        <v>240</v>
      </c>
      <c r="I931" s="3">
        <v>0</v>
      </c>
      <c r="J931" t="s">
        <v>77</v>
      </c>
      <c r="K931" t="s">
        <v>46</v>
      </c>
      <c r="L931" t="s">
        <v>2502</v>
      </c>
      <c r="M931" t="s">
        <v>65</v>
      </c>
      <c r="N931" t="s">
        <v>112</v>
      </c>
      <c r="O931" t="s">
        <v>113</v>
      </c>
      <c r="P931" t="s">
        <v>82</v>
      </c>
      <c r="Q931" t="s">
        <v>114</v>
      </c>
      <c r="R931" t="s">
        <v>193</v>
      </c>
      <c r="S931" t="s">
        <v>79</v>
      </c>
      <c r="T931" t="s">
        <v>325</v>
      </c>
      <c r="U931" s="5">
        <v>60</v>
      </c>
      <c r="V931" s="5" t="s">
        <v>56</v>
      </c>
      <c r="W931" s="5">
        <v>61</v>
      </c>
      <c r="X931" s="5">
        <v>8.6</v>
      </c>
      <c r="Y931" s="5">
        <v>1</v>
      </c>
      <c r="Z931" s="5" t="s">
        <v>71</v>
      </c>
      <c r="AA931" s="6">
        <v>177.6</v>
      </c>
      <c r="AB931" s="8">
        <f t="shared" si="182"/>
        <v>240</v>
      </c>
      <c r="AC931" s="8">
        <f t="shared" si="183"/>
        <v>0</v>
      </c>
      <c r="AD931" s="8">
        <f t="shared" si="184"/>
        <v>240</v>
      </c>
      <c r="AE931" s="8">
        <f t="shared" si="185"/>
        <v>177.6</v>
      </c>
      <c r="AF931" s="8">
        <f t="shared" si="186"/>
        <v>62.400000000000006</v>
      </c>
      <c r="AG931" s="9">
        <f t="shared" si="187"/>
        <v>0.26</v>
      </c>
      <c r="AH931" s="10">
        <f t="shared" si="188"/>
        <v>2025</v>
      </c>
      <c r="AI931" s="10">
        <f t="shared" si="189"/>
        <v>3</v>
      </c>
      <c r="AJ931" s="10" t="str">
        <f t="shared" si="190"/>
        <v>2025-03</v>
      </c>
      <c r="AK931" s="10" t="str">
        <f t="shared" si="191"/>
        <v>T1</v>
      </c>
      <c r="AL931" s="10" t="str">
        <f t="shared" si="192"/>
        <v>50+</v>
      </c>
      <c r="AM931" s="10" t="str">
        <f t="shared" si="193"/>
        <v>bon</v>
      </c>
      <c r="AN931" s="10" t="s">
        <v>2838</v>
      </c>
      <c r="AO931" s="10" t="str">
        <f t="shared" si="194"/>
        <v>Faible</v>
      </c>
    </row>
    <row r="932" spans="1:41">
      <c r="A932" t="s">
        <v>2676</v>
      </c>
      <c r="B932" s="2">
        <v>45918</v>
      </c>
      <c r="C932" t="s">
        <v>2677</v>
      </c>
      <c r="D932" t="s">
        <v>162</v>
      </c>
      <c r="E932" t="s">
        <v>43</v>
      </c>
      <c r="F932" t="s">
        <v>302</v>
      </c>
      <c r="G932">
        <v>1</v>
      </c>
      <c r="H932" s="4">
        <v>35</v>
      </c>
      <c r="I932" s="3">
        <v>0</v>
      </c>
      <c r="J932" t="s">
        <v>90</v>
      </c>
      <c r="K932" t="s">
        <v>46</v>
      </c>
      <c r="L932" t="s">
        <v>2678</v>
      </c>
      <c r="M932" t="s">
        <v>48</v>
      </c>
      <c r="N932" t="s">
        <v>255</v>
      </c>
      <c r="O932" t="s">
        <v>166</v>
      </c>
      <c r="P932" t="s">
        <v>103</v>
      </c>
      <c r="Q932" t="s">
        <v>143</v>
      </c>
      <c r="R932" t="s">
        <v>53</v>
      </c>
      <c r="S932" t="s">
        <v>54</v>
      </c>
      <c r="T932" t="s">
        <v>304</v>
      </c>
      <c r="U932" s="5">
        <v>38</v>
      </c>
      <c r="V932" s="5" t="s">
        <v>85</v>
      </c>
      <c r="W932" s="5">
        <v>40</v>
      </c>
      <c r="X932" s="5">
        <v>7.4</v>
      </c>
      <c r="Y932" s="5">
        <v>4</v>
      </c>
      <c r="Z932" s="5" t="s">
        <v>94</v>
      </c>
      <c r="AA932" s="6">
        <v>24.15</v>
      </c>
      <c r="AB932" s="8">
        <f t="shared" si="182"/>
        <v>35</v>
      </c>
      <c r="AC932" s="8">
        <f t="shared" si="183"/>
        <v>0</v>
      </c>
      <c r="AD932" s="8">
        <f t="shared" si="184"/>
        <v>35</v>
      </c>
      <c r="AE932" s="8">
        <f t="shared" si="185"/>
        <v>24.15</v>
      </c>
      <c r="AF932" s="8">
        <f t="shared" si="186"/>
        <v>10.850000000000001</v>
      </c>
      <c r="AG932" s="9">
        <f t="shared" si="187"/>
        <v>0.31000000000000005</v>
      </c>
      <c r="AH932" s="10">
        <f t="shared" si="188"/>
        <v>2025</v>
      </c>
      <c r="AI932" s="10">
        <f t="shared" si="189"/>
        <v>9</v>
      </c>
      <c r="AJ932" s="10" t="str">
        <f t="shared" si="190"/>
        <v>2025-09</v>
      </c>
      <c r="AK932" s="10" t="str">
        <f t="shared" si="191"/>
        <v>T3</v>
      </c>
      <c r="AL932" s="10" t="str">
        <f t="shared" si="192"/>
        <v>30-39</v>
      </c>
      <c r="AM932" s="10" t="str">
        <f t="shared" si="193"/>
        <v>bon</v>
      </c>
      <c r="AN932" s="10" t="s">
        <v>2839</v>
      </c>
      <c r="AO932" s="10" t="str">
        <f t="shared" si="194"/>
        <v>Faible</v>
      </c>
    </row>
    <row r="933" spans="1:41">
      <c r="A933" t="s">
        <v>2679</v>
      </c>
      <c r="B933" s="2">
        <v>45661</v>
      </c>
      <c r="C933" t="s">
        <v>2388</v>
      </c>
      <c r="D933" t="s">
        <v>272</v>
      </c>
      <c r="E933" t="s">
        <v>163</v>
      </c>
      <c r="F933" t="s">
        <v>76</v>
      </c>
      <c r="G933">
        <v>3</v>
      </c>
      <c r="H933" s="4">
        <v>420</v>
      </c>
      <c r="I933" s="3">
        <v>0.05</v>
      </c>
      <c r="J933" t="s">
        <v>63</v>
      </c>
      <c r="K933" t="s">
        <v>46</v>
      </c>
      <c r="L933" t="s">
        <v>2389</v>
      </c>
      <c r="M933" t="s">
        <v>48</v>
      </c>
      <c r="N933" t="s">
        <v>101</v>
      </c>
      <c r="O933" t="s">
        <v>274</v>
      </c>
      <c r="P933" t="s">
        <v>133</v>
      </c>
      <c r="Q933" t="s">
        <v>114</v>
      </c>
      <c r="R933" t="s">
        <v>167</v>
      </c>
      <c r="S933" t="s">
        <v>123</v>
      </c>
      <c r="T933" t="s">
        <v>84</v>
      </c>
      <c r="U933" s="5">
        <v>24</v>
      </c>
      <c r="V933" s="5" t="s">
        <v>56</v>
      </c>
      <c r="W933" s="5">
        <v>60</v>
      </c>
      <c r="X933" s="5">
        <v>7.7</v>
      </c>
      <c r="Y933" s="5">
        <v>3</v>
      </c>
      <c r="Z933" s="5" t="s">
        <v>117</v>
      </c>
      <c r="AA933" s="6">
        <v>273</v>
      </c>
      <c r="AB933" s="8">
        <f t="shared" si="182"/>
        <v>1260</v>
      </c>
      <c r="AC933" s="8">
        <f t="shared" si="183"/>
        <v>63</v>
      </c>
      <c r="AD933" s="8">
        <f t="shared" si="184"/>
        <v>1197</v>
      </c>
      <c r="AE933" s="8">
        <f t="shared" si="185"/>
        <v>819</v>
      </c>
      <c r="AF933" s="8">
        <f t="shared" si="186"/>
        <v>378</v>
      </c>
      <c r="AG933" s="9">
        <f t="shared" si="187"/>
        <v>0.31578947368421051</v>
      </c>
      <c r="AH933" s="10">
        <f t="shared" si="188"/>
        <v>2025</v>
      </c>
      <c r="AI933" s="10">
        <f t="shared" si="189"/>
        <v>1</v>
      </c>
      <c r="AJ933" s="10" t="str">
        <f t="shared" si="190"/>
        <v>2025-01</v>
      </c>
      <c r="AK933" s="10" t="str">
        <f t="shared" si="191"/>
        <v>T1</v>
      </c>
      <c r="AL933" s="10" t="str">
        <f t="shared" si="192"/>
        <v>22-29</v>
      </c>
      <c r="AM933" s="10" t="str">
        <f t="shared" si="193"/>
        <v>bon</v>
      </c>
      <c r="AN933" s="10" t="s">
        <v>2838</v>
      </c>
      <c r="AO933" s="10" t="str">
        <f t="shared" si="194"/>
        <v>Elevée</v>
      </c>
    </row>
    <row r="934" spans="1:41">
      <c r="A934" t="s">
        <v>2680</v>
      </c>
      <c r="B934" s="2">
        <v>45856</v>
      </c>
      <c r="C934" t="s">
        <v>1582</v>
      </c>
      <c r="D934" t="s">
        <v>174</v>
      </c>
      <c r="E934" t="s">
        <v>219</v>
      </c>
      <c r="F934" t="s">
        <v>388</v>
      </c>
      <c r="G934">
        <v>2</v>
      </c>
      <c r="H934" s="4">
        <v>780</v>
      </c>
      <c r="I934" s="3">
        <v>0</v>
      </c>
      <c r="J934" t="s">
        <v>90</v>
      </c>
      <c r="K934" t="s">
        <v>46</v>
      </c>
      <c r="L934" t="s">
        <v>1583</v>
      </c>
      <c r="M934" t="s">
        <v>65</v>
      </c>
      <c r="N934" t="s">
        <v>49</v>
      </c>
      <c r="O934" t="s">
        <v>177</v>
      </c>
      <c r="P934" t="s">
        <v>103</v>
      </c>
      <c r="Q934" t="s">
        <v>114</v>
      </c>
      <c r="R934" t="s">
        <v>222</v>
      </c>
      <c r="S934" t="s">
        <v>123</v>
      </c>
      <c r="T934" t="s">
        <v>390</v>
      </c>
      <c r="U934" s="5">
        <v>41</v>
      </c>
      <c r="V934" s="5" t="s">
        <v>56</v>
      </c>
      <c r="W934" s="5">
        <v>52</v>
      </c>
      <c r="X934" s="5">
        <v>3.9</v>
      </c>
      <c r="Y934" s="5">
        <v>8</v>
      </c>
      <c r="Z934" s="5" t="s">
        <v>71</v>
      </c>
      <c r="AA934" s="6">
        <v>468</v>
      </c>
      <c r="AB934" s="8">
        <f t="shared" si="182"/>
        <v>1560</v>
      </c>
      <c r="AC934" s="8">
        <f t="shared" si="183"/>
        <v>0</v>
      </c>
      <c r="AD934" s="8">
        <f t="shared" si="184"/>
        <v>1560</v>
      </c>
      <c r="AE934" s="8">
        <f t="shared" si="185"/>
        <v>936</v>
      </c>
      <c r="AF934" s="8">
        <f t="shared" si="186"/>
        <v>624</v>
      </c>
      <c r="AG934" s="9">
        <f t="shared" si="187"/>
        <v>0.4</v>
      </c>
      <c r="AH934" s="10">
        <f t="shared" si="188"/>
        <v>2025</v>
      </c>
      <c r="AI934" s="10">
        <f t="shared" si="189"/>
        <v>7</v>
      </c>
      <c r="AJ934" s="10" t="str">
        <f t="shared" si="190"/>
        <v>2025-07</v>
      </c>
      <c r="AK934" s="10" t="str">
        <f t="shared" si="191"/>
        <v>T3</v>
      </c>
      <c r="AL934" s="10" t="str">
        <f t="shared" si="192"/>
        <v>40-49</v>
      </c>
      <c r="AM934" s="10" t="str">
        <f t="shared" si="193"/>
        <v>faible</v>
      </c>
      <c r="AN934" s="10" t="s">
        <v>2837</v>
      </c>
      <c r="AO934" s="10" t="str">
        <f t="shared" si="194"/>
        <v>Elevée</v>
      </c>
    </row>
    <row r="935" spans="1:41">
      <c r="A935" t="s">
        <v>2681</v>
      </c>
      <c r="B935" s="2">
        <v>45850</v>
      </c>
      <c r="C935" t="s">
        <v>2682</v>
      </c>
      <c r="D935" t="s">
        <v>138</v>
      </c>
      <c r="E935" t="s">
        <v>219</v>
      </c>
      <c r="F935" t="s">
        <v>282</v>
      </c>
      <c r="G935">
        <v>3</v>
      </c>
      <c r="H935" s="4">
        <v>120</v>
      </c>
      <c r="I935" s="3">
        <v>0.05</v>
      </c>
      <c r="J935" t="s">
        <v>77</v>
      </c>
      <c r="K935" t="s">
        <v>46</v>
      </c>
      <c r="L935" t="s">
        <v>2683</v>
      </c>
      <c r="M935" t="s">
        <v>65</v>
      </c>
      <c r="N935" t="s">
        <v>101</v>
      </c>
      <c r="O935" t="s">
        <v>142</v>
      </c>
      <c r="P935" t="s">
        <v>51</v>
      </c>
      <c r="Q935" t="s">
        <v>143</v>
      </c>
      <c r="R935" t="s">
        <v>222</v>
      </c>
      <c r="S935" t="s">
        <v>123</v>
      </c>
      <c r="T935" t="s">
        <v>284</v>
      </c>
      <c r="U935" s="5">
        <v>59</v>
      </c>
      <c r="V935" s="5" t="s">
        <v>85</v>
      </c>
      <c r="W935" s="5">
        <v>43</v>
      </c>
      <c r="X935" s="5">
        <v>6.9</v>
      </c>
      <c r="Y935" s="5">
        <v>4</v>
      </c>
      <c r="Z935" s="5" t="s">
        <v>94</v>
      </c>
      <c r="AA935" s="6">
        <v>73.2</v>
      </c>
      <c r="AB935" s="8">
        <f t="shared" si="182"/>
        <v>360</v>
      </c>
      <c r="AC935" s="8">
        <f t="shared" si="183"/>
        <v>18</v>
      </c>
      <c r="AD935" s="8">
        <f t="shared" si="184"/>
        <v>342</v>
      </c>
      <c r="AE935" s="8">
        <f t="shared" si="185"/>
        <v>219.60000000000002</v>
      </c>
      <c r="AF935" s="8">
        <f t="shared" si="186"/>
        <v>122.39999999999998</v>
      </c>
      <c r="AG935" s="9">
        <f t="shared" si="187"/>
        <v>0.35789473684210521</v>
      </c>
      <c r="AH935" s="10">
        <f t="shared" si="188"/>
        <v>2025</v>
      </c>
      <c r="AI935" s="10">
        <f t="shared" si="189"/>
        <v>7</v>
      </c>
      <c r="AJ935" s="10" t="str">
        <f t="shared" si="190"/>
        <v>2025-07</v>
      </c>
      <c r="AK935" s="10" t="str">
        <f t="shared" si="191"/>
        <v>T3</v>
      </c>
      <c r="AL935" s="10" t="str">
        <f t="shared" si="192"/>
        <v>50+</v>
      </c>
      <c r="AM935" s="10" t="str">
        <f t="shared" si="193"/>
        <v>moyen</v>
      </c>
      <c r="AN935" s="10" t="s">
        <v>2839</v>
      </c>
      <c r="AO935" s="10" t="str">
        <f t="shared" si="194"/>
        <v>Faible</v>
      </c>
    </row>
    <row r="936" spans="1:41">
      <c r="A936" t="s">
        <v>2684</v>
      </c>
      <c r="B936" s="2">
        <v>45866</v>
      </c>
      <c r="C936" t="s">
        <v>2685</v>
      </c>
      <c r="D936" t="s">
        <v>108</v>
      </c>
      <c r="E936" t="s">
        <v>219</v>
      </c>
      <c r="F936" t="s">
        <v>233</v>
      </c>
      <c r="G936">
        <v>4</v>
      </c>
      <c r="H936" s="4">
        <v>240</v>
      </c>
      <c r="I936" s="3">
        <v>0.1</v>
      </c>
      <c r="J936" t="s">
        <v>45</v>
      </c>
      <c r="K936" t="s">
        <v>46</v>
      </c>
      <c r="L936" t="s">
        <v>2686</v>
      </c>
      <c r="M936" t="s">
        <v>54</v>
      </c>
      <c r="N936" t="s">
        <v>49</v>
      </c>
      <c r="O936" t="s">
        <v>113</v>
      </c>
      <c r="P936" t="s">
        <v>82</v>
      </c>
      <c r="Q936" t="s">
        <v>114</v>
      </c>
      <c r="R936" t="s">
        <v>222</v>
      </c>
      <c r="S936" t="s">
        <v>123</v>
      </c>
      <c r="T936" t="s">
        <v>235</v>
      </c>
      <c r="U936" s="5">
        <v>23</v>
      </c>
      <c r="V936" s="5" t="s">
        <v>56</v>
      </c>
      <c r="W936" s="5">
        <v>54</v>
      </c>
      <c r="X936" s="5">
        <v>4.3</v>
      </c>
      <c r="Y936" s="5">
        <v>9</v>
      </c>
      <c r="Z936" s="5" t="s">
        <v>117</v>
      </c>
      <c r="AA936" s="6">
        <v>177.6</v>
      </c>
      <c r="AB936" s="8">
        <f t="shared" si="182"/>
        <v>960</v>
      </c>
      <c r="AC936" s="8">
        <f t="shared" si="183"/>
        <v>96</v>
      </c>
      <c r="AD936" s="8">
        <f t="shared" si="184"/>
        <v>864</v>
      </c>
      <c r="AE936" s="8">
        <f t="shared" si="185"/>
        <v>710.4</v>
      </c>
      <c r="AF936" s="8">
        <f t="shared" si="186"/>
        <v>153.60000000000002</v>
      </c>
      <c r="AG936" s="9">
        <f t="shared" si="187"/>
        <v>0.17777777777777781</v>
      </c>
      <c r="AH936" s="10">
        <f t="shared" si="188"/>
        <v>2025</v>
      </c>
      <c r="AI936" s="10">
        <f t="shared" si="189"/>
        <v>7</v>
      </c>
      <c r="AJ936" s="10" t="str">
        <f t="shared" si="190"/>
        <v>2025-07</v>
      </c>
      <c r="AK936" s="10" t="str">
        <f t="shared" si="191"/>
        <v>T3</v>
      </c>
      <c r="AL936" s="10" t="str">
        <f t="shared" si="192"/>
        <v>22-29</v>
      </c>
      <c r="AM936" s="10" t="str">
        <f t="shared" si="193"/>
        <v>faible</v>
      </c>
      <c r="AN936" s="10" t="s">
        <v>2837</v>
      </c>
      <c r="AO936" s="10" t="str">
        <f t="shared" si="194"/>
        <v>Moyenne</v>
      </c>
    </row>
    <row r="937" spans="1:41">
      <c r="A937" t="s">
        <v>2687</v>
      </c>
      <c r="B937" s="2">
        <v>45846</v>
      </c>
      <c r="C937" t="s">
        <v>2688</v>
      </c>
      <c r="D937" t="s">
        <v>333</v>
      </c>
      <c r="E937" t="s">
        <v>98</v>
      </c>
      <c r="F937" t="s">
        <v>197</v>
      </c>
      <c r="G937">
        <v>1</v>
      </c>
      <c r="H937" s="4">
        <v>65</v>
      </c>
      <c r="I937" s="3">
        <v>0</v>
      </c>
      <c r="J937" t="s">
        <v>77</v>
      </c>
      <c r="K937" t="s">
        <v>46</v>
      </c>
      <c r="L937" t="s">
        <v>2689</v>
      </c>
      <c r="M937" t="s">
        <v>65</v>
      </c>
      <c r="N937" t="s">
        <v>101</v>
      </c>
      <c r="O937" t="s">
        <v>336</v>
      </c>
      <c r="P937" t="s">
        <v>51</v>
      </c>
      <c r="Q937" t="s">
        <v>52</v>
      </c>
      <c r="R937" t="s">
        <v>104</v>
      </c>
      <c r="S937" t="s">
        <v>79</v>
      </c>
      <c r="T937" t="s">
        <v>199</v>
      </c>
      <c r="U937" s="5">
        <v>55</v>
      </c>
      <c r="V937" s="5" t="s">
        <v>56</v>
      </c>
      <c r="W937" s="5">
        <v>10</v>
      </c>
      <c r="X937" s="5">
        <v>9.1</v>
      </c>
      <c r="Y937" s="5">
        <v>1</v>
      </c>
      <c r="Z937" s="5" t="s">
        <v>117</v>
      </c>
      <c r="AA937" s="6">
        <v>47.45</v>
      </c>
      <c r="AB937" s="8">
        <f t="shared" si="182"/>
        <v>65</v>
      </c>
      <c r="AC937" s="8">
        <f t="shared" si="183"/>
        <v>0</v>
      </c>
      <c r="AD937" s="8">
        <f t="shared" si="184"/>
        <v>65</v>
      </c>
      <c r="AE937" s="8">
        <f t="shared" si="185"/>
        <v>47.45</v>
      </c>
      <c r="AF937" s="8">
        <f t="shared" si="186"/>
        <v>17.549999999999997</v>
      </c>
      <c r="AG937" s="9">
        <f t="shared" si="187"/>
        <v>0.26999999999999996</v>
      </c>
      <c r="AH937" s="10">
        <f t="shared" si="188"/>
        <v>2025</v>
      </c>
      <c r="AI937" s="10">
        <f t="shared" si="189"/>
        <v>7</v>
      </c>
      <c r="AJ937" s="10" t="str">
        <f t="shared" si="190"/>
        <v>2025-07</v>
      </c>
      <c r="AK937" s="10" t="str">
        <f t="shared" si="191"/>
        <v>T3</v>
      </c>
      <c r="AL937" s="10" t="str">
        <f t="shared" si="192"/>
        <v>50+</v>
      </c>
      <c r="AM937" s="10" t="str">
        <f t="shared" si="193"/>
        <v>excellent</v>
      </c>
      <c r="AN937" s="10" t="s">
        <v>2838</v>
      </c>
      <c r="AO937" s="10" t="str">
        <f t="shared" si="194"/>
        <v>Faible</v>
      </c>
    </row>
    <row r="938" spans="1:41">
      <c r="A938" t="s">
        <v>2690</v>
      </c>
      <c r="B938" s="2">
        <v>45802</v>
      </c>
      <c r="C938" t="s">
        <v>2691</v>
      </c>
      <c r="D938" t="s">
        <v>155</v>
      </c>
      <c r="E938" t="s">
        <v>139</v>
      </c>
      <c r="F938" t="s">
        <v>396</v>
      </c>
      <c r="G938">
        <v>2</v>
      </c>
      <c r="H938" s="4">
        <v>48</v>
      </c>
      <c r="I938" s="3">
        <v>0</v>
      </c>
      <c r="J938" t="s">
        <v>63</v>
      </c>
      <c r="K938" t="s">
        <v>46</v>
      </c>
      <c r="L938" t="s">
        <v>2692</v>
      </c>
      <c r="M938" t="s">
        <v>123</v>
      </c>
      <c r="N938" t="s">
        <v>112</v>
      </c>
      <c r="O938" t="s">
        <v>158</v>
      </c>
      <c r="P938" t="s">
        <v>51</v>
      </c>
      <c r="Q938" t="s">
        <v>143</v>
      </c>
      <c r="R938" t="s">
        <v>144</v>
      </c>
      <c r="S938" t="s">
        <v>65</v>
      </c>
      <c r="T938" t="s">
        <v>398</v>
      </c>
      <c r="U938" s="5">
        <v>38</v>
      </c>
      <c r="V938" s="5" t="s">
        <v>85</v>
      </c>
      <c r="W938" s="5">
        <v>58</v>
      </c>
      <c r="X938" s="5">
        <v>6.9</v>
      </c>
      <c r="Y938" s="5">
        <v>4</v>
      </c>
      <c r="Z938" s="5" t="s">
        <v>71</v>
      </c>
      <c r="AA938" s="6">
        <v>37.44</v>
      </c>
      <c r="AB938" s="8">
        <f t="shared" si="182"/>
        <v>96</v>
      </c>
      <c r="AC938" s="8">
        <f t="shared" si="183"/>
        <v>0</v>
      </c>
      <c r="AD938" s="8">
        <f t="shared" si="184"/>
        <v>96</v>
      </c>
      <c r="AE938" s="8">
        <f t="shared" si="185"/>
        <v>74.88</v>
      </c>
      <c r="AF938" s="8">
        <f t="shared" si="186"/>
        <v>21.120000000000005</v>
      </c>
      <c r="AG938" s="9">
        <f t="shared" si="187"/>
        <v>0.22000000000000006</v>
      </c>
      <c r="AH938" s="10">
        <f t="shared" si="188"/>
        <v>2025</v>
      </c>
      <c r="AI938" s="10">
        <f t="shared" si="189"/>
        <v>5</v>
      </c>
      <c r="AJ938" s="10" t="str">
        <f t="shared" si="190"/>
        <v>2025-05</v>
      </c>
      <c r="AK938" s="10" t="str">
        <f t="shared" si="191"/>
        <v>T2</v>
      </c>
      <c r="AL938" s="10" t="str">
        <f t="shared" si="192"/>
        <v>30-39</v>
      </c>
      <c r="AM938" s="10" t="str">
        <f t="shared" si="193"/>
        <v>moyen</v>
      </c>
      <c r="AN938" s="10" t="s">
        <v>2839</v>
      </c>
      <c r="AO938" s="10" t="str">
        <f t="shared" si="194"/>
        <v>Faible</v>
      </c>
    </row>
    <row r="939" spans="1:41">
      <c r="A939" t="s">
        <v>2693</v>
      </c>
      <c r="B939" s="2">
        <v>45728</v>
      </c>
      <c r="C939" t="s">
        <v>1389</v>
      </c>
      <c r="D939" t="s">
        <v>333</v>
      </c>
      <c r="E939" t="s">
        <v>98</v>
      </c>
      <c r="F939" t="s">
        <v>396</v>
      </c>
      <c r="G939">
        <v>2</v>
      </c>
      <c r="H939" s="4">
        <v>65</v>
      </c>
      <c r="I939" s="3">
        <v>0.05</v>
      </c>
      <c r="J939" t="s">
        <v>90</v>
      </c>
      <c r="K939" t="s">
        <v>46</v>
      </c>
      <c r="L939" t="s">
        <v>1390</v>
      </c>
      <c r="M939" t="s">
        <v>54</v>
      </c>
      <c r="N939" t="s">
        <v>101</v>
      </c>
      <c r="O939" t="s">
        <v>336</v>
      </c>
      <c r="P939" t="s">
        <v>51</v>
      </c>
      <c r="Q939" t="s">
        <v>52</v>
      </c>
      <c r="R939" t="s">
        <v>104</v>
      </c>
      <c r="S939" t="s">
        <v>79</v>
      </c>
      <c r="T939" t="s">
        <v>398</v>
      </c>
      <c r="U939" s="5">
        <v>27</v>
      </c>
      <c r="V939" s="5" t="s">
        <v>56</v>
      </c>
      <c r="W939" s="5">
        <v>41</v>
      </c>
      <c r="X939" s="5">
        <v>6</v>
      </c>
      <c r="Y939" s="5">
        <v>6</v>
      </c>
      <c r="Z939" s="5" t="s">
        <v>117</v>
      </c>
      <c r="AA939" s="6">
        <v>47.45</v>
      </c>
      <c r="AB939" s="8">
        <f t="shared" si="182"/>
        <v>130</v>
      </c>
      <c r="AC939" s="8">
        <f t="shared" si="183"/>
        <v>6.5</v>
      </c>
      <c r="AD939" s="8">
        <f t="shared" si="184"/>
        <v>123.5</v>
      </c>
      <c r="AE939" s="8">
        <f t="shared" si="185"/>
        <v>94.9</v>
      </c>
      <c r="AF939" s="8">
        <f t="shared" si="186"/>
        <v>28.599999999999994</v>
      </c>
      <c r="AG939" s="9">
        <f t="shared" si="187"/>
        <v>0.231578947368421</v>
      </c>
      <c r="AH939" s="10">
        <f t="shared" si="188"/>
        <v>2025</v>
      </c>
      <c r="AI939" s="10">
        <f t="shared" si="189"/>
        <v>3</v>
      </c>
      <c r="AJ939" s="10" t="str">
        <f t="shared" si="190"/>
        <v>2025-03</v>
      </c>
      <c r="AK939" s="10" t="str">
        <f t="shared" si="191"/>
        <v>T1</v>
      </c>
      <c r="AL939" s="10" t="str">
        <f t="shared" si="192"/>
        <v>22-29</v>
      </c>
      <c r="AM939" s="10" t="str">
        <f t="shared" si="193"/>
        <v>moyen</v>
      </c>
      <c r="AN939" s="10" t="s">
        <v>2839</v>
      </c>
      <c r="AO939" s="10" t="str">
        <f t="shared" si="194"/>
        <v>Faible</v>
      </c>
    </row>
    <row r="940" spans="1:41">
      <c r="A940" t="s">
        <v>2694</v>
      </c>
      <c r="B940" s="2">
        <v>45682</v>
      </c>
      <c r="C940" t="s">
        <v>2695</v>
      </c>
      <c r="D940" t="s">
        <v>272</v>
      </c>
      <c r="E940" t="s">
        <v>226</v>
      </c>
      <c r="F940" t="s">
        <v>323</v>
      </c>
      <c r="G940">
        <v>20</v>
      </c>
      <c r="H940" s="4">
        <v>420</v>
      </c>
      <c r="I940" s="3">
        <v>0.05</v>
      </c>
      <c r="J940" t="s">
        <v>90</v>
      </c>
      <c r="K940" t="s">
        <v>46</v>
      </c>
      <c r="L940" t="s">
        <v>2696</v>
      </c>
      <c r="M940" t="s">
        <v>123</v>
      </c>
      <c r="N940" t="s">
        <v>80</v>
      </c>
      <c r="O940" t="s">
        <v>274</v>
      </c>
      <c r="P940" t="s">
        <v>133</v>
      </c>
      <c r="Q940" t="s">
        <v>114</v>
      </c>
      <c r="R940" t="s">
        <v>229</v>
      </c>
      <c r="S940" t="s">
        <v>48</v>
      </c>
      <c r="T940" t="s">
        <v>325</v>
      </c>
      <c r="U940" s="5">
        <v>27</v>
      </c>
      <c r="V940" s="5" t="s">
        <v>85</v>
      </c>
      <c r="W940" s="5">
        <v>33</v>
      </c>
      <c r="X940" s="5">
        <v>4.2</v>
      </c>
      <c r="Y940" s="5">
        <v>9</v>
      </c>
      <c r="Z940" s="5" t="s">
        <v>57</v>
      </c>
      <c r="AA940" s="6">
        <v>273</v>
      </c>
      <c r="AB940" s="8">
        <f t="shared" si="182"/>
        <v>8400</v>
      </c>
      <c r="AC940" s="8">
        <f t="shared" si="183"/>
        <v>420</v>
      </c>
      <c r="AD940" s="8">
        <f t="shared" si="184"/>
        <v>7980</v>
      </c>
      <c r="AE940" s="8">
        <f t="shared" si="185"/>
        <v>5460</v>
      </c>
      <c r="AF940" s="8">
        <f t="shared" si="186"/>
        <v>2520</v>
      </c>
      <c r="AG940" s="9">
        <f t="shared" si="187"/>
        <v>0.31578947368421051</v>
      </c>
      <c r="AH940" s="10">
        <f t="shared" si="188"/>
        <v>2025</v>
      </c>
      <c r="AI940" s="10">
        <f t="shared" si="189"/>
        <v>1</v>
      </c>
      <c r="AJ940" s="10" t="str">
        <f t="shared" si="190"/>
        <v>2025-01</v>
      </c>
      <c r="AK940" s="10" t="str">
        <f t="shared" si="191"/>
        <v>T1</v>
      </c>
      <c r="AL940" s="10" t="str">
        <f t="shared" si="192"/>
        <v>22-29</v>
      </c>
      <c r="AM940" s="10" t="str">
        <f t="shared" si="193"/>
        <v>faible</v>
      </c>
      <c r="AN940" s="10" t="s">
        <v>2837</v>
      </c>
      <c r="AO940" s="10" t="str">
        <f t="shared" si="194"/>
        <v>Elevée</v>
      </c>
    </row>
    <row r="941" spans="1:41">
      <c r="A941" t="s">
        <v>2697</v>
      </c>
      <c r="B941" s="2">
        <v>45703</v>
      </c>
      <c r="C941" t="s">
        <v>2698</v>
      </c>
      <c r="D941" t="s">
        <v>181</v>
      </c>
      <c r="E941" t="s">
        <v>139</v>
      </c>
      <c r="F941" t="s">
        <v>156</v>
      </c>
      <c r="G941">
        <v>6</v>
      </c>
      <c r="H941" s="4">
        <v>145</v>
      </c>
      <c r="I941" s="3">
        <v>0</v>
      </c>
      <c r="J941" t="s">
        <v>77</v>
      </c>
      <c r="K941" t="s">
        <v>46</v>
      </c>
      <c r="L941" t="s">
        <v>2699</v>
      </c>
      <c r="M941" t="s">
        <v>54</v>
      </c>
      <c r="N941" t="s">
        <v>112</v>
      </c>
      <c r="O941" t="s">
        <v>184</v>
      </c>
      <c r="P941" t="s">
        <v>103</v>
      </c>
      <c r="Q941" t="s">
        <v>52</v>
      </c>
      <c r="R941" t="s">
        <v>144</v>
      </c>
      <c r="S941" t="s">
        <v>65</v>
      </c>
      <c r="T941" t="s">
        <v>159</v>
      </c>
      <c r="U941" s="5">
        <v>37</v>
      </c>
      <c r="V941" s="5" t="s">
        <v>85</v>
      </c>
      <c r="W941" s="5">
        <v>28</v>
      </c>
      <c r="X941" s="5">
        <v>4.0999999999999996</v>
      </c>
      <c r="Y941" s="5">
        <v>8</v>
      </c>
      <c r="Z941" s="5" t="s">
        <v>117</v>
      </c>
      <c r="AA941" s="6">
        <v>97.15</v>
      </c>
      <c r="AB941" s="8">
        <f t="shared" si="182"/>
        <v>870</v>
      </c>
      <c r="AC941" s="8">
        <f t="shared" si="183"/>
        <v>0</v>
      </c>
      <c r="AD941" s="8">
        <f t="shared" si="184"/>
        <v>870</v>
      </c>
      <c r="AE941" s="8">
        <f t="shared" si="185"/>
        <v>582.90000000000009</v>
      </c>
      <c r="AF941" s="8">
        <f t="shared" si="186"/>
        <v>287.09999999999991</v>
      </c>
      <c r="AG941" s="9">
        <f t="shared" si="187"/>
        <v>0.3299999999999999</v>
      </c>
      <c r="AH941" s="10">
        <f t="shared" si="188"/>
        <v>2025</v>
      </c>
      <c r="AI941" s="10">
        <f t="shared" si="189"/>
        <v>2</v>
      </c>
      <c r="AJ941" s="10" t="str">
        <f t="shared" si="190"/>
        <v>2025-02</v>
      </c>
      <c r="AK941" s="10" t="str">
        <f t="shared" si="191"/>
        <v>T1</v>
      </c>
      <c r="AL941" s="10" t="str">
        <f t="shared" si="192"/>
        <v>30-39</v>
      </c>
      <c r="AM941" s="10" t="str">
        <f t="shared" si="193"/>
        <v>faible</v>
      </c>
      <c r="AN941" s="10" t="s">
        <v>2837</v>
      </c>
      <c r="AO941" s="10" t="str">
        <f t="shared" si="194"/>
        <v>Moyenne</v>
      </c>
    </row>
    <row r="942" spans="1:41">
      <c r="A942" t="s">
        <v>2700</v>
      </c>
      <c r="B942" s="2">
        <v>45863</v>
      </c>
      <c r="C942" t="s">
        <v>2701</v>
      </c>
      <c r="D942" t="s">
        <v>181</v>
      </c>
      <c r="E942" t="s">
        <v>315</v>
      </c>
      <c r="F942" t="s">
        <v>121</v>
      </c>
      <c r="G942">
        <v>1</v>
      </c>
      <c r="H942" s="4">
        <v>145</v>
      </c>
      <c r="I942" s="3">
        <v>0.05</v>
      </c>
      <c r="J942" t="s">
        <v>90</v>
      </c>
      <c r="K942" t="s">
        <v>46</v>
      </c>
      <c r="L942" t="s">
        <v>2702</v>
      </c>
      <c r="M942" t="s">
        <v>54</v>
      </c>
      <c r="N942" t="s">
        <v>112</v>
      </c>
      <c r="O942" t="s">
        <v>184</v>
      </c>
      <c r="P942" t="s">
        <v>103</v>
      </c>
      <c r="Q942" t="s">
        <v>52</v>
      </c>
      <c r="R942" t="s">
        <v>317</v>
      </c>
      <c r="S942" t="s">
        <v>69</v>
      </c>
      <c r="T942" t="s">
        <v>125</v>
      </c>
      <c r="U942" s="5">
        <v>49</v>
      </c>
      <c r="V942" s="5" t="s">
        <v>85</v>
      </c>
      <c r="W942" s="5">
        <v>48</v>
      </c>
      <c r="X942" s="5">
        <v>7.2</v>
      </c>
      <c r="Y942" s="5">
        <v>2</v>
      </c>
      <c r="Z942" s="5" t="s">
        <v>117</v>
      </c>
      <c r="AA942" s="6">
        <v>97.15</v>
      </c>
      <c r="AB942" s="8">
        <f t="shared" si="182"/>
        <v>145</v>
      </c>
      <c r="AC942" s="8">
        <f t="shared" si="183"/>
        <v>7.25</v>
      </c>
      <c r="AD942" s="8">
        <f t="shared" si="184"/>
        <v>137.75</v>
      </c>
      <c r="AE942" s="8">
        <f t="shared" si="185"/>
        <v>97.15</v>
      </c>
      <c r="AF942" s="8">
        <f t="shared" si="186"/>
        <v>40.599999999999994</v>
      </c>
      <c r="AG942" s="9">
        <f t="shared" si="187"/>
        <v>0.29473684210526313</v>
      </c>
      <c r="AH942" s="10">
        <f t="shared" si="188"/>
        <v>2025</v>
      </c>
      <c r="AI942" s="10">
        <f t="shared" si="189"/>
        <v>7</v>
      </c>
      <c r="AJ942" s="10" t="str">
        <f t="shared" si="190"/>
        <v>2025-07</v>
      </c>
      <c r="AK942" s="10" t="str">
        <f t="shared" si="191"/>
        <v>T3</v>
      </c>
      <c r="AL942" s="10" t="str">
        <f t="shared" si="192"/>
        <v>40-49</v>
      </c>
      <c r="AM942" s="10" t="str">
        <f t="shared" si="193"/>
        <v>bon</v>
      </c>
      <c r="AN942" s="10" t="s">
        <v>2838</v>
      </c>
      <c r="AO942" s="10" t="str">
        <f t="shared" si="194"/>
        <v>Faible</v>
      </c>
    </row>
    <row r="943" spans="1:41">
      <c r="A943" t="s">
        <v>2703</v>
      </c>
      <c r="B943" s="2">
        <v>45966</v>
      </c>
      <c r="C943" t="s">
        <v>2704</v>
      </c>
      <c r="D943" t="s">
        <v>128</v>
      </c>
      <c r="E943" t="s">
        <v>345</v>
      </c>
      <c r="F943" t="s">
        <v>434</v>
      </c>
      <c r="G943">
        <v>1</v>
      </c>
      <c r="H943" s="4">
        <v>190</v>
      </c>
      <c r="I943" s="3">
        <v>0.02</v>
      </c>
      <c r="J943" t="s">
        <v>90</v>
      </c>
      <c r="K943" t="s">
        <v>46</v>
      </c>
      <c r="L943" t="s">
        <v>2705</v>
      </c>
      <c r="M943" t="s">
        <v>79</v>
      </c>
      <c r="N943" t="s">
        <v>112</v>
      </c>
      <c r="O943" t="s">
        <v>132</v>
      </c>
      <c r="P943" t="s">
        <v>133</v>
      </c>
      <c r="Q943" t="s">
        <v>52</v>
      </c>
      <c r="R943" t="s">
        <v>347</v>
      </c>
      <c r="S943" t="s">
        <v>54</v>
      </c>
      <c r="T943" t="s">
        <v>436</v>
      </c>
      <c r="U943" s="5">
        <v>55</v>
      </c>
      <c r="V943" s="5" t="s">
        <v>56</v>
      </c>
      <c r="W943" s="5">
        <v>40</v>
      </c>
      <c r="X943" s="5">
        <v>3.8</v>
      </c>
      <c r="Y943" s="5">
        <v>9</v>
      </c>
      <c r="Z943" s="5" t="s">
        <v>71</v>
      </c>
      <c r="AA943" s="6">
        <v>148.19999999999999</v>
      </c>
      <c r="AB943" s="8">
        <f t="shared" si="182"/>
        <v>190</v>
      </c>
      <c r="AC943" s="8">
        <f t="shared" si="183"/>
        <v>3.8000000000000003</v>
      </c>
      <c r="AD943" s="8">
        <f t="shared" si="184"/>
        <v>186.2</v>
      </c>
      <c r="AE943" s="8">
        <f t="shared" si="185"/>
        <v>148.19999999999999</v>
      </c>
      <c r="AF943" s="8">
        <f t="shared" si="186"/>
        <v>38</v>
      </c>
      <c r="AG943" s="9">
        <f t="shared" si="187"/>
        <v>0.20408163265306123</v>
      </c>
      <c r="AH943" s="10">
        <f t="shared" si="188"/>
        <v>2025</v>
      </c>
      <c r="AI943" s="10">
        <f t="shared" si="189"/>
        <v>11</v>
      </c>
      <c r="AJ943" s="10" t="str">
        <f t="shared" si="190"/>
        <v>2025-11</v>
      </c>
      <c r="AK943" s="10" t="str">
        <f t="shared" si="191"/>
        <v>T4</v>
      </c>
      <c r="AL943" s="10" t="str">
        <f t="shared" si="192"/>
        <v>50+</v>
      </c>
      <c r="AM943" s="10" t="str">
        <f t="shared" si="193"/>
        <v>faible</v>
      </c>
      <c r="AN943" s="10" t="s">
        <v>2837</v>
      </c>
      <c r="AO943" s="10" t="str">
        <f t="shared" si="194"/>
        <v>Faible</v>
      </c>
    </row>
    <row r="944" spans="1:41">
      <c r="A944" t="s">
        <v>2706</v>
      </c>
      <c r="B944" s="2">
        <v>45820</v>
      </c>
      <c r="C944" t="s">
        <v>2168</v>
      </c>
      <c r="D944" t="s">
        <v>162</v>
      </c>
      <c r="E944" t="s">
        <v>207</v>
      </c>
      <c r="F944" t="s">
        <v>424</v>
      </c>
      <c r="G944">
        <v>1</v>
      </c>
      <c r="H944" s="4">
        <v>35</v>
      </c>
      <c r="I944" s="3">
        <v>0.02</v>
      </c>
      <c r="J944" t="s">
        <v>77</v>
      </c>
      <c r="K944" t="s">
        <v>46</v>
      </c>
      <c r="L944" t="s">
        <v>2169</v>
      </c>
      <c r="M944" t="s">
        <v>79</v>
      </c>
      <c r="N944" t="s">
        <v>101</v>
      </c>
      <c r="O944" t="s">
        <v>166</v>
      </c>
      <c r="P944" t="s">
        <v>103</v>
      </c>
      <c r="Q944" t="s">
        <v>143</v>
      </c>
      <c r="R944" t="s">
        <v>210</v>
      </c>
      <c r="S944" t="s">
        <v>79</v>
      </c>
      <c r="T944" t="s">
        <v>426</v>
      </c>
      <c r="U944" s="5">
        <v>40</v>
      </c>
      <c r="V944" s="5" t="s">
        <v>56</v>
      </c>
      <c r="W944" s="5">
        <v>39</v>
      </c>
      <c r="X944" s="5">
        <v>8.6999999999999993</v>
      </c>
      <c r="Y944" s="5">
        <v>2</v>
      </c>
      <c r="Z944" s="5" t="s">
        <v>57</v>
      </c>
      <c r="AA944" s="6">
        <v>24.15</v>
      </c>
      <c r="AB944" s="8">
        <f t="shared" si="182"/>
        <v>35</v>
      </c>
      <c r="AC944" s="8">
        <f t="shared" si="183"/>
        <v>0.70000000000000007</v>
      </c>
      <c r="AD944" s="8">
        <f t="shared" si="184"/>
        <v>34.299999999999997</v>
      </c>
      <c r="AE944" s="8">
        <f t="shared" si="185"/>
        <v>24.15</v>
      </c>
      <c r="AF944" s="8">
        <f t="shared" si="186"/>
        <v>10.149999999999999</v>
      </c>
      <c r="AG944" s="9">
        <f t="shared" si="187"/>
        <v>0.29591836734693877</v>
      </c>
      <c r="AH944" s="10">
        <f t="shared" si="188"/>
        <v>2025</v>
      </c>
      <c r="AI944" s="10">
        <f t="shared" si="189"/>
        <v>6</v>
      </c>
      <c r="AJ944" s="10" t="str">
        <f t="shared" si="190"/>
        <v>2025-06</v>
      </c>
      <c r="AK944" s="10" t="str">
        <f t="shared" si="191"/>
        <v>T2</v>
      </c>
      <c r="AL944" s="10" t="str">
        <f t="shared" si="192"/>
        <v>40-49</v>
      </c>
      <c r="AM944" s="10" t="str">
        <f t="shared" si="193"/>
        <v>bon</v>
      </c>
      <c r="AN944" s="10" t="s">
        <v>2838</v>
      </c>
      <c r="AO944" s="10" t="str">
        <f t="shared" si="194"/>
        <v>Faible</v>
      </c>
    </row>
    <row r="945" spans="1:41">
      <c r="A945" t="s">
        <v>2707</v>
      </c>
      <c r="B945" s="2">
        <v>45999</v>
      </c>
      <c r="C945" t="s">
        <v>2556</v>
      </c>
      <c r="D945" t="s">
        <v>181</v>
      </c>
      <c r="E945" t="s">
        <v>139</v>
      </c>
      <c r="F945" t="s">
        <v>282</v>
      </c>
      <c r="G945">
        <v>3</v>
      </c>
      <c r="H945" s="4">
        <v>145</v>
      </c>
      <c r="I945" s="3">
        <v>0</v>
      </c>
      <c r="J945" t="s">
        <v>77</v>
      </c>
      <c r="K945" t="s">
        <v>46</v>
      </c>
      <c r="L945" t="s">
        <v>2557</v>
      </c>
      <c r="M945" t="s">
        <v>54</v>
      </c>
      <c r="N945" t="s">
        <v>101</v>
      </c>
      <c r="O945" t="s">
        <v>184</v>
      </c>
      <c r="P945" t="s">
        <v>103</v>
      </c>
      <c r="Q945" t="s">
        <v>52</v>
      </c>
      <c r="R945" t="s">
        <v>144</v>
      </c>
      <c r="S945" t="s">
        <v>65</v>
      </c>
      <c r="T945" t="s">
        <v>284</v>
      </c>
      <c r="U945" s="5">
        <v>34</v>
      </c>
      <c r="V945" s="5" t="s">
        <v>85</v>
      </c>
      <c r="W945" s="5">
        <v>3</v>
      </c>
      <c r="X945" s="5">
        <v>6.2</v>
      </c>
      <c r="Y945" s="5">
        <v>4</v>
      </c>
      <c r="Z945" s="5" t="s">
        <v>57</v>
      </c>
      <c r="AA945" s="6">
        <v>97.15</v>
      </c>
      <c r="AB945" s="8">
        <f t="shared" si="182"/>
        <v>435</v>
      </c>
      <c r="AC945" s="8">
        <f t="shared" si="183"/>
        <v>0</v>
      </c>
      <c r="AD945" s="8">
        <f t="shared" si="184"/>
        <v>435</v>
      </c>
      <c r="AE945" s="8">
        <f t="shared" si="185"/>
        <v>291.45000000000005</v>
      </c>
      <c r="AF945" s="8">
        <f t="shared" si="186"/>
        <v>143.54999999999995</v>
      </c>
      <c r="AG945" s="9">
        <f t="shared" si="187"/>
        <v>0.3299999999999999</v>
      </c>
      <c r="AH945" s="10">
        <f t="shared" si="188"/>
        <v>2025</v>
      </c>
      <c r="AI945" s="10">
        <f t="shared" si="189"/>
        <v>12</v>
      </c>
      <c r="AJ945" s="10" t="str">
        <f t="shared" si="190"/>
        <v>2025-12</v>
      </c>
      <c r="AK945" s="10" t="str">
        <f t="shared" si="191"/>
        <v>T4</v>
      </c>
      <c r="AL945" s="10" t="str">
        <f t="shared" si="192"/>
        <v>30-39</v>
      </c>
      <c r="AM945" s="10" t="str">
        <f t="shared" si="193"/>
        <v>moyen</v>
      </c>
      <c r="AN945" s="10" t="s">
        <v>2839</v>
      </c>
      <c r="AO945" s="10" t="str">
        <f t="shared" si="194"/>
        <v>Faible</v>
      </c>
    </row>
    <row r="946" spans="1:41">
      <c r="A946" t="s">
        <v>2708</v>
      </c>
      <c r="B946" s="2">
        <v>45860</v>
      </c>
      <c r="C946" t="s">
        <v>2709</v>
      </c>
      <c r="D946" t="s">
        <v>108</v>
      </c>
      <c r="E946" t="s">
        <v>219</v>
      </c>
      <c r="F946" t="s">
        <v>813</v>
      </c>
      <c r="G946">
        <v>2</v>
      </c>
      <c r="H946" s="4">
        <v>240</v>
      </c>
      <c r="I946" s="3">
        <v>0</v>
      </c>
      <c r="J946" t="s">
        <v>90</v>
      </c>
      <c r="K946" t="s">
        <v>46</v>
      </c>
      <c r="L946" t="s">
        <v>2710</v>
      </c>
      <c r="M946" t="s">
        <v>65</v>
      </c>
      <c r="N946" t="s">
        <v>49</v>
      </c>
      <c r="O946" t="s">
        <v>113</v>
      </c>
      <c r="P946" t="s">
        <v>82</v>
      </c>
      <c r="Q946" t="s">
        <v>114</v>
      </c>
      <c r="R946" t="s">
        <v>222</v>
      </c>
      <c r="S946" t="s">
        <v>123</v>
      </c>
      <c r="T946" t="s">
        <v>815</v>
      </c>
      <c r="U946" s="5">
        <v>25</v>
      </c>
      <c r="V946" s="5" t="s">
        <v>85</v>
      </c>
      <c r="W946" s="5">
        <v>45</v>
      </c>
      <c r="X946" s="5">
        <v>5.8</v>
      </c>
      <c r="Y946" s="5">
        <v>6</v>
      </c>
      <c r="Z946" s="5" t="s">
        <v>117</v>
      </c>
      <c r="AA946" s="6">
        <v>177.6</v>
      </c>
      <c r="AB946" s="8">
        <f t="shared" si="182"/>
        <v>480</v>
      </c>
      <c r="AC946" s="8">
        <f t="shared" si="183"/>
        <v>0</v>
      </c>
      <c r="AD946" s="8">
        <f t="shared" si="184"/>
        <v>480</v>
      </c>
      <c r="AE946" s="8">
        <f t="shared" si="185"/>
        <v>355.2</v>
      </c>
      <c r="AF946" s="8">
        <f t="shared" si="186"/>
        <v>124.80000000000001</v>
      </c>
      <c r="AG946" s="9">
        <f t="shared" si="187"/>
        <v>0.26</v>
      </c>
      <c r="AH946" s="10">
        <f t="shared" si="188"/>
        <v>2025</v>
      </c>
      <c r="AI946" s="10">
        <f t="shared" si="189"/>
        <v>7</v>
      </c>
      <c r="AJ946" s="10" t="str">
        <f t="shared" si="190"/>
        <v>2025-07</v>
      </c>
      <c r="AK946" s="10" t="str">
        <f t="shared" si="191"/>
        <v>T3</v>
      </c>
      <c r="AL946" s="10" t="str">
        <f t="shared" si="192"/>
        <v>22-29</v>
      </c>
      <c r="AM946" s="10" t="str">
        <f t="shared" si="193"/>
        <v>moyen</v>
      </c>
      <c r="AN946" s="10" t="s">
        <v>2839</v>
      </c>
      <c r="AO946" s="10" t="str">
        <f t="shared" si="194"/>
        <v>Faible</v>
      </c>
    </row>
    <row r="947" spans="1:41">
      <c r="A947" t="s">
        <v>2711</v>
      </c>
      <c r="B947" s="2">
        <v>45762</v>
      </c>
      <c r="C947" t="s">
        <v>2712</v>
      </c>
      <c r="D947" t="s">
        <v>188</v>
      </c>
      <c r="E947" t="s">
        <v>163</v>
      </c>
      <c r="F947" t="s">
        <v>1303</v>
      </c>
      <c r="G947">
        <v>3</v>
      </c>
      <c r="H947" s="4">
        <v>350</v>
      </c>
      <c r="I947" s="3">
        <v>0.1</v>
      </c>
      <c r="J947" t="s">
        <v>90</v>
      </c>
      <c r="K947" t="s">
        <v>46</v>
      </c>
      <c r="L947" t="s">
        <v>2713</v>
      </c>
      <c r="M947" t="s">
        <v>48</v>
      </c>
      <c r="N947" t="s">
        <v>112</v>
      </c>
      <c r="O947" t="s">
        <v>192</v>
      </c>
      <c r="P947" t="s">
        <v>51</v>
      </c>
      <c r="Q947" t="s">
        <v>114</v>
      </c>
      <c r="R947" t="s">
        <v>167</v>
      </c>
      <c r="S947" t="s">
        <v>123</v>
      </c>
      <c r="T947" t="s">
        <v>1305</v>
      </c>
      <c r="U947" s="5">
        <v>24</v>
      </c>
      <c r="V947" s="5" t="s">
        <v>85</v>
      </c>
      <c r="W947" s="5">
        <v>41</v>
      </c>
      <c r="X947" s="5">
        <v>4.9000000000000004</v>
      </c>
      <c r="Y947" s="5">
        <v>7</v>
      </c>
      <c r="Z947" s="5" t="s">
        <v>71</v>
      </c>
      <c r="AA947" s="6">
        <v>213.5</v>
      </c>
      <c r="AB947" s="8">
        <f t="shared" si="182"/>
        <v>1050</v>
      </c>
      <c r="AC947" s="8">
        <f t="shared" si="183"/>
        <v>105</v>
      </c>
      <c r="AD947" s="8">
        <f t="shared" si="184"/>
        <v>945</v>
      </c>
      <c r="AE947" s="8">
        <f t="shared" si="185"/>
        <v>640.5</v>
      </c>
      <c r="AF947" s="8">
        <f t="shared" si="186"/>
        <v>304.5</v>
      </c>
      <c r="AG947" s="9">
        <f t="shared" si="187"/>
        <v>0.32222222222222224</v>
      </c>
      <c r="AH947" s="10">
        <f t="shared" si="188"/>
        <v>2025</v>
      </c>
      <c r="AI947" s="10">
        <f t="shared" si="189"/>
        <v>4</v>
      </c>
      <c r="AJ947" s="10" t="str">
        <f t="shared" si="190"/>
        <v>2025-04</v>
      </c>
      <c r="AK947" s="10" t="str">
        <f t="shared" si="191"/>
        <v>T2</v>
      </c>
      <c r="AL947" s="10" t="str">
        <f t="shared" si="192"/>
        <v>22-29</v>
      </c>
      <c r="AM947" s="10" t="str">
        <f t="shared" si="193"/>
        <v>faible</v>
      </c>
      <c r="AN947" s="10" t="s">
        <v>2837</v>
      </c>
      <c r="AO947" s="10" t="str">
        <f t="shared" si="194"/>
        <v>Moyenne</v>
      </c>
    </row>
    <row r="948" spans="1:41">
      <c r="A948" t="s">
        <v>2714</v>
      </c>
      <c r="B948" s="2">
        <v>45705</v>
      </c>
      <c r="C948" t="s">
        <v>2715</v>
      </c>
      <c r="D948" t="s">
        <v>138</v>
      </c>
      <c r="E948" t="s">
        <v>75</v>
      </c>
      <c r="F948" t="s">
        <v>243</v>
      </c>
      <c r="G948">
        <v>5</v>
      </c>
      <c r="H948" s="4">
        <v>120</v>
      </c>
      <c r="I948" s="3">
        <v>0.1</v>
      </c>
      <c r="J948" t="s">
        <v>45</v>
      </c>
      <c r="K948" t="s">
        <v>46</v>
      </c>
      <c r="L948" t="s">
        <v>2716</v>
      </c>
      <c r="M948" t="s">
        <v>48</v>
      </c>
      <c r="N948" t="s">
        <v>80</v>
      </c>
      <c r="O948" t="s">
        <v>142</v>
      </c>
      <c r="P948" t="s">
        <v>51</v>
      </c>
      <c r="Q948" t="s">
        <v>143</v>
      </c>
      <c r="R948" t="s">
        <v>83</v>
      </c>
      <c r="S948" t="s">
        <v>69</v>
      </c>
      <c r="T948" t="s">
        <v>245</v>
      </c>
      <c r="U948" s="5">
        <v>31</v>
      </c>
      <c r="V948" s="5" t="s">
        <v>56</v>
      </c>
      <c r="W948" s="5">
        <v>43</v>
      </c>
      <c r="X948" s="5">
        <v>5.0999999999999996</v>
      </c>
      <c r="Y948" s="5">
        <v>6</v>
      </c>
      <c r="Z948" s="5" t="s">
        <v>94</v>
      </c>
      <c r="AA948" s="6">
        <v>73.2</v>
      </c>
      <c r="AB948" s="8">
        <f t="shared" si="182"/>
        <v>600</v>
      </c>
      <c r="AC948" s="8">
        <f t="shared" si="183"/>
        <v>60</v>
      </c>
      <c r="AD948" s="8">
        <f t="shared" si="184"/>
        <v>540</v>
      </c>
      <c r="AE948" s="8">
        <f t="shared" si="185"/>
        <v>366</v>
      </c>
      <c r="AF948" s="8">
        <f t="shared" si="186"/>
        <v>174</v>
      </c>
      <c r="AG948" s="9">
        <f t="shared" si="187"/>
        <v>0.32222222222222224</v>
      </c>
      <c r="AH948" s="10">
        <f t="shared" si="188"/>
        <v>2025</v>
      </c>
      <c r="AI948" s="10">
        <f t="shared" si="189"/>
        <v>2</v>
      </c>
      <c r="AJ948" s="10" t="str">
        <f t="shared" si="190"/>
        <v>2025-02</v>
      </c>
      <c r="AK948" s="10" t="str">
        <f t="shared" si="191"/>
        <v>T1</v>
      </c>
      <c r="AL948" s="10" t="str">
        <f t="shared" si="192"/>
        <v>30-39</v>
      </c>
      <c r="AM948" s="10" t="str">
        <f t="shared" si="193"/>
        <v>moyen</v>
      </c>
      <c r="AN948" s="10" t="s">
        <v>2839</v>
      </c>
      <c r="AO948" s="10" t="str">
        <f t="shared" si="194"/>
        <v>Moyenne</v>
      </c>
    </row>
    <row r="949" spans="1:41">
      <c r="A949" t="s">
        <v>2717</v>
      </c>
      <c r="B949" s="2">
        <v>45872</v>
      </c>
      <c r="C949" t="s">
        <v>2718</v>
      </c>
      <c r="D949" t="s">
        <v>340</v>
      </c>
      <c r="E949" t="s">
        <v>207</v>
      </c>
      <c r="F949" t="s">
        <v>323</v>
      </c>
      <c r="G949">
        <v>1</v>
      </c>
      <c r="H949" s="4">
        <v>22</v>
      </c>
      <c r="I949" s="3">
        <v>0.05</v>
      </c>
      <c r="J949" t="s">
        <v>77</v>
      </c>
      <c r="K949" t="s">
        <v>46</v>
      </c>
      <c r="L949" t="s">
        <v>2719</v>
      </c>
      <c r="M949" t="s">
        <v>123</v>
      </c>
      <c r="N949" t="s">
        <v>49</v>
      </c>
      <c r="O949" t="s">
        <v>342</v>
      </c>
      <c r="P949" t="s">
        <v>103</v>
      </c>
      <c r="Q949" t="s">
        <v>143</v>
      </c>
      <c r="R949" t="s">
        <v>210</v>
      </c>
      <c r="S949" t="s">
        <v>79</v>
      </c>
      <c r="T949" t="s">
        <v>325</v>
      </c>
      <c r="U949" s="5">
        <v>24</v>
      </c>
      <c r="V949" s="5" t="s">
        <v>85</v>
      </c>
      <c r="W949" s="5">
        <v>47</v>
      </c>
      <c r="X949" s="5">
        <v>6</v>
      </c>
      <c r="Y949" s="5">
        <v>6</v>
      </c>
      <c r="Z949" s="5" t="s">
        <v>57</v>
      </c>
      <c r="AA949" s="6">
        <v>14.96</v>
      </c>
      <c r="AB949" s="8">
        <f t="shared" si="182"/>
        <v>22</v>
      </c>
      <c r="AC949" s="8">
        <f t="shared" si="183"/>
        <v>1.1000000000000001</v>
      </c>
      <c r="AD949" s="8">
        <f t="shared" si="184"/>
        <v>20.9</v>
      </c>
      <c r="AE949" s="8">
        <f t="shared" si="185"/>
        <v>14.96</v>
      </c>
      <c r="AF949" s="8">
        <f t="shared" si="186"/>
        <v>5.9399999999999977</v>
      </c>
      <c r="AG949" s="9">
        <f t="shared" si="187"/>
        <v>0.28421052631578936</v>
      </c>
      <c r="AH949" s="10">
        <f t="shared" si="188"/>
        <v>2025</v>
      </c>
      <c r="AI949" s="10">
        <f t="shared" si="189"/>
        <v>8</v>
      </c>
      <c r="AJ949" s="10" t="str">
        <f t="shared" si="190"/>
        <v>2025-08</v>
      </c>
      <c r="AK949" s="10" t="str">
        <f t="shared" si="191"/>
        <v>T3</v>
      </c>
      <c r="AL949" s="10" t="str">
        <f t="shared" si="192"/>
        <v>22-29</v>
      </c>
      <c r="AM949" s="10" t="str">
        <f t="shared" si="193"/>
        <v>moyen</v>
      </c>
      <c r="AN949" s="10" t="s">
        <v>2839</v>
      </c>
      <c r="AO949" s="10" t="str">
        <f t="shared" si="194"/>
        <v>Faible</v>
      </c>
    </row>
    <row r="950" spans="1:41">
      <c r="A950" t="s">
        <v>2720</v>
      </c>
      <c r="B950" s="2">
        <v>45876</v>
      </c>
      <c r="C950" t="s">
        <v>731</v>
      </c>
      <c r="D950" t="s">
        <v>155</v>
      </c>
      <c r="E950" t="s">
        <v>163</v>
      </c>
      <c r="F950" t="s">
        <v>110</v>
      </c>
      <c r="G950">
        <v>5</v>
      </c>
      <c r="H950" s="4">
        <v>48</v>
      </c>
      <c r="I950" s="3">
        <v>0</v>
      </c>
      <c r="J950" t="s">
        <v>45</v>
      </c>
      <c r="K950" t="s">
        <v>46</v>
      </c>
      <c r="L950" t="s">
        <v>732</v>
      </c>
      <c r="M950" t="s">
        <v>69</v>
      </c>
      <c r="N950" t="s">
        <v>112</v>
      </c>
      <c r="O950" t="s">
        <v>158</v>
      </c>
      <c r="P950" t="s">
        <v>51</v>
      </c>
      <c r="Q950" t="s">
        <v>143</v>
      </c>
      <c r="R950" t="s">
        <v>167</v>
      </c>
      <c r="S950" t="s">
        <v>123</v>
      </c>
      <c r="T950" t="s">
        <v>116</v>
      </c>
      <c r="U950" s="5">
        <v>38</v>
      </c>
      <c r="V950" s="5" t="s">
        <v>85</v>
      </c>
      <c r="W950" s="5">
        <v>14</v>
      </c>
      <c r="X950" s="5">
        <v>3.3</v>
      </c>
      <c r="Y950" s="5">
        <v>9</v>
      </c>
      <c r="Z950" s="5" t="s">
        <v>71</v>
      </c>
      <c r="AA950" s="6">
        <v>37.44</v>
      </c>
      <c r="AB950" s="8">
        <f t="shared" si="182"/>
        <v>240</v>
      </c>
      <c r="AC950" s="8">
        <f t="shared" si="183"/>
        <v>0</v>
      </c>
      <c r="AD950" s="8">
        <f t="shared" si="184"/>
        <v>240</v>
      </c>
      <c r="AE950" s="8">
        <f t="shared" si="185"/>
        <v>187.2</v>
      </c>
      <c r="AF950" s="8">
        <f t="shared" si="186"/>
        <v>52.800000000000011</v>
      </c>
      <c r="AG950" s="9">
        <f t="shared" si="187"/>
        <v>0.22000000000000006</v>
      </c>
      <c r="AH950" s="10">
        <f t="shared" si="188"/>
        <v>2025</v>
      </c>
      <c r="AI950" s="10">
        <f t="shared" si="189"/>
        <v>8</v>
      </c>
      <c r="AJ950" s="10" t="str">
        <f t="shared" si="190"/>
        <v>2025-08</v>
      </c>
      <c r="AK950" s="10" t="str">
        <f t="shared" si="191"/>
        <v>T3</v>
      </c>
      <c r="AL950" s="10" t="str">
        <f t="shared" si="192"/>
        <v>30-39</v>
      </c>
      <c r="AM950" s="10" t="str">
        <f t="shared" si="193"/>
        <v>faible</v>
      </c>
      <c r="AN950" s="10" t="s">
        <v>2837</v>
      </c>
      <c r="AO950" s="10" t="str">
        <f t="shared" si="194"/>
        <v>Faible</v>
      </c>
    </row>
    <row r="951" spans="1:41">
      <c r="A951" t="s">
        <v>2721</v>
      </c>
      <c r="B951" s="2">
        <v>45821</v>
      </c>
      <c r="C951" t="s">
        <v>2722</v>
      </c>
      <c r="D951" t="s">
        <v>128</v>
      </c>
      <c r="E951" t="s">
        <v>61</v>
      </c>
      <c r="F951" t="s">
        <v>140</v>
      </c>
      <c r="G951">
        <v>2</v>
      </c>
      <c r="H951" s="4">
        <v>190</v>
      </c>
      <c r="I951" s="3">
        <v>0</v>
      </c>
      <c r="J951" t="s">
        <v>45</v>
      </c>
      <c r="K951" t="s">
        <v>46</v>
      </c>
      <c r="L951" t="s">
        <v>2723</v>
      </c>
      <c r="M951" t="s">
        <v>79</v>
      </c>
      <c r="N951" t="s">
        <v>80</v>
      </c>
      <c r="O951" t="s">
        <v>132</v>
      </c>
      <c r="P951" t="s">
        <v>133</v>
      </c>
      <c r="Q951" t="s">
        <v>52</v>
      </c>
      <c r="R951" t="s">
        <v>68</v>
      </c>
      <c r="S951" t="s">
        <v>69</v>
      </c>
      <c r="T951" t="s">
        <v>145</v>
      </c>
      <c r="U951" s="5">
        <v>34</v>
      </c>
      <c r="V951" s="5" t="s">
        <v>85</v>
      </c>
      <c r="W951" s="5">
        <v>45</v>
      </c>
      <c r="X951" s="5">
        <v>5</v>
      </c>
      <c r="Y951" s="5">
        <v>7</v>
      </c>
      <c r="Z951" s="5" t="s">
        <v>71</v>
      </c>
      <c r="AA951" s="6">
        <v>148.19999999999999</v>
      </c>
      <c r="AB951" s="8">
        <f t="shared" si="182"/>
        <v>380</v>
      </c>
      <c r="AC951" s="8">
        <f t="shared" si="183"/>
        <v>0</v>
      </c>
      <c r="AD951" s="8">
        <f t="shared" si="184"/>
        <v>380</v>
      </c>
      <c r="AE951" s="8">
        <f t="shared" si="185"/>
        <v>296.39999999999998</v>
      </c>
      <c r="AF951" s="8">
        <f t="shared" si="186"/>
        <v>83.600000000000023</v>
      </c>
      <c r="AG951" s="9">
        <f t="shared" si="187"/>
        <v>0.22000000000000006</v>
      </c>
      <c r="AH951" s="10">
        <f t="shared" si="188"/>
        <v>2025</v>
      </c>
      <c r="AI951" s="10">
        <f t="shared" si="189"/>
        <v>6</v>
      </c>
      <c r="AJ951" s="10" t="str">
        <f t="shared" si="190"/>
        <v>2025-06</v>
      </c>
      <c r="AK951" s="10" t="str">
        <f t="shared" si="191"/>
        <v>T2</v>
      </c>
      <c r="AL951" s="10" t="str">
        <f t="shared" si="192"/>
        <v>30-39</v>
      </c>
      <c r="AM951" s="10" t="str">
        <f t="shared" si="193"/>
        <v>moyen</v>
      </c>
      <c r="AN951" s="10" t="s">
        <v>2837</v>
      </c>
      <c r="AO951" s="10" t="str">
        <f t="shared" si="194"/>
        <v>Faible</v>
      </c>
    </row>
    <row r="952" spans="1:41">
      <c r="A952" t="s">
        <v>2724</v>
      </c>
      <c r="B952" s="2">
        <v>46017</v>
      </c>
      <c r="C952" t="s">
        <v>2725</v>
      </c>
      <c r="D952" t="s">
        <v>138</v>
      </c>
      <c r="E952" t="s">
        <v>277</v>
      </c>
      <c r="F952" t="s">
        <v>208</v>
      </c>
      <c r="G952">
        <v>3</v>
      </c>
      <c r="H952" s="4">
        <v>120</v>
      </c>
      <c r="I952" s="3">
        <v>0.08</v>
      </c>
      <c r="J952" t="s">
        <v>63</v>
      </c>
      <c r="K952" t="s">
        <v>46</v>
      </c>
      <c r="L952" t="s">
        <v>2726</v>
      </c>
      <c r="M952" t="s">
        <v>65</v>
      </c>
      <c r="N952" t="s">
        <v>101</v>
      </c>
      <c r="O952" t="s">
        <v>142</v>
      </c>
      <c r="P952" t="s">
        <v>51</v>
      </c>
      <c r="Q952" t="s">
        <v>143</v>
      </c>
      <c r="R952" t="s">
        <v>279</v>
      </c>
      <c r="S952" t="s">
        <v>54</v>
      </c>
      <c r="T952" t="s">
        <v>211</v>
      </c>
      <c r="U952" s="5">
        <v>45</v>
      </c>
      <c r="V952" s="5" t="s">
        <v>56</v>
      </c>
      <c r="W952" s="5">
        <v>26</v>
      </c>
      <c r="X952" s="5">
        <v>3.3</v>
      </c>
      <c r="Y952" s="5">
        <v>9</v>
      </c>
      <c r="Z952" s="5" t="s">
        <v>117</v>
      </c>
      <c r="AA952" s="6">
        <v>73.2</v>
      </c>
      <c r="AB952" s="8">
        <f t="shared" si="182"/>
        <v>360</v>
      </c>
      <c r="AC952" s="8">
        <f t="shared" si="183"/>
        <v>28.8</v>
      </c>
      <c r="AD952" s="8">
        <f t="shared" si="184"/>
        <v>331.2</v>
      </c>
      <c r="AE952" s="8">
        <f t="shared" si="185"/>
        <v>219.60000000000002</v>
      </c>
      <c r="AF952" s="8">
        <f t="shared" si="186"/>
        <v>111.59999999999997</v>
      </c>
      <c r="AG952" s="9">
        <f t="shared" si="187"/>
        <v>0.33695652173913032</v>
      </c>
      <c r="AH952" s="10">
        <f t="shared" si="188"/>
        <v>2025</v>
      </c>
      <c r="AI952" s="10">
        <f t="shared" si="189"/>
        <v>12</v>
      </c>
      <c r="AJ952" s="10" t="str">
        <f t="shared" si="190"/>
        <v>2025-12</v>
      </c>
      <c r="AK952" s="10" t="str">
        <f t="shared" si="191"/>
        <v>T4</v>
      </c>
      <c r="AL952" s="10" t="str">
        <f t="shared" si="192"/>
        <v>40-49</v>
      </c>
      <c r="AM952" s="10" t="str">
        <f t="shared" si="193"/>
        <v>faible</v>
      </c>
      <c r="AN952" s="10" t="s">
        <v>2837</v>
      </c>
      <c r="AO952" s="10" t="str">
        <f t="shared" si="194"/>
        <v>Faible</v>
      </c>
    </row>
    <row r="953" spans="1:41">
      <c r="A953" t="s">
        <v>2727</v>
      </c>
      <c r="B953" s="2">
        <v>45689</v>
      </c>
      <c r="C953" t="s">
        <v>2728</v>
      </c>
      <c r="D953" t="s">
        <v>155</v>
      </c>
      <c r="E953" t="s">
        <v>277</v>
      </c>
      <c r="F953" t="s">
        <v>182</v>
      </c>
      <c r="G953">
        <v>2</v>
      </c>
      <c r="H953" s="4">
        <v>48</v>
      </c>
      <c r="I953" s="3">
        <v>0.02</v>
      </c>
      <c r="J953" t="s">
        <v>45</v>
      </c>
      <c r="K953" t="s">
        <v>46</v>
      </c>
      <c r="L953" t="s">
        <v>2729</v>
      </c>
      <c r="M953" t="s">
        <v>48</v>
      </c>
      <c r="N953" t="s">
        <v>49</v>
      </c>
      <c r="O953" t="s">
        <v>158</v>
      </c>
      <c r="P953" t="s">
        <v>51</v>
      </c>
      <c r="Q953" t="s">
        <v>143</v>
      </c>
      <c r="R953" t="s">
        <v>279</v>
      </c>
      <c r="S953" t="s">
        <v>54</v>
      </c>
      <c r="T953" t="s">
        <v>185</v>
      </c>
      <c r="U953" s="5">
        <v>27</v>
      </c>
      <c r="V953" s="5" t="s">
        <v>85</v>
      </c>
      <c r="W953" s="5">
        <v>30</v>
      </c>
      <c r="X953" s="5">
        <v>4</v>
      </c>
      <c r="Y953" s="5">
        <v>9</v>
      </c>
      <c r="Z953" s="5" t="s">
        <v>117</v>
      </c>
      <c r="AA953" s="6">
        <v>37.44</v>
      </c>
      <c r="AB953" s="8">
        <f t="shared" si="182"/>
        <v>96</v>
      </c>
      <c r="AC953" s="8">
        <f t="shared" si="183"/>
        <v>1.92</v>
      </c>
      <c r="AD953" s="8">
        <f t="shared" si="184"/>
        <v>94.08</v>
      </c>
      <c r="AE953" s="8">
        <f t="shared" si="185"/>
        <v>74.88</v>
      </c>
      <c r="AF953" s="8">
        <f t="shared" si="186"/>
        <v>19.200000000000003</v>
      </c>
      <c r="AG953" s="9">
        <f t="shared" si="187"/>
        <v>0.20408163265306126</v>
      </c>
      <c r="AH953" s="10">
        <f t="shared" si="188"/>
        <v>2025</v>
      </c>
      <c r="AI953" s="10">
        <f t="shared" si="189"/>
        <v>2</v>
      </c>
      <c r="AJ953" s="10" t="str">
        <f t="shared" si="190"/>
        <v>2025-02</v>
      </c>
      <c r="AK953" s="10" t="str">
        <f t="shared" si="191"/>
        <v>T1</v>
      </c>
      <c r="AL953" s="10" t="str">
        <f t="shared" si="192"/>
        <v>22-29</v>
      </c>
      <c r="AM953" s="10" t="str">
        <f t="shared" si="193"/>
        <v>faible</v>
      </c>
      <c r="AN953" s="10" t="s">
        <v>2837</v>
      </c>
      <c r="AO953" s="10" t="str">
        <f t="shared" si="194"/>
        <v>Faible</v>
      </c>
    </row>
    <row r="954" spans="1:41">
      <c r="A954" t="s">
        <v>2730</v>
      </c>
      <c r="B954" s="2">
        <v>45659</v>
      </c>
      <c r="C954" t="s">
        <v>2731</v>
      </c>
      <c r="D954" t="s">
        <v>42</v>
      </c>
      <c r="E954" t="s">
        <v>120</v>
      </c>
      <c r="F954" t="s">
        <v>334</v>
      </c>
      <c r="G954">
        <v>2</v>
      </c>
      <c r="H954" s="4">
        <v>260</v>
      </c>
      <c r="I954" s="3">
        <v>0</v>
      </c>
      <c r="J954" t="s">
        <v>90</v>
      </c>
      <c r="K954" t="s">
        <v>46</v>
      </c>
      <c r="L954" t="s">
        <v>2732</v>
      </c>
      <c r="M954" t="s">
        <v>69</v>
      </c>
      <c r="N954" t="s">
        <v>112</v>
      </c>
      <c r="O954" t="s">
        <v>50</v>
      </c>
      <c r="P954" t="s">
        <v>51</v>
      </c>
      <c r="Q954" t="s">
        <v>52</v>
      </c>
      <c r="R954" t="s">
        <v>124</v>
      </c>
      <c r="S954" t="s">
        <v>48</v>
      </c>
      <c r="T954" t="s">
        <v>337</v>
      </c>
      <c r="U954" s="5">
        <v>59</v>
      </c>
      <c r="V954" s="5" t="s">
        <v>56</v>
      </c>
      <c r="W954" s="5">
        <v>26</v>
      </c>
      <c r="X954" s="5">
        <v>4.0999999999999996</v>
      </c>
      <c r="Y954" s="5">
        <v>7</v>
      </c>
      <c r="Z954" s="5" t="s">
        <v>117</v>
      </c>
      <c r="AA954" s="6">
        <v>189.8</v>
      </c>
      <c r="AB954" s="8">
        <f t="shared" si="182"/>
        <v>520</v>
      </c>
      <c r="AC954" s="8">
        <f t="shared" si="183"/>
        <v>0</v>
      </c>
      <c r="AD954" s="8">
        <f t="shared" si="184"/>
        <v>520</v>
      </c>
      <c r="AE954" s="8">
        <f t="shared" si="185"/>
        <v>379.6</v>
      </c>
      <c r="AF954" s="8">
        <f t="shared" si="186"/>
        <v>140.39999999999998</v>
      </c>
      <c r="AG954" s="9">
        <f t="shared" si="187"/>
        <v>0.26999999999999996</v>
      </c>
      <c r="AH954" s="10">
        <f t="shared" si="188"/>
        <v>2025</v>
      </c>
      <c r="AI954" s="10">
        <f t="shared" si="189"/>
        <v>1</v>
      </c>
      <c r="AJ954" s="10" t="str">
        <f t="shared" si="190"/>
        <v>2025-01</v>
      </c>
      <c r="AK954" s="10" t="str">
        <f t="shared" si="191"/>
        <v>T1</v>
      </c>
      <c r="AL954" s="10" t="str">
        <f t="shared" si="192"/>
        <v>50+</v>
      </c>
      <c r="AM954" s="10" t="str">
        <f t="shared" si="193"/>
        <v>faible</v>
      </c>
      <c r="AN954" s="10" t="s">
        <v>2837</v>
      </c>
      <c r="AO954" s="10" t="str">
        <f t="shared" si="194"/>
        <v>Moyenne</v>
      </c>
    </row>
    <row r="955" spans="1:41">
      <c r="A955" t="s">
        <v>2733</v>
      </c>
      <c r="B955" s="2">
        <v>45887</v>
      </c>
      <c r="C955" t="s">
        <v>2734</v>
      </c>
      <c r="D955" t="s">
        <v>138</v>
      </c>
      <c r="E955" t="s">
        <v>189</v>
      </c>
      <c r="F955" t="s">
        <v>374</v>
      </c>
      <c r="G955">
        <v>6</v>
      </c>
      <c r="H955" s="4">
        <v>120</v>
      </c>
      <c r="I955" s="3">
        <v>0.08</v>
      </c>
      <c r="J955" t="s">
        <v>77</v>
      </c>
      <c r="K955" t="s">
        <v>46</v>
      </c>
      <c r="L955" t="s">
        <v>2735</v>
      </c>
      <c r="M955" t="s">
        <v>48</v>
      </c>
      <c r="N955" t="s">
        <v>49</v>
      </c>
      <c r="O955" t="s">
        <v>142</v>
      </c>
      <c r="P955" t="s">
        <v>51</v>
      </c>
      <c r="Q955" t="s">
        <v>143</v>
      </c>
      <c r="R955" t="s">
        <v>193</v>
      </c>
      <c r="S955" t="s">
        <v>79</v>
      </c>
      <c r="T955" t="s">
        <v>376</v>
      </c>
      <c r="U955" s="5">
        <v>33</v>
      </c>
      <c r="V955" s="5" t="s">
        <v>85</v>
      </c>
      <c r="W955" s="5">
        <v>57</v>
      </c>
      <c r="X955" s="5">
        <v>5.0999999999999996</v>
      </c>
      <c r="Y955" s="5">
        <v>6</v>
      </c>
      <c r="Z955" s="5" t="s">
        <v>117</v>
      </c>
      <c r="AA955" s="6">
        <v>73.2</v>
      </c>
      <c r="AB955" s="8">
        <f t="shared" si="182"/>
        <v>720</v>
      </c>
      <c r="AC955" s="8">
        <f t="shared" si="183"/>
        <v>57.6</v>
      </c>
      <c r="AD955" s="8">
        <f t="shared" si="184"/>
        <v>662.4</v>
      </c>
      <c r="AE955" s="8">
        <f t="shared" si="185"/>
        <v>439.20000000000005</v>
      </c>
      <c r="AF955" s="8">
        <f t="shared" si="186"/>
        <v>223.19999999999993</v>
      </c>
      <c r="AG955" s="9">
        <f t="shared" si="187"/>
        <v>0.33695652173913032</v>
      </c>
      <c r="AH955" s="10">
        <f t="shared" si="188"/>
        <v>2025</v>
      </c>
      <c r="AI955" s="10">
        <f t="shared" si="189"/>
        <v>8</v>
      </c>
      <c r="AJ955" s="10" t="str">
        <f t="shared" si="190"/>
        <v>2025-08</v>
      </c>
      <c r="AK955" s="10" t="str">
        <f t="shared" si="191"/>
        <v>T3</v>
      </c>
      <c r="AL955" s="10" t="str">
        <f t="shared" si="192"/>
        <v>30-39</v>
      </c>
      <c r="AM955" s="10" t="str">
        <f t="shared" si="193"/>
        <v>moyen</v>
      </c>
      <c r="AN955" s="10" t="s">
        <v>2839</v>
      </c>
      <c r="AO955" s="10" t="str">
        <f t="shared" si="194"/>
        <v>Moyenne</v>
      </c>
    </row>
    <row r="956" spans="1:41">
      <c r="A956" t="s">
        <v>2736</v>
      </c>
      <c r="B956" s="2">
        <v>45747</v>
      </c>
      <c r="C956" t="s">
        <v>1090</v>
      </c>
      <c r="D956" t="s">
        <v>174</v>
      </c>
      <c r="E956" t="s">
        <v>207</v>
      </c>
      <c r="F956" t="s">
        <v>292</v>
      </c>
      <c r="G956">
        <v>1</v>
      </c>
      <c r="H956" s="4">
        <v>780</v>
      </c>
      <c r="I956" s="3">
        <v>0.05</v>
      </c>
      <c r="J956" t="s">
        <v>77</v>
      </c>
      <c r="K956" t="s">
        <v>46</v>
      </c>
      <c r="L956" t="s">
        <v>1091</v>
      </c>
      <c r="M956" t="s">
        <v>69</v>
      </c>
      <c r="N956" t="s">
        <v>112</v>
      </c>
      <c r="O956" t="s">
        <v>177</v>
      </c>
      <c r="P956" t="s">
        <v>103</v>
      </c>
      <c r="Q956" t="s">
        <v>114</v>
      </c>
      <c r="R956" t="s">
        <v>210</v>
      </c>
      <c r="S956" t="s">
        <v>79</v>
      </c>
      <c r="T956" t="s">
        <v>294</v>
      </c>
      <c r="U956" s="5">
        <v>48</v>
      </c>
      <c r="V956" s="5" t="s">
        <v>85</v>
      </c>
      <c r="W956" s="5">
        <v>4</v>
      </c>
      <c r="X956" s="5">
        <v>4.0999999999999996</v>
      </c>
      <c r="Y956" s="5">
        <v>7</v>
      </c>
      <c r="Z956" s="5" t="s">
        <v>57</v>
      </c>
      <c r="AA956" s="6">
        <v>468</v>
      </c>
      <c r="AB956" s="8">
        <f t="shared" si="182"/>
        <v>780</v>
      </c>
      <c r="AC956" s="8">
        <f t="shared" si="183"/>
        <v>39</v>
      </c>
      <c r="AD956" s="8">
        <f t="shared" si="184"/>
        <v>741</v>
      </c>
      <c r="AE956" s="8">
        <f t="shared" si="185"/>
        <v>468</v>
      </c>
      <c r="AF956" s="8">
        <f t="shared" si="186"/>
        <v>273</v>
      </c>
      <c r="AG956" s="9">
        <f t="shared" si="187"/>
        <v>0.36842105263157893</v>
      </c>
      <c r="AH956" s="10">
        <f t="shared" si="188"/>
        <v>2025</v>
      </c>
      <c r="AI956" s="10">
        <f t="shared" si="189"/>
        <v>3</v>
      </c>
      <c r="AJ956" s="10" t="str">
        <f t="shared" si="190"/>
        <v>2025-03</v>
      </c>
      <c r="AK956" s="10" t="str">
        <f t="shared" si="191"/>
        <v>T1</v>
      </c>
      <c r="AL956" s="10" t="str">
        <f t="shared" si="192"/>
        <v>40-49</v>
      </c>
      <c r="AM956" s="10" t="str">
        <f t="shared" si="193"/>
        <v>faible</v>
      </c>
      <c r="AN956" s="10" t="s">
        <v>2837</v>
      </c>
      <c r="AO956" s="10" t="str">
        <f t="shared" si="194"/>
        <v>Moyenne</v>
      </c>
    </row>
    <row r="957" spans="1:41">
      <c r="A957" t="s">
        <v>2737</v>
      </c>
      <c r="B957" s="2">
        <v>45960</v>
      </c>
      <c r="C957" t="s">
        <v>1216</v>
      </c>
      <c r="D957" t="s">
        <v>155</v>
      </c>
      <c r="E957" t="s">
        <v>219</v>
      </c>
      <c r="F957" t="s">
        <v>130</v>
      </c>
      <c r="G957">
        <v>3</v>
      </c>
      <c r="H957" s="4">
        <v>48</v>
      </c>
      <c r="I957" s="3">
        <v>0.08</v>
      </c>
      <c r="J957" t="s">
        <v>77</v>
      </c>
      <c r="K957" t="s">
        <v>46</v>
      </c>
      <c r="L957" t="s">
        <v>1217</v>
      </c>
      <c r="M957" t="s">
        <v>48</v>
      </c>
      <c r="N957" t="s">
        <v>49</v>
      </c>
      <c r="O957" t="s">
        <v>158</v>
      </c>
      <c r="P957" t="s">
        <v>51</v>
      </c>
      <c r="Q957" t="s">
        <v>143</v>
      </c>
      <c r="R957" t="s">
        <v>222</v>
      </c>
      <c r="S957" t="s">
        <v>123</v>
      </c>
      <c r="T957" t="s">
        <v>135</v>
      </c>
      <c r="U957" s="5">
        <v>29</v>
      </c>
      <c r="V957" s="5" t="s">
        <v>56</v>
      </c>
      <c r="W957" s="5">
        <v>14</v>
      </c>
      <c r="X957" s="5">
        <v>6.3</v>
      </c>
      <c r="Y957" s="5">
        <v>5</v>
      </c>
      <c r="Z957" s="5" t="s">
        <v>117</v>
      </c>
      <c r="AA957" s="6">
        <v>37.44</v>
      </c>
      <c r="AB957" s="8">
        <f t="shared" si="182"/>
        <v>144</v>
      </c>
      <c r="AC957" s="8">
        <f t="shared" si="183"/>
        <v>11.52</v>
      </c>
      <c r="AD957" s="8">
        <f t="shared" si="184"/>
        <v>132.47999999999999</v>
      </c>
      <c r="AE957" s="8">
        <f t="shared" si="185"/>
        <v>112.32</v>
      </c>
      <c r="AF957" s="8">
        <f t="shared" si="186"/>
        <v>20.159999999999997</v>
      </c>
      <c r="AG957" s="9">
        <f t="shared" si="187"/>
        <v>0.15217391304347824</v>
      </c>
      <c r="AH957" s="10">
        <f t="shared" si="188"/>
        <v>2025</v>
      </c>
      <c r="AI957" s="10">
        <f t="shared" si="189"/>
        <v>10</v>
      </c>
      <c r="AJ957" s="10" t="str">
        <f t="shared" si="190"/>
        <v>2025-10</v>
      </c>
      <c r="AK957" s="10" t="str">
        <f t="shared" si="191"/>
        <v>T4</v>
      </c>
      <c r="AL957" s="10" t="str">
        <f t="shared" si="192"/>
        <v>22-29</v>
      </c>
      <c r="AM957" s="10" t="str">
        <f t="shared" si="193"/>
        <v>moyen</v>
      </c>
      <c r="AN957" s="10" t="s">
        <v>2839</v>
      </c>
      <c r="AO957" s="10" t="str">
        <f t="shared" si="194"/>
        <v>Faible</v>
      </c>
    </row>
    <row r="958" spans="1:41">
      <c r="A958" t="s">
        <v>2738</v>
      </c>
      <c r="B958" s="2">
        <v>45807</v>
      </c>
      <c r="C958" t="s">
        <v>2739</v>
      </c>
      <c r="D958" t="s">
        <v>333</v>
      </c>
      <c r="E958" t="s">
        <v>109</v>
      </c>
      <c r="F958" t="s">
        <v>458</v>
      </c>
      <c r="G958">
        <v>3</v>
      </c>
      <c r="H958" s="4">
        <v>65</v>
      </c>
      <c r="I958" s="3">
        <v>0</v>
      </c>
      <c r="J958" t="s">
        <v>77</v>
      </c>
      <c r="K958" t="s">
        <v>46</v>
      </c>
      <c r="L958" t="s">
        <v>2740</v>
      </c>
      <c r="M958" t="s">
        <v>54</v>
      </c>
      <c r="N958" t="s">
        <v>112</v>
      </c>
      <c r="O958" t="s">
        <v>336</v>
      </c>
      <c r="P958" t="s">
        <v>51</v>
      </c>
      <c r="Q958" t="s">
        <v>52</v>
      </c>
      <c r="R958" t="s">
        <v>115</v>
      </c>
      <c r="S958" t="s">
        <v>65</v>
      </c>
      <c r="T958" t="s">
        <v>460</v>
      </c>
      <c r="U958" s="5">
        <v>26</v>
      </c>
      <c r="V958" s="5" t="s">
        <v>56</v>
      </c>
      <c r="W958" s="5">
        <v>15</v>
      </c>
      <c r="X958" s="5">
        <v>7.9</v>
      </c>
      <c r="Y958" s="5">
        <v>1</v>
      </c>
      <c r="Z958" s="5" t="s">
        <v>71</v>
      </c>
      <c r="AA958" s="6">
        <v>47.45</v>
      </c>
      <c r="AB958" s="8">
        <f t="shared" si="182"/>
        <v>195</v>
      </c>
      <c r="AC958" s="8">
        <f t="shared" si="183"/>
        <v>0</v>
      </c>
      <c r="AD958" s="8">
        <f t="shared" si="184"/>
        <v>195</v>
      </c>
      <c r="AE958" s="8">
        <f t="shared" si="185"/>
        <v>142.35000000000002</v>
      </c>
      <c r="AF958" s="8">
        <f t="shared" si="186"/>
        <v>52.649999999999977</v>
      </c>
      <c r="AG958" s="9">
        <f t="shared" si="187"/>
        <v>0.26999999999999991</v>
      </c>
      <c r="AH958" s="10">
        <f t="shared" si="188"/>
        <v>2025</v>
      </c>
      <c r="AI958" s="10">
        <f t="shared" si="189"/>
        <v>5</v>
      </c>
      <c r="AJ958" s="10" t="str">
        <f t="shared" si="190"/>
        <v>2025-05</v>
      </c>
      <c r="AK958" s="10" t="str">
        <f t="shared" si="191"/>
        <v>T2</v>
      </c>
      <c r="AL958" s="10" t="str">
        <f t="shared" si="192"/>
        <v>22-29</v>
      </c>
      <c r="AM958" s="10" t="str">
        <f t="shared" si="193"/>
        <v>bon</v>
      </c>
      <c r="AN958" s="10" t="s">
        <v>2838</v>
      </c>
      <c r="AO958" s="10" t="str">
        <f t="shared" si="194"/>
        <v>Faible</v>
      </c>
    </row>
    <row r="959" spans="1:41">
      <c r="A959" t="s">
        <v>2741</v>
      </c>
      <c r="B959" s="2">
        <v>45749</v>
      </c>
      <c r="C959" t="s">
        <v>2742</v>
      </c>
      <c r="D959" t="s">
        <v>155</v>
      </c>
      <c r="E959" t="s">
        <v>214</v>
      </c>
      <c r="F959" t="s">
        <v>328</v>
      </c>
      <c r="G959">
        <v>1</v>
      </c>
      <c r="H959" s="4">
        <v>48</v>
      </c>
      <c r="I959" s="3">
        <v>0.05</v>
      </c>
      <c r="J959" t="s">
        <v>63</v>
      </c>
      <c r="K959" t="s">
        <v>46</v>
      </c>
      <c r="L959" t="s">
        <v>2743</v>
      </c>
      <c r="M959" t="s">
        <v>79</v>
      </c>
      <c r="N959" t="s">
        <v>49</v>
      </c>
      <c r="O959" t="s">
        <v>158</v>
      </c>
      <c r="P959" t="s">
        <v>51</v>
      </c>
      <c r="Q959" t="s">
        <v>143</v>
      </c>
      <c r="R959" t="s">
        <v>216</v>
      </c>
      <c r="S959" t="s">
        <v>65</v>
      </c>
      <c r="T959" t="s">
        <v>330</v>
      </c>
      <c r="U959" s="5">
        <v>45</v>
      </c>
      <c r="V959" s="5" t="s">
        <v>56</v>
      </c>
      <c r="W959" s="5">
        <v>21</v>
      </c>
      <c r="X959" s="5">
        <v>3.4</v>
      </c>
      <c r="Y959" s="5">
        <v>9</v>
      </c>
      <c r="Z959" s="5" t="s">
        <v>71</v>
      </c>
      <c r="AA959" s="6">
        <v>37.44</v>
      </c>
      <c r="AB959" s="8">
        <f t="shared" si="182"/>
        <v>48</v>
      </c>
      <c r="AC959" s="8">
        <f t="shared" si="183"/>
        <v>2.4000000000000004</v>
      </c>
      <c r="AD959" s="8">
        <f t="shared" si="184"/>
        <v>45.6</v>
      </c>
      <c r="AE959" s="8">
        <f t="shared" si="185"/>
        <v>37.44</v>
      </c>
      <c r="AF959" s="8">
        <f t="shared" si="186"/>
        <v>8.1600000000000037</v>
      </c>
      <c r="AG959" s="9">
        <f t="shared" si="187"/>
        <v>0.17894736842105272</v>
      </c>
      <c r="AH959" s="10">
        <f t="shared" si="188"/>
        <v>2025</v>
      </c>
      <c r="AI959" s="10">
        <f t="shared" si="189"/>
        <v>4</v>
      </c>
      <c r="AJ959" s="10" t="str">
        <f t="shared" si="190"/>
        <v>2025-04</v>
      </c>
      <c r="AK959" s="10" t="str">
        <f t="shared" si="191"/>
        <v>T2</v>
      </c>
      <c r="AL959" s="10" t="str">
        <f t="shared" si="192"/>
        <v>40-49</v>
      </c>
      <c r="AM959" s="10" t="str">
        <f t="shared" si="193"/>
        <v>faible</v>
      </c>
      <c r="AN959" s="10" t="s">
        <v>2837</v>
      </c>
      <c r="AO959" s="10" t="str">
        <f t="shared" si="194"/>
        <v>Faible</v>
      </c>
    </row>
    <row r="960" spans="1:41">
      <c r="A960" t="s">
        <v>2744</v>
      </c>
      <c r="B960" s="2">
        <v>45994</v>
      </c>
      <c r="C960" t="s">
        <v>2745</v>
      </c>
      <c r="D960" t="s">
        <v>181</v>
      </c>
      <c r="E960" t="s">
        <v>61</v>
      </c>
      <c r="F960" t="s">
        <v>253</v>
      </c>
      <c r="G960">
        <v>1</v>
      </c>
      <c r="H960" s="4">
        <v>145</v>
      </c>
      <c r="I960" s="3">
        <v>0.05</v>
      </c>
      <c r="J960" t="s">
        <v>63</v>
      </c>
      <c r="K960" t="s">
        <v>46</v>
      </c>
      <c r="L960" t="s">
        <v>2746</v>
      </c>
      <c r="M960" t="s">
        <v>69</v>
      </c>
      <c r="N960" t="s">
        <v>49</v>
      </c>
      <c r="O960" t="s">
        <v>184</v>
      </c>
      <c r="P960" t="s">
        <v>103</v>
      </c>
      <c r="Q960" t="s">
        <v>52</v>
      </c>
      <c r="R960" t="s">
        <v>68</v>
      </c>
      <c r="S960" t="s">
        <v>69</v>
      </c>
      <c r="T960" t="s">
        <v>256</v>
      </c>
      <c r="U960" s="5">
        <v>47</v>
      </c>
      <c r="V960" s="5" t="s">
        <v>85</v>
      </c>
      <c r="W960" s="5">
        <v>62</v>
      </c>
      <c r="X960" s="5">
        <v>8.1</v>
      </c>
      <c r="Y960" s="5">
        <v>2</v>
      </c>
      <c r="Z960" s="5" t="s">
        <v>71</v>
      </c>
      <c r="AA960" s="6">
        <v>97.15</v>
      </c>
      <c r="AB960" s="8">
        <f t="shared" si="182"/>
        <v>145</v>
      </c>
      <c r="AC960" s="8">
        <f t="shared" si="183"/>
        <v>7.25</v>
      </c>
      <c r="AD960" s="8">
        <f t="shared" si="184"/>
        <v>137.75</v>
      </c>
      <c r="AE960" s="8">
        <f t="shared" si="185"/>
        <v>97.15</v>
      </c>
      <c r="AF960" s="8">
        <f t="shared" si="186"/>
        <v>40.599999999999994</v>
      </c>
      <c r="AG960" s="9">
        <f t="shared" si="187"/>
        <v>0.29473684210526313</v>
      </c>
      <c r="AH960" s="10">
        <f t="shared" si="188"/>
        <v>2025</v>
      </c>
      <c r="AI960" s="10">
        <f t="shared" si="189"/>
        <v>12</v>
      </c>
      <c r="AJ960" s="10" t="str">
        <f t="shared" si="190"/>
        <v>2025-12</v>
      </c>
      <c r="AK960" s="10" t="str">
        <f t="shared" si="191"/>
        <v>T4</v>
      </c>
      <c r="AL960" s="10" t="str">
        <f t="shared" si="192"/>
        <v>40-49</v>
      </c>
      <c r="AM960" s="10" t="str">
        <f t="shared" si="193"/>
        <v>bon</v>
      </c>
      <c r="AN960" s="10" t="s">
        <v>2838</v>
      </c>
      <c r="AO960" s="10" t="str">
        <f t="shared" si="194"/>
        <v>Faible</v>
      </c>
    </row>
    <row r="961" spans="1:41">
      <c r="A961" t="s">
        <v>2747</v>
      </c>
      <c r="B961" s="2">
        <v>45970</v>
      </c>
      <c r="C961" t="s">
        <v>2748</v>
      </c>
      <c r="D961" t="s">
        <v>174</v>
      </c>
      <c r="E961" t="s">
        <v>139</v>
      </c>
      <c r="F961" t="s">
        <v>164</v>
      </c>
      <c r="G961">
        <v>3</v>
      </c>
      <c r="H961" s="4">
        <v>780</v>
      </c>
      <c r="I961" s="3">
        <v>0.02</v>
      </c>
      <c r="J961" t="s">
        <v>45</v>
      </c>
      <c r="K961" t="s">
        <v>46</v>
      </c>
      <c r="L961" t="s">
        <v>2749</v>
      </c>
      <c r="M961" t="s">
        <v>48</v>
      </c>
      <c r="N961" t="s">
        <v>49</v>
      </c>
      <c r="O961" t="s">
        <v>177</v>
      </c>
      <c r="P961" t="s">
        <v>103</v>
      </c>
      <c r="Q961" t="s">
        <v>114</v>
      </c>
      <c r="R961" t="s">
        <v>144</v>
      </c>
      <c r="S961" t="s">
        <v>65</v>
      </c>
      <c r="T961" t="s">
        <v>168</v>
      </c>
      <c r="U961" s="5">
        <v>44</v>
      </c>
      <c r="V961" s="5" t="s">
        <v>85</v>
      </c>
      <c r="W961" s="5">
        <v>50</v>
      </c>
      <c r="X961" s="5">
        <v>4.8</v>
      </c>
      <c r="Y961" s="5">
        <v>6</v>
      </c>
      <c r="Z961" s="5" t="s">
        <v>71</v>
      </c>
      <c r="AA961" s="6">
        <v>468</v>
      </c>
      <c r="AB961" s="8">
        <f t="shared" si="182"/>
        <v>2340</v>
      </c>
      <c r="AC961" s="8">
        <f t="shared" si="183"/>
        <v>46.800000000000004</v>
      </c>
      <c r="AD961" s="8">
        <f t="shared" si="184"/>
        <v>2293.1999999999998</v>
      </c>
      <c r="AE961" s="8">
        <f t="shared" si="185"/>
        <v>1404</v>
      </c>
      <c r="AF961" s="8">
        <f t="shared" si="186"/>
        <v>889.19999999999982</v>
      </c>
      <c r="AG961" s="9">
        <f t="shared" si="187"/>
        <v>0.38775510204081626</v>
      </c>
      <c r="AH961" s="10">
        <f t="shared" si="188"/>
        <v>2025</v>
      </c>
      <c r="AI961" s="10">
        <f t="shared" si="189"/>
        <v>11</v>
      </c>
      <c r="AJ961" s="10" t="str">
        <f t="shared" si="190"/>
        <v>2025-11</v>
      </c>
      <c r="AK961" s="10" t="str">
        <f t="shared" si="191"/>
        <v>T4</v>
      </c>
      <c r="AL961" s="10" t="str">
        <f t="shared" si="192"/>
        <v>40-49</v>
      </c>
      <c r="AM961" s="10" t="str">
        <f t="shared" si="193"/>
        <v>faible</v>
      </c>
      <c r="AN961" s="10" t="s">
        <v>2839</v>
      </c>
      <c r="AO961" s="10" t="str">
        <f t="shared" si="194"/>
        <v>Elevée</v>
      </c>
    </row>
    <row r="962" spans="1:41">
      <c r="A962" t="s">
        <v>2750</v>
      </c>
      <c r="B962" s="2">
        <v>45724</v>
      </c>
      <c r="C962" t="s">
        <v>2751</v>
      </c>
      <c r="D962" t="s">
        <v>272</v>
      </c>
      <c r="E962" t="s">
        <v>98</v>
      </c>
      <c r="F962" t="s">
        <v>149</v>
      </c>
      <c r="G962">
        <v>2</v>
      </c>
      <c r="H962" s="4">
        <v>420</v>
      </c>
      <c r="I962" s="3">
        <v>0.05</v>
      </c>
      <c r="J962" t="s">
        <v>45</v>
      </c>
      <c r="K962" t="s">
        <v>46</v>
      </c>
      <c r="L962" t="s">
        <v>2752</v>
      </c>
      <c r="M962" t="s">
        <v>69</v>
      </c>
      <c r="N962" t="s">
        <v>80</v>
      </c>
      <c r="O962" t="s">
        <v>274</v>
      </c>
      <c r="P962" t="s">
        <v>133</v>
      </c>
      <c r="Q962" t="s">
        <v>114</v>
      </c>
      <c r="R962" t="s">
        <v>104</v>
      </c>
      <c r="S962" t="s">
        <v>79</v>
      </c>
      <c r="T962" t="s">
        <v>152</v>
      </c>
      <c r="U962" s="5">
        <v>30</v>
      </c>
      <c r="V962" s="5" t="s">
        <v>85</v>
      </c>
      <c r="W962" s="5">
        <v>7</v>
      </c>
      <c r="X962" s="5">
        <v>5.4</v>
      </c>
      <c r="Y962" s="5">
        <v>5</v>
      </c>
      <c r="Z962" s="5" t="s">
        <v>94</v>
      </c>
      <c r="AA962" s="6">
        <v>273</v>
      </c>
      <c r="AB962" s="8">
        <f t="shared" si="182"/>
        <v>840</v>
      </c>
      <c r="AC962" s="8">
        <f t="shared" si="183"/>
        <v>42</v>
      </c>
      <c r="AD962" s="8">
        <f t="shared" si="184"/>
        <v>798</v>
      </c>
      <c r="AE962" s="8">
        <f t="shared" si="185"/>
        <v>546</v>
      </c>
      <c r="AF962" s="8">
        <f t="shared" si="186"/>
        <v>252</v>
      </c>
      <c r="AG962" s="9">
        <f t="shared" si="187"/>
        <v>0.31578947368421051</v>
      </c>
      <c r="AH962" s="10">
        <f t="shared" si="188"/>
        <v>2025</v>
      </c>
      <c r="AI962" s="10">
        <f t="shared" si="189"/>
        <v>3</v>
      </c>
      <c r="AJ962" s="10" t="str">
        <f t="shared" si="190"/>
        <v>2025-03</v>
      </c>
      <c r="AK962" s="10" t="str">
        <f t="shared" si="191"/>
        <v>T1</v>
      </c>
      <c r="AL962" s="10" t="str">
        <f t="shared" si="192"/>
        <v>30-39</v>
      </c>
      <c r="AM962" s="10" t="str">
        <f t="shared" si="193"/>
        <v>moyen</v>
      </c>
      <c r="AN962" s="10" t="s">
        <v>2839</v>
      </c>
      <c r="AO962" s="10" t="str">
        <f t="shared" si="194"/>
        <v>Moyenne</v>
      </c>
    </row>
    <row r="963" spans="1:41">
      <c r="A963" t="s">
        <v>2753</v>
      </c>
      <c r="B963" s="2">
        <v>45862</v>
      </c>
      <c r="C963" t="s">
        <v>2754</v>
      </c>
      <c r="D963" t="s">
        <v>108</v>
      </c>
      <c r="E963" t="s">
        <v>207</v>
      </c>
      <c r="F963" t="s">
        <v>76</v>
      </c>
      <c r="G963">
        <v>3</v>
      </c>
      <c r="H963" s="4">
        <v>240</v>
      </c>
      <c r="I963" s="3">
        <v>0.08</v>
      </c>
      <c r="J963" t="s">
        <v>45</v>
      </c>
      <c r="K963" t="s">
        <v>46</v>
      </c>
      <c r="L963" t="s">
        <v>2755</v>
      </c>
      <c r="M963" t="s">
        <v>54</v>
      </c>
      <c r="N963" t="s">
        <v>80</v>
      </c>
      <c r="O963" t="s">
        <v>113</v>
      </c>
      <c r="P963" t="s">
        <v>82</v>
      </c>
      <c r="Q963" t="s">
        <v>114</v>
      </c>
      <c r="R963" t="s">
        <v>210</v>
      </c>
      <c r="S963" t="s">
        <v>79</v>
      </c>
      <c r="T963" t="s">
        <v>84</v>
      </c>
      <c r="U963" s="5">
        <v>54</v>
      </c>
      <c r="V963" s="5" t="s">
        <v>85</v>
      </c>
      <c r="W963" s="5">
        <v>29</v>
      </c>
      <c r="X963" s="5">
        <v>6.6</v>
      </c>
      <c r="Y963" s="5">
        <v>5</v>
      </c>
      <c r="Z963" s="5" t="s">
        <v>94</v>
      </c>
      <c r="AA963" s="6">
        <v>177.6</v>
      </c>
      <c r="AB963" s="8">
        <f t="shared" ref="AB963:AB1001" si="195">G963*H963</f>
        <v>720</v>
      </c>
      <c r="AC963" s="8">
        <f t="shared" ref="AC963:AC1001" si="196">I963*AB963</f>
        <v>57.6</v>
      </c>
      <c r="AD963" s="8">
        <f t="shared" ref="AD963:AD1001" si="197">AB963-AC963</f>
        <v>662.4</v>
      </c>
      <c r="AE963" s="8">
        <f t="shared" ref="AE963:AE1001" si="198">G963*AA963</f>
        <v>532.79999999999995</v>
      </c>
      <c r="AF963" s="8">
        <f t="shared" ref="AF963:AF1001" si="199">AD963-AE963</f>
        <v>129.60000000000002</v>
      </c>
      <c r="AG963" s="9">
        <f t="shared" ref="AG963:AG1001" si="200">IFERROR(AF963/AD963,)</f>
        <v>0.19565217391304351</v>
      </c>
      <c r="AH963" s="10">
        <f t="shared" ref="AH963:AH1001" si="201">YEAR(B963)</f>
        <v>2025</v>
      </c>
      <c r="AI963" s="10">
        <f t="shared" ref="AI963:AI1001" si="202">MONTH(B963)</f>
        <v>7</v>
      </c>
      <c r="AJ963" s="10" t="str">
        <f t="shared" ref="AJ963:AJ1001" si="203">TEXT(B963,"yyyy-mm")</f>
        <v>2025-07</v>
      </c>
      <c r="AK963" s="10" t="str">
        <f t="shared" ref="AK963:AK1001" si="204">"T"&amp;ROUNDUP(MONTH(B963)/3,0)</f>
        <v>T3</v>
      </c>
      <c r="AL963" s="10" t="str">
        <f t="shared" ref="AL963:AL1001" si="205">IF(U963&lt;30,"22-29",IF(U963&lt;40,"30-39",IF(U963&lt;50,"40-49","50+")))</f>
        <v>50+</v>
      </c>
      <c r="AM963" s="10" t="str">
        <f t="shared" ref="AM963:AM1001" si="206">IF(X963&lt;5,"faible",IF(X963&lt;7,"moyen",IF(X963&lt;9,"bon","excellent")))</f>
        <v>moyen</v>
      </c>
      <c r="AN963" s="10" t="s">
        <v>2839</v>
      </c>
      <c r="AO963" s="10" t="str">
        <f t="shared" ref="AO963:AO1001" si="207">IF(AD963&gt;=1000,"Elevée",IF(AD963&gt;=500,"Moyenne","Faible"))</f>
        <v>Moyenne</v>
      </c>
    </row>
    <row r="964" spans="1:41">
      <c r="A964" t="s">
        <v>2756</v>
      </c>
      <c r="B964" s="2">
        <v>45857</v>
      </c>
      <c r="C964" t="s">
        <v>2757</v>
      </c>
      <c r="D964" t="s">
        <v>138</v>
      </c>
      <c r="E964" t="s">
        <v>315</v>
      </c>
      <c r="F964" t="s">
        <v>110</v>
      </c>
      <c r="G964">
        <v>2</v>
      </c>
      <c r="H964" s="4">
        <v>120</v>
      </c>
      <c r="I964" s="3">
        <v>0.05</v>
      </c>
      <c r="J964" t="s">
        <v>77</v>
      </c>
      <c r="K964" t="s">
        <v>46</v>
      </c>
      <c r="L964" t="s">
        <v>2758</v>
      </c>
      <c r="M964" t="s">
        <v>79</v>
      </c>
      <c r="N964" t="s">
        <v>49</v>
      </c>
      <c r="O964" t="s">
        <v>142</v>
      </c>
      <c r="P964" t="s">
        <v>51</v>
      </c>
      <c r="Q964" t="s">
        <v>143</v>
      </c>
      <c r="R964" t="s">
        <v>317</v>
      </c>
      <c r="S964" t="s">
        <v>69</v>
      </c>
      <c r="T964" t="s">
        <v>116</v>
      </c>
      <c r="U964" s="5">
        <v>32</v>
      </c>
      <c r="V964" s="5" t="s">
        <v>56</v>
      </c>
      <c r="W964" s="5">
        <v>59</v>
      </c>
      <c r="X964" s="5">
        <v>6.4</v>
      </c>
      <c r="Y964" s="5">
        <v>4</v>
      </c>
      <c r="Z964" s="5" t="s">
        <v>94</v>
      </c>
      <c r="AA964" s="6">
        <v>73.2</v>
      </c>
      <c r="AB964" s="8">
        <f t="shared" si="195"/>
        <v>240</v>
      </c>
      <c r="AC964" s="8">
        <f t="shared" si="196"/>
        <v>12</v>
      </c>
      <c r="AD964" s="8">
        <f t="shared" si="197"/>
        <v>228</v>
      </c>
      <c r="AE964" s="8">
        <f t="shared" si="198"/>
        <v>146.4</v>
      </c>
      <c r="AF964" s="8">
        <f t="shared" si="199"/>
        <v>81.599999999999994</v>
      </c>
      <c r="AG964" s="9">
        <f t="shared" si="200"/>
        <v>0.35789473684210527</v>
      </c>
      <c r="AH964" s="10">
        <f t="shared" si="201"/>
        <v>2025</v>
      </c>
      <c r="AI964" s="10">
        <f t="shared" si="202"/>
        <v>7</v>
      </c>
      <c r="AJ964" s="10" t="str">
        <f t="shared" si="203"/>
        <v>2025-07</v>
      </c>
      <c r="AK964" s="10" t="str">
        <f t="shared" si="204"/>
        <v>T3</v>
      </c>
      <c r="AL964" s="10" t="str">
        <f t="shared" si="205"/>
        <v>30-39</v>
      </c>
      <c r="AM964" s="10" t="str">
        <f t="shared" si="206"/>
        <v>moyen</v>
      </c>
      <c r="AN964" s="10" t="s">
        <v>2839</v>
      </c>
      <c r="AO964" s="10" t="str">
        <f t="shared" si="207"/>
        <v>Faible</v>
      </c>
    </row>
    <row r="965" spans="1:41">
      <c r="A965" t="s">
        <v>2759</v>
      </c>
      <c r="B965" s="2">
        <v>45801</v>
      </c>
      <c r="C965" t="s">
        <v>2754</v>
      </c>
      <c r="D965" t="s">
        <v>138</v>
      </c>
      <c r="E965" t="s">
        <v>345</v>
      </c>
      <c r="F965" t="s">
        <v>62</v>
      </c>
      <c r="G965">
        <v>5</v>
      </c>
      <c r="H965" s="4">
        <v>120</v>
      </c>
      <c r="I965" s="3">
        <v>0</v>
      </c>
      <c r="J965" t="s">
        <v>77</v>
      </c>
      <c r="K965" t="s">
        <v>46</v>
      </c>
      <c r="L965" t="s">
        <v>2755</v>
      </c>
      <c r="M965" t="s">
        <v>54</v>
      </c>
      <c r="N965" t="s">
        <v>80</v>
      </c>
      <c r="O965" t="s">
        <v>142</v>
      </c>
      <c r="P965" t="s">
        <v>51</v>
      </c>
      <c r="Q965" t="s">
        <v>143</v>
      </c>
      <c r="R965" t="s">
        <v>347</v>
      </c>
      <c r="S965" t="s">
        <v>54</v>
      </c>
      <c r="T965" t="s">
        <v>70</v>
      </c>
      <c r="U965" s="5">
        <v>54</v>
      </c>
      <c r="V965" s="5" t="s">
        <v>85</v>
      </c>
      <c r="W965" s="5">
        <v>29</v>
      </c>
      <c r="X965" s="5">
        <v>5.4</v>
      </c>
      <c r="Y965" s="5">
        <v>7</v>
      </c>
      <c r="Z965" s="5" t="s">
        <v>117</v>
      </c>
      <c r="AA965" s="6">
        <v>73.2</v>
      </c>
      <c r="AB965" s="8">
        <f t="shared" si="195"/>
        <v>600</v>
      </c>
      <c r="AC965" s="8">
        <f t="shared" si="196"/>
        <v>0</v>
      </c>
      <c r="AD965" s="8">
        <f t="shared" si="197"/>
        <v>600</v>
      </c>
      <c r="AE965" s="8">
        <f t="shared" si="198"/>
        <v>366</v>
      </c>
      <c r="AF965" s="8">
        <f t="shared" si="199"/>
        <v>234</v>
      </c>
      <c r="AG965" s="9">
        <f t="shared" si="200"/>
        <v>0.39</v>
      </c>
      <c r="AH965" s="10">
        <f t="shared" si="201"/>
        <v>2025</v>
      </c>
      <c r="AI965" s="10">
        <f t="shared" si="202"/>
        <v>5</v>
      </c>
      <c r="AJ965" s="10" t="str">
        <f t="shared" si="203"/>
        <v>2025-05</v>
      </c>
      <c r="AK965" s="10" t="str">
        <f t="shared" si="204"/>
        <v>T2</v>
      </c>
      <c r="AL965" s="10" t="str">
        <f t="shared" si="205"/>
        <v>50+</v>
      </c>
      <c r="AM965" s="10" t="str">
        <f t="shared" si="206"/>
        <v>moyen</v>
      </c>
      <c r="AN965" s="10" t="s">
        <v>2837</v>
      </c>
      <c r="AO965" s="10" t="str">
        <f t="shared" si="207"/>
        <v>Moyenne</v>
      </c>
    </row>
    <row r="966" spans="1:41">
      <c r="A966" t="s">
        <v>2760</v>
      </c>
      <c r="B966" s="2">
        <v>45926</v>
      </c>
      <c r="C966" t="s">
        <v>756</v>
      </c>
      <c r="D966" t="s">
        <v>340</v>
      </c>
      <c r="E966" t="s">
        <v>75</v>
      </c>
      <c r="F966" t="s">
        <v>323</v>
      </c>
      <c r="G966">
        <v>2</v>
      </c>
      <c r="H966" s="4">
        <v>22</v>
      </c>
      <c r="I966" s="3">
        <v>0.05</v>
      </c>
      <c r="J966" t="s">
        <v>63</v>
      </c>
      <c r="K966" t="s">
        <v>46</v>
      </c>
      <c r="L966" t="s">
        <v>757</v>
      </c>
      <c r="M966" t="s">
        <v>69</v>
      </c>
      <c r="N966" t="s">
        <v>49</v>
      </c>
      <c r="O966" t="s">
        <v>342</v>
      </c>
      <c r="P966" t="s">
        <v>103</v>
      </c>
      <c r="Q966" t="s">
        <v>143</v>
      </c>
      <c r="R966" t="s">
        <v>83</v>
      </c>
      <c r="S966" t="s">
        <v>69</v>
      </c>
      <c r="T966" t="s">
        <v>325</v>
      </c>
      <c r="U966" s="5">
        <v>48</v>
      </c>
      <c r="V966" s="5" t="s">
        <v>56</v>
      </c>
      <c r="W966" s="5">
        <v>27</v>
      </c>
      <c r="X966" s="5">
        <v>7.9</v>
      </c>
      <c r="Y966" s="5">
        <v>3</v>
      </c>
      <c r="Z966" s="5" t="s">
        <v>71</v>
      </c>
      <c r="AA966" s="6">
        <v>14.96</v>
      </c>
      <c r="AB966" s="8">
        <f t="shared" si="195"/>
        <v>44</v>
      </c>
      <c r="AC966" s="8">
        <f t="shared" si="196"/>
        <v>2.2000000000000002</v>
      </c>
      <c r="AD966" s="8">
        <f t="shared" si="197"/>
        <v>41.8</v>
      </c>
      <c r="AE966" s="8">
        <f t="shared" si="198"/>
        <v>29.92</v>
      </c>
      <c r="AF966" s="8">
        <f t="shared" si="199"/>
        <v>11.879999999999995</v>
      </c>
      <c r="AG966" s="9">
        <f t="shared" si="200"/>
        <v>0.28421052631578936</v>
      </c>
      <c r="AH966" s="10">
        <f t="shared" si="201"/>
        <v>2025</v>
      </c>
      <c r="AI966" s="10">
        <f t="shared" si="202"/>
        <v>9</v>
      </c>
      <c r="AJ966" s="10" t="str">
        <f t="shared" si="203"/>
        <v>2025-09</v>
      </c>
      <c r="AK966" s="10" t="str">
        <f t="shared" si="204"/>
        <v>T3</v>
      </c>
      <c r="AL966" s="10" t="str">
        <f t="shared" si="205"/>
        <v>40-49</v>
      </c>
      <c r="AM966" s="10" t="str">
        <f t="shared" si="206"/>
        <v>bon</v>
      </c>
      <c r="AN966" s="10" t="s">
        <v>2838</v>
      </c>
      <c r="AO966" s="10" t="str">
        <f t="shared" si="207"/>
        <v>Faible</v>
      </c>
    </row>
    <row r="967" spans="1:41">
      <c r="A967" t="s">
        <v>2761</v>
      </c>
      <c r="B967" s="2">
        <v>45784</v>
      </c>
      <c r="C967" t="s">
        <v>2762</v>
      </c>
      <c r="D967" t="s">
        <v>74</v>
      </c>
      <c r="E967" t="s">
        <v>75</v>
      </c>
      <c r="F967" t="s">
        <v>243</v>
      </c>
      <c r="G967">
        <v>3</v>
      </c>
      <c r="H967" s="4">
        <v>95</v>
      </c>
      <c r="I967" s="3">
        <v>0</v>
      </c>
      <c r="J967" t="s">
        <v>77</v>
      </c>
      <c r="K967" t="s">
        <v>46</v>
      </c>
      <c r="L967" t="s">
        <v>2763</v>
      </c>
      <c r="M967" t="s">
        <v>65</v>
      </c>
      <c r="N967" t="s">
        <v>255</v>
      </c>
      <c r="O967" t="s">
        <v>81</v>
      </c>
      <c r="P967" t="s">
        <v>82</v>
      </c>
      <c r="Q967" t="s">
        <v>52</v>
      </c>
      <c r="R967" t="s">
        <v>83</v>
      </c>
      <c r="S967" t="s">
        <v>69</v>
      </c>
      <c r="T967" t="s">
        <v>245</v>
      </c>
      <c r="U967" s="5">
        <v>42</v>
      </c>
      <c r="V967" s="5" t="s">
        <v>56</v>
      </c>
      <c r="W967" s="5">
        <v>21</v>
      </c>
      <c r="X967" s="5">
        <v>4.4000000000000004</v>
      </c>
      <c r="Y967" s="5">
        <v>8</v>
      </c>
      <c r="Z967" s="5" t="s">
        <v>94</v>
      </c>
      <c r="AA967" s="6">
        <v>70.3</v>
      </c>
      <c r="AB967" s="8">
        <f t="shared" si="195"/>
        <v>285</v>
      </c>
      <c r="AC967" s="8">
        <f t="shared" si="196"/>
        <v>0</v>
      </c>
      <c r="AD967" s="8">
        <f t="shared" si="197"/>
        <v>285</v>
      </c>
      <c r="AE967" s="8">
        <f t="shared" si="198"/>
        <v>210.89999999999998</v>
      </c>
      <c r="AF967" s="8">
        <f t="shared" si="199"/>
        <v>74.100000000000023</v>
      </c>
      <c r="AG967" s="9">
        <f t="shared" si="200"/>
        <v>0.26000000000000006</v>
      </c>
      <c r="AH967" s="10">
        <f t="shared" si="201"/>
        <v>2025</v>
      </c>
      <c r="AI967" s="10">
        <f t="shared" si="202"/>
        <v>5</v>
      </c>
      <c r="AJ967" s="10" t="str">
        <f t="shared" si="203"/>
        <v>2025-05</v>
      </c>
      <c r="AK967" s="10" t="str">
        <f t="shared" si="204"/>
        <v>T2</v>
      </c>
      <c r="AL967" s="10" t="str">
        <f t="shared" si="205"/>
        <v>40-49</v>
      </c>
      <c r="AM967" s="10" t="str">
        <f t="shared" si="206"/>
        <v>faible</v>
      </c>
      <c r="AN967" s="10" t="s">
        <v>2837</v>
      </c>
      <c r="AO967" s="10" t="str">
        <f t="shared" si="207"/>
        <v>Faible</v>
      </c>
    </row>
    <row r="968" spans="1:41">
      <c r="A968" t="s">
        <v>2764</v>
      </c>
      <c r="B968" s="2">
        <v>45951</v>
      </c>
      <c r="C968" t="s">
        <v>1379</v>
      </c>
      <c r="D968" t="s">
        <v>181</v>
      </c>
      <c r="E968" t="s">
        <v>61</v>
      </c>
      <c r="F968" t="s">
        <v>553</v>
      </c>
      <c r="G968">
        <v>6</v>
      </c>
      <c r="H968" s="4">
        <v>145</v>
      </c>
      <c r="I968" s="3">
        <v>0</v>
      </c>
      <c r="J968" t="s">
        <v>63</v>
      </c>
      <c r="K968" t="s">
        <v>46</v>
      </c>
      <c r="L968" t="s">
        <v>1380</v>
      </c>
      <c r="M968" t="s">
        <v>69</v>
      </c>
      <c r="N968" t="s">
        <v>49</v>
      </c>
      <c r="O968" t="s">
        <v>184</v>
      </c>
      <c r="P968" t="s">
        <v>103</v>
      </c>
      <c r="Q968" t="s">
        <v>52</v>
      </c>
      <c r="R968" t="s">
        <v>68</v>
      </c>
      <c r="S968" t="s">
        <v>69</v>
      </c>
      <c r="T968" t="s">
        <v>555</v>
      </c>
      <c r="U968" s="5">
        <v>47</v>
      </c>
      <c r="V968" s="5" t="s">
        <v>56</v>
      </c>
      <c r="W968" s="5">
        <v>22</v>
      </c>
      <c r="X968" s="5">
        <v>8.1</v>
      </c>
      <c r="Y968" s="5">
        <v>2</v>
      </c>
      <c r="Z968" s="5" t="s">
        <v>71</v>
      </c>
      <c r="AA968" s="6">
        <v>97.15</v>
      </c>
      <c r="AB968" s="8">
        <f t="shared" si="195"/>
        <v>870</v>
      </c>
      <c r="AC968" s="8">
        <f t="shared" si="196"/>
        <v>0</v>
      </c>
      <c r="AD968" s="8">
        <f t="shared" si="197"/>
        <v>870</v>
      </c>
      <c r="AE968" s="8">
        <f t="shared" si="198"/>
        <v>582.90000000000009</v>
      </c>
      <c r="AF968" s="8">
        <f t="shared" si="199"/>
        <v>287.09999999999991</v>
      </c>
      <c r="AG968" s="9">
        <f t="shared" si="200"/>
        <v>0.3299999999999999</v>
      </c>
      <c r="AH968" s="10">
        <f t="shared" si="201"/>
        <v>2025</v>
      </c>
      <c r="AI968" s="10">
        <f t="shared" si="202"/>
        <v>10</v>
      </c>
      <c r="AJ968" s="10" t="str">
        <f t="shared" si="203"/>
        <v>2025-10</v>
      </c>
      <c r="AK968" s="10" t="str">
        <f t="shared" si="204"/>
        <v>T4</v>
      </c>
      <c r="AL968" s="10" t="str">
        <f t="shared" si="205"/>
        <v>40-49</v>
      </c>
      <c r="AM968" s="10" t="str">
        <f t="shared" si="206"/>
        <v>bon</v>
      </c>
      <c r="AN968" s="10" t="s">
        <v>2838</v>
      </c>
      <c r="AO968" s="10" t="str">
        <f t="shared" si="207"/>
        <v>Moyenne</v>
      </c>
    </row>
    <row r="969" spans="1:41">
      <c r="A969" t="s">
        <v>2765</v>
      </c>
      <c r="B969" s="2">
        <v>45745</v>
      </c>
      <c r="C969" t="s">
        <v>2766</v>
      </c>
      <c r="D969" t="s">
        <v>148</v>
      </c>
      <c r="E969" t="s">
        <v>75</v>
      </c>
      <c r="F969" t="s">
        <v>44</v>
      </c>
      <c r="G969">
        <v>2</v>
      </c>
      <c r="H969" s="4">
        <v>110</v>
      </c>
      <c r="I969" s="3">
        <v>0.05</v>
      </c>
      <c r="J969" t="s">
        <v>45</v>
      </c>
      <c r="K969" t="s">
        <v>46</v>
      </c>
      <c r="L969" t="s">
        <v>2767</v>
      </c>
      <c r="M969" t="s">
        <v>79</v>
      </c>
      <c r="N969" t="s">
        <v>101</v>
      </c>
      <c r="O969" t="s">
        <v>151</v>
      </c>
      <c r="P969" t="s">
        <v>103</v>
      </c>
      <c r="Q969" t="s">
        <v>114</v>
      </c>
      <c r="R969" t="s">
        <v>83</v>
      </c>
      <c r="S969" t="s">
        <v>69</v>
      </c>
      <c r="T969" t="s">
        <v>55</v>
      </c>
      <c r="U969" s="5">
        <v>60</v>
      </c>
      <c r="V969" s="5" t="s">
        <v>56</v>
      </c>
      <c r="W969" s="5">
        <v>66</v>
      </c>
      <c r="X969" s="5">
        <v>7.2</v>
      </c>
      <c r="Y969" s="5">
        <v>2</v>
      </c>
      <c r="Z969" s="5" t="s">
        <v>94</v>
      </c>
      <c r="AA969" s="6">
        <v>72.599999999999994</v>
      </c>
      <c r="AB969" s="8">
        <f t="shared" si="195"/>
        <v>220</v>
      </c>
      <c r="AC969" s="8">
        <f t="shared" si="196"/>
        <v>11</v>
      </c>
      <c r="AD969" s="8">
        <f t="shared" si="197"/>
        <v>209</v>
      </c>
      <c r="AE969" s="8">
        <f t="shared" si="198"/>
        <v>145.19999999999999</v>
      </c>
      <c r="AF969" s="8">
        <f t="shared" si="199"/>
        <v>63.800000000000011</v>
      </c>
      <c r="AG969" s="9">
        <f t="shared" si="200"/>
        <v>0.3052631578947369</v>
      </c>
      <c r="AH969" s="10">
        <f t="shared" si="201"/>
        <v>2025</v>
      </c>
      <c r="AI969" s="10">
        <f t="shared" si="202"/>
        <v>3</v>
      </c>
      <c r="AJ969" s="10" t="str">
        <f t="shared" si="203"/>
        <v>2025-03</v>
      </c>
      <c r="AK969" s="10" t="str">
        <f t="shared" si="204"/>
        <v>T1</v>
      </c>
      <c r="AL969" s="10" t="str">
        <f t="shared" si="205"/>
        <v>50+</v>
      </c>
      <c r="AM969" s="10" t="str">
        <f t="shared" si="206"/>
        <v>bon</v>
      </c>
      <c r="AN969" s="10" t="s">
        <v>2838</v>
      </c>
      <c r="AO969" s="10" t="str">
        <f t="shared" si="207"/>
        <v>Faible</v>
      </c>
    </row>
    <row r="970" spans="1:41">
      <c r="A970" t="s">
        <v>2768</v>
      </c>
      <c r="B970" s="2">
        <v>46009</v>
      </c>
      <c r="C970" t="s">
        <v>1379</v>
      </c>
      <c r="D970" t="s">
        <v>108</v>
      </c>
      <c r="E970" t="s">
        <v>207</v>
      </c>
      <c r="F970" t="s">
        <v>396</v>
      </c>
      <c r="G970">
        <v>2</v>
      </c>
      <c r="H970" s="4">
        <v>240</v>
      </c>
      <c r="I970" s="3">
        <v>0</v>
      </c>
      <c r="J970" t="s">
        <v>90</v>
      </c>
      <c r="K970" t="s">
        <v>46</v>
      </c>
      <c r="L970" t="s">
        <v>1380</v>
      </c>
      <c r="M970" t="s">
        <v>69</v>
      </c>
      <c r="N970" t="s">
        <v>49</v>
      </c>
      <c r="O970" t="s">
        <v>113</v>
      </c>
      <c r="P970" t="s">
        <v>82</v>
      </c>
      <c r="Q970" t="s">
        <v>114</v>
      </c>
      <c r="R970" t="s">
        <v>210</v>
      </c>
      <c r="S970" t="s">
        <v>79</v>
      </c>
      <c r="T970" t="s">
        <v>398</v>
      </c>
      <c r="U970" s="5">
        <v>47</v>
      </c>
      <c r="V970" s="5" t="s">
        <v>56</v>
      </c>
      <c r="W970" s="5">
        <v>22</v>
      </c>
      <c r="X970" s="5">
        <v>7.2</v>
      </c>
      <c r="Y970" s="5">
        <v>3</v>
      </c>
      <c r="Z970" s="5" t="s">
        <v>57</v>
      </c>
      <c r="AA970" s="6">
        <v>177.6</v>
      </c>
      <c r="AB970" s="8">
        <f t="shared" si="195"/>
        <v>480</v>
      </c>
      <c r="AC970" s="8">
        <f t="shared" si="196"/>
        <v>0</v>
      </c>
      <c r="AD970" s="8">
        <f t="shared" si="197"/>
        <v>480</v>
      </c>
      <c r="AE970" s="8">
        <f t="shared" si="198"/>
        <v>355.2</v>
      </c>
      <c r="AF970" s="8">
        <f t="shared" si="199"/>
        <v>124.80000000000001</v>
      </c>
      <c r="AG970" s="9">
        <f t="shared" si="200"/>
        <v>0.26</v>
      </c>
      <c r="AH970" s="10">
        <f t="shared" si="201"/>
        <v>2025</v>
      </c>
      <c r="AI970" s="10">
        <f t="shared" si="202"/>
        <v>12</v>
      </c>
      <c r="AJ970" s="10" t="str">
        <f t="shared" si="203"/>
        <v>2025-12</v>
      </c>
      <c r="AK970" s="10" t="str">
        <f t="shared" si="204"/>
        <v>T4</v>
      </c>
      <c r="AL970" s="10" t="str">
        <f t="shared" si="205"/>
        <v>40-49</v>
      </c>
      <c r="AM970" s="10" t="str">
        <f t="shared" si="206"/>
        <v>bon</v>
      </c>
      <c r="AN970" s="10" t="s">
        <v>2838</v>
      </c>
      <c r="AO970" s="10" t="str">
        <f t="shared" si="207"/>
        <v>Faible</v>
      </c>
    </row>
    <row r="971" spans="1:41">
      <c r="A971" t="s">
        <v>2769</v>
      </c>
      <c r="B971" s="2">
        <v>45907</v>
      </c>
      <c r="C971" t="s">
        <v>2770</v>
      </c>
      <c r="D971" t="s">
        <v>138</v>
      </c>
      <c r="E971" t="s">
        <v>189</v>
      </c>
      <c r="F971" t="s">
        <v>110</v>
      </c>
      <c r="G971">
        <v>4</v>
      </c>
      <c r="H971" s="4">
        <v>120</v>
      </c>
      <c r="I971" s="3">
        <v>0</v>
      </c>
      <c r="J971" t="s">
        <v>77</v>
      </c>
      <c r="K971" t="s">
        <v>46</v>
      </c>
      <c r="L971" t="s">
        <v>2771</v>
      </c>
      <c r="M971" t="s">
        <v>69</v>
      </c>
      <c r="N971" t="s">
        <v>49</v>
      </c>
      <c r="O971" t="s">
        <v>142</v>
      </c>
      <c r="P971" t="s">
        <v>51</v>
      </c>
      <c r="Q971" t="s">
        <v>143</v>
      </c>
      <c r="R971" t="s">
        <v>193</v>
      </c>
      <c r="S971" t="s">
        <v>79</v>
      </c>
      <c r="T971" t="s">
        <v>116</v>
      </c>
      <c r="U971" s="5">
        <v>26</v>
      </c>
      <c r="V971" s="5" t="s">
        <v>85</v>
      </c>
      <c r="W971" s="5">
        <v>25</v>
      </c>
      <c r="X971" s="5">
        <v>4.0999999999999996</v>
      </c>
      <c r="Y971" s="5">
        <v>7</v>
      </c>
      <c r="Z971" s="5" t="s">
        <v>94</v>
      </c>
      <c r="AA971" s="6">
        <v>73.2</v>
      </c>
      <c r="AB971" s="8">
        <f t="shared" si="195"/>
        <v>480</v>
      </c>
      <c r="AC971" s="8">
        <f t="shared" si="196"/>
        <v>0</v>
      </c>
      <c r="AD971" s="8">
        <f t="shared" si="197"/>
        <v>480</v>
      </c>
      <c r="AE971" s="8">
        <f t="shared" si="198"/>
        <v>292.8</v>
      </c>
      <c r="AF971" s="8">
        <f t="shared" si="199"/>
        <v>187.2</v>
      </c>
      <c r="AG971" s="9">
        <f t="shared" si="200"/>
        <v>0.38999999999999996</v>
      </c>
      <c r="AH971" s="10">
        <f t="shared" si="201"/>
        <v>2025</v>
      </c>
      <c r="AI971" s="10">
        <f t="shared" si="202"/>
        <v>9</v>
      </c>
      <c r="AJ971" s="10" t="str">
        <f t="shared" si="203"/>
        <v>2025-09</v>
      </c>
      <c r="AK971" s="10" t="str">
        <f t="shared" si="204"/>
        <v>T3</v>
      </c>
      <c r="AL971" s="10" t="str">
        <f t="shared" si="205"/>
        <v>22-29</v>
      </c>
      <c r="AM971" s="10" t="str">
        <f t="shared" si="206"/>
        <v>faible</v>
      </c>
      <c r="AN971" s="10" t="s">
        <v>2837</v>
      </c>
      <c r="AO971" s="10" t="str">
        <f t="shared" si="207"/>
        <v>Faible</v>
      </c>
    </row>
    <row r="972" spans="1:41">
      <c r="A972" t="s">
        <v>2772</v>
      </c>
      <c r="B972" s="2">
        <v>45682</v>
      </c>
      <c r="C972" t="s">
        <v>817</v>
      </c>
      <c r="D972" t="s">
        <v>272</v>
      </c>
      <c r="E972" t="s">
        <v>277</v>
      </c>
      <c r="F972" t="s">
        <v>62</v>
      </c>
      <c r="G972">
        <v>1</v>
      </c>
      <c r="H972" s="4">
        <v>420</v>
      </c>
      <c r="I972" s="3">
        <v>0.1</v>
      </c>
      <c r="J972" t="s">
        <v>77</v>
      </c>
      <c r="K972" t="s">
        <v>46</v>
      </c>
      <c r="L972" t="s">
        <v>818</v>
      </c>
      <c r="M972" t="s">
        <v>48</v>
      </c>
      <c r="N972" t="s">
        <v>101</v>
      </c>
      <c r="O972" t="s">
        <v>274</v>
      </c>
      <c r="P972" t="s">
        <v>133</v>
      </c>
      <c r="Q972" t="s">
        <v>114</v>
      </c>
      <c r="R972" t="s">
        <v>279</v>
      </c>
      <c r="S972" t="s">
        <v>54</v>
      </c>
      <c r="T972" t="s">
        <v>70</v>
      </c>
      <c r="U972" s="5">
        <v>30</v>
      </c>
      <c r="V972" s="5" t="s">
        <v>56</v>
      </c>
      <c r="W972" s="5">
        <v>8</v>
      </c>
      <c r="X972" s="5">
        <v>7.3</v>
      </c>
      <c r="Y972" s="5">
        <v>3</v>
      </c>
      <c r="Z972" s="5" t="s">
        <v>71</v>
      </c>
      <c r="AA972" s="6">
        <v>273</v>
      </c>
      <c r="AB972" s="8">
        <f t="shared" si="195"/>
        <v>420</v>
      </c>
      <c r="AC972" s="8">
        <f t="shared" si="196"/>
        <v>42</v>
      </c>
      <c r="AD972" s="8">
        <f t="shared" si="197"/>
        <v>378</v>
      </c>
      <c r="AE972" s="8">
        <f t="shared" si="198"/>
        <v>273</v>
      </c>
      <c r="AF972" s="8">
        <f t="shared" si="199"/>
        <v>105</v>
      </c>
      <c r="AG972" s="9">
        <f t="shared" si="200"/>
        <v>0.27777777777777779</v>
      </c>
      <c r="AH972" s="10">
        <f t="shared" si="201"/>
        <v>2025</v>
      </c>
      <c r="AI972" s="10">
        <f t="shared" si="202"/>
        <v>1</v>
      </c>
      <c r="AJ972" s="10" t="str">
        <f t="shared" si="203"/>
        <v>2025-01</v>
      </c>
      <c r="AK972" s="10" t="str">
        <f t="shared" si="204"/>
        <v>T1</v>
      </c>
      <c r="AL972" s="10" t="str">
        <f t="shared" si="205"/>
        <v>30-39</v>
      </c>
      <c r="AM972" s="10" t="str">
        <f t="shared" si="206"/>
        <v>bon</v>
      </c>
      <c r="AN972" s="10" t="s">
        <v>2838</v>
      </c>
      <c r="AO972" s="10" t="str">
        <f t="shared" si="207"/>
        <v>Faible</v>
      </c>
    </row>
    <row r="973" spans="1:41">
      <c r="A973" t="s">
        <v>2773</v>
      </c>
      <c r="B973" s="2">
        <v>45844</v>
      </c>
      <c r="C973" t="s">
        <v>2459</v>
      </c>
      <c r="D973" t="s">
        <v>188</v>
      </c>
      <c r="E973" t="s">
        <v>214</v>
      </c>
      <c r="F973" t="s">
        <v>149</v>
      </c>
      <c r="G973">
        <v>1</v>
      </c>
      <c r="H973" s="4">
        <v>350</v>
      </c>
      <c r="I973" s="3">
        <v>0</v>
      </c>
      <c r="J973" t="s">
        <v>90</v>
      </c>
      <c r="K973" t="s">
        <v>46</v>
      </c>
      <c r="L973" t="s">
        <v>2460</v>
      </c>
      <c r="M973" t="s">
        <v>69</v>
      </c>
      <c r="N973" t="s">
        <v>101</v>
      </c>
      <c r="O973" t="s">
        <v>192</v>
      </c>
      <c r="P973" t="s">
        <v>51</v>
      </c>
      <c r="Q973" t="s">
        <v>114</v>
      </c>
      <c r="R973" t="s">
        <v>216</v>
      </c>
      <c r="S973" t="s">
        <v>65</v>
      </c>
      <c r="T973" t="s">
        <v>152</v>
      </c>
      <c r="U973" s="5">
        <v>30</v>
      </c>
      <c r="V973" s="5" t="s">
        <v>56</v>
      </c>
      <c r="W973" s="5">
        <v>12</v>
      </c>
      <c r="X973" s="5">
        <v>6.1</v>
      </c>
      <c r="Y973" s="5">
        <v>5</v>
      </c>
      <c r="Z973" s="5" t="s">
        <v>71</v>
      </c>
      <c r="AA973" s="6">
        <v>213.5</v>
      </c>
      <c r="AB973" s="8">
        <f t="shared" si="195"/>
        <v>350</v>
      </c>
      <c r="AC973" s="8">
        <f t="shared" si="196"/>
        <v>0</v>
      </c>
      <c r="AD973" s="8">
        <f t="shared" si="197"/>
        <v>350</v>
      </c>
      <c r="AE973" s="8">
        <f t="shared" si="198"/>
        <v>213.5</v>
      </c>
      <c r="AF973" s="8">
        <f t="shared" si="199"/>
        <v>136.5</v>
      </c>
      <c r="AG973" s="9">
        <f t="shared" si="200"/>
        <v>0.39</v>
      </c>
      <c r="AH973" s="10">
        <f t="shared" si="201"/>
        <v>2025</v>
      </c>
      <c r="AI973" s="10">
        <f t="shared" si="202"/>
        <v>7</v>
      </c>
      <c r="AJ973" s="10" t="str">
        <f t="shared" si="203"/>
        <v>2025-07</v>
      </c>
      <c r="AK973" s="10" t="str">
        <f t="shared" si="204"/>
        <v>T3</v>
      </c>
      <c r="AL973" s="10" t="str">
        <f t="shared" si="205"/>
        <v>30-39</v>
      </c>
      <c r="AM973" s="10" t="str">
        <f t="shared" si="206"/>
        <v>moyen</v>
      </c>
      <c r="AN973" s="10" t="s">
        <v>2839</v>
      </c>
      <c r="AO973" s="10" t="str">
        <f t="shared" si="207"/>
        <v>Faible</v>
      </c>
    </row>
    <row r="974" spans="1:41">
      <c r="A974" t="s">
        <v>2774</v>
      </c>
      <c r="B974" s="2">
        <v>45825</v>
      </c>
      <c r="C974" t="s">
        <v>1231</v>
      </c>
      <c r="D974" t="s">
        <v>97</v>
      </c>
      <c r="E974" t="s">
        <v>189</v>
      </c>
      <c r="F974" t="s">
        <v>487</v>
      </c>
      <c r="G974">
        <v>1</v>
      </c>
      <c r="H974" s="4">
        <v>520</v>
      </c>
      <c r="I974" s="3">
        <v>0</v>
      </c>
      <c r="J974" t="s">
        <v>45</v>
      </c>
      <c r="K974" t="s">
        <v>46</v>
      </c>
      <c r="L974" t="s">
        <v>1232</v>
      </c>
      <c r="M974" t="s">
        <v>123</v>
      </c>
      <c r="N974" t="s">
        <v>112</v>
      </c>
      <c r="O974" t="s">
        <v>102</v>
      </c>
      <c r="P974" t="s">
        <v>103</v>
      </c>
      <c r="Q974" t="s">
        <v>52</v>
      </c>
      <c r="R974" t="s">
        <v>193</v>
      </c>
      <c r="S974" t="s">
        <v>79</v>
      </c>
      <c r="T974" t="s">
        <v>489</v>
      </c>
      <c r="U974" s="5">
        <v>26</v>
      </c>
      <c r="V974" s="5" t="s">
        <v>56</v>
      </c>
      <c r="W974" s="5">
        <v>68</v>
      </c>
      <c r="X974" s="5">
        <v>4.0999999999999996</v>
      </c>
      <c r="Y974" s="5">
        <v>8</v>
      </c>
      <c r="Z974" s="5" t="s">
        <v>117</v>
      </c>
      <c r="AA974" s="6">
        <v>348.4</v>
      </c>
      <c r="AB974" s="8">
        <f t="shared" si="195"/>
        <v>520</v>
      </c>
      <c r="AC974" s="8">
        <f t="shared" si="196"/>
        <v>0</v>
      </c>
      <c r="AD974" s="8">
        <f t="shared" si="197"/>
        <v>520</v>
      </c>
      <c r="AE974" s="8">
        <f t="shared" si="198"/>
        <v>348.4</v>
      </c>
      <c r="AF974" s="8">
        <f t="shared" si="199"/>
        <v>171.60000000000002</v>
      </c>
      <c r="AG974" s="9">
        <f t="shared" si="200"/>
        <v>0.33000000000000007</v>
      </c>
      <c r="AH974" s="10">
        <f t="shared" si="201"/>
        <v>2025</v>
      </c>
      <c r="AI974" s="10">
        <f t="shared" si="202"/>
        <v>6</v>
      </c>
      <c r="AJ974" s="10" t="str">
        <f t="shared" si="203"/>
        <v>2025-06</v>
      </c>
      <c r="AK974" s="10" t="str">
        <f t="shared" si="204"/>
        <v>T2</v>
      </c>
      <c r="AL974" s="10" t="str">
        <f t="shared" si="205"/>
        <v>22-29</v>
      </c>
      <c r="AM974" s="10" t="str">
        <f t="shared" si="206"/>
        <v>faible</v>
      </c>
      <c r="AN974" s="10" t="s">
        <v>2837</v>
      </c>
      <c r="AO974" s="10" t="str">
        <f t="shared" si="207"/>
        <v>Moyenne</v>
      </c>
    </row>
    <row r="975" spans="1:41">
      <c r="A975" t="s">
        <v>2775</v>
      </c>
      <c r="B975" s="2">
        <v>45926</v>
      </c>
      <c r="C975" t="s">
        <v>2776</v>
      </c>
      <c r="D975" t="s">
        <v>333</v>
      </c>
      <c r="E975" t="s">
        <v>277</v>
      </c>
      <c r="F975" t="s">
        <v>99</v>
      </c>
      <c r="G975">
        <v>1</v>
      </c>
      <c r="H975" s="4">
        <v>65</v>
      </c>
      <c r="I975" s="3">
        <v>0.1</v>
      </c>
      <c r="J975" t="s">
        <v>63</v>
      </c>
      <c r="K975" t="s">
        <v>46</v>
      </c>
      <c r="L975" t="s">
        <v>2777</v>
      </c>
      <c r="M975" t="s">
        <v>69</v>
      </c>
      <c r="N975" t="s">
        <v>255</v>
      </c>
      <c r="O975" t="s">
        <v>336</v>
      </c>
      <c r="P975" t="s">
        <v>51</v>
      </c>
      <c r="Q975" t="s">
        <v>52</v>
      </c>
      <c r="R975" t="s">
        <v>279</v>
      </c>
      <c r="S975" t="s">
        <v>54</v>
      </c>
      <c r="T975" t="s">
        <v>105</v>
      </c>
      <c r="U975" s="5">
        <v>31</v>
      </c>
      <c r="V975" s="5" t="s">
        <v>56</v>
      </c>
      <c r="W975" s="5">
        <v>38</v>
      </c>
      <c r="X975" s="5">
        <v>6.6</v>
      </c>
      <c r="Y975" s="5">
        <v>5</v>
      </c>
      <c r="Z975" s="5" t="s">
        <v>94</v>
      </c>
      <c r="AA975" s="6">
        <v>47.45</v>
      </c>
      <c r="AB975" s="8">
        <f t="shared" si="195"/>
        <v>65</v>
      </c>
      <c r="AC975" s="8">
        <f t="shared" si="196"/>
        <v>6.5</v>
      </c>
      <c r="AD975" s="8">
        <f t="shared" si="197"/>
        <v>58.5</v>
      </c>
      <c r="AE975" s="8">
        <f t="shared" si="198"/>
        <v>47.45</v>
      </c>
      <c r="AF975" s="8">
        <f t="shared" si="199"/>
        <v>11.049999999999997</v>
      </c>
      <c r="AG975" s="9">
        <f t="shared" si="200"/>
        <v>0.18888888888888883</v>
      </c>
      <c r="AH975" s="10">
        <f t="shared" si="201"/>
        <v>2025</v>
      </c>
      <c r="AI975" s="10">
        <f t="shared" si="202"/>
        <v>9</v>
      </c>
      <c r="AJ975" s="10" t="str">
        <f t="shared" si="203"/>
        <v>2025-09</v>
      </c>
      <c r="AK975" s="10" t="str">
        <f t="shared" si="204"/>
        <v>T3</v>
      </c>
      <c r="AL975" s="10" t="str">
        <f t="shared" si="205"/>
        <v>30-39</v>
      </c>
      <c r="AM975" s="10" t="str">
        <f t="shared" si="206"/>
        <v>moyen</v>
      </c>
      <c r="AN975" s="10" t="s">
        <v>2839</v>
      </c>
      <c r="AO975" s="10" t="str">
        <f t="shared" si="207"/>
        <v>Faible</v>
      </c>
    </row>
    <row r="976" spans="1:41">
      <c r="A976" t="s">
        <v>2778</v>
      </c>
      <c r="B976" s="2">
        <v>45794</v>
      </c>
      <c r="C976" t="s">
        <v>2779</v>
      </c>
      <c r="D976" t="s">
        <v>188</v>
      </c>
      <c r="E976" t="s">
        <v>120</v>
      </c>
      <c r="F976" t="s">
        <v>267</v>
      </c>
      <c r="G976">
        <v>10</v>
      </c>
      <c r="H976" s="4">
        <v>350</v>
      </c>
      <c r="I976" s="3">
        <v>0</v>
      </c>
      <c r="J976" t="s">
        <v>90</v>
      </c>
      <c r="K976" t="s">
        <v>46</v>
      </c>
      <c r="L976" t="s">
        <v>2780</v>
      </c>
      <c r="M976" t="s">
        <v>48</v>
      </c>
      <c r="N976" t="s">
        <v>255</v>
      </c>
      <c r="O976" t="s">
        <v>192</v>
      </c>
      <c r="P976" t="s">
        <v>51</v>
      </c>
      <c r="Q976" t="s">
        <v>114</v>
      </c>
      <c r="R976" t="s">
        <v>124</v>
      </c>
      <c r="S976" t="s">
        <v>48</v>
      </c>
      <c r="T976" t="s">
        <v>269</v>
      </c>
      <c r="U976" s="5">
        <v>23</v>
      </c>
      <c r="V976" s="5" t="s">
        <v>85</v>
      </c>
      <c r="W976" s="5">
        <v>38</v>
      </c>
      <c r="X976" s="5">
        <v>8.1</v>
      </c>
      <c r="Y976" s="5">
        <v>2</v>
      </c>
      <c r="Z976" s="5" t="s">
        <v>71</v>
      </c>
      <c r="AA976" s="6">
        <v>213.5</v>
      </c>
      <c r="AB976" s="8">
        <f t="shared" si="195"/>
        <v>3500</v>
      </c>
      <c r="AC976" s="8">
        <f t="shared" si="196"/>
        <v>0</v>
      </c>
      <c r="AD976" s="8">
        <f t="shared" si="197"/>
        <v>3500</v>
      </c>
      <c r="AE976" s="8">
        <f t="shared" si="198"/>
        <v>2135</v>
      </c>
      <c r="AF976" s="8">
        <f t="shared" si="199"/>
        <v>1365</v>
      </c>
      <c r="AG976" s="9">
        <f t="shared" si="200"/>
        <v>0.39</v>
      </c>
      <c r="AH976" s="10">
        <f t="shared" si="201"/>
        <v>2025</v>
      </c>
      <c r="AI976" s="10">
        <f t="shared" si="202"/>
        <v>5</v>
      </c>
      <c r="AJ976" s="10" t="str">
        <f t="shared" si="203"/>
        <v>2025-05</v>
      </c>
      <c r="AK976" s="10" t="str">
        <f t="shared" si="204"/>
        <v>T2</v>
      </c>
      <c r="AL976" s="10" t="str">
        <f t="shared" si="205"/>
        <v>22-29</v>
      </c>
      <c r="AM976" s="10" t="str">
        <f t="shared" si="206"/>
        <v>bon</v>
      </c>
      <c r="AN976" s="10" t="s">
        <v>2838</v>
      </c>
      <c r="AO976" s="10" t="str">
        <f t="shared" si="207"/>
        <v>Elevée</v>
      </c>
    </row>
    <row r="977" spans="1:41">
      <c r="A977" t="s">
        <v>2781</v>
      </c>
      <c r="B977" s="2">
        <v>45891</v>
      </c>
      <c r="C977" t="s">
        <v>547</v>
      </c>
      <c r="D977" t="s">
        <v>188</v>
      </c>
      <c r="E977" t="s">
        <v>315</v>
      </c>
      <c r="F977" t="s">
        <v>968</v>
      </c>
      <c r="G977">
        <v>2</v>
      </c>
      <c r="H977" s="4">
        <v>350</v>
      </c>
      <c r="I977" s="3">
        <v>0.05</v>
      </c>
      <c r="J977" t="s">
        <v>90</v>
      </c>
      <c r="K977" t="s">
        <v>46</v>
      </c>
      <c r="L977" t="s">
        <v>549</v>
      </c>
      <c r="M977" t="s">
        <v>48</v>
      </c>
      <c r="N977" t="s">
        <v>80</v>
      </c>
      <c r="O977" t="s">
        <v>192</v>
      </c>
      <c r="P977" t="s">
        <v>51</v>
      </c>
      <c r="Q977" t="s">
        <v>114</v>
      </c>
      <c r="R977" t="s">
        <v>317</v>
      </c>
      <c r="S977" t="s">
        <v>69</v>
      </c>
      <c r="T977" t="s">
        <v>970</v>
      </c>
      <c r="U977" s="5">
        <v>23</v>
      </c>
      <c r="V977" s="5" t="s">
        <v>85</v>
      </c>
      <c r="W977" s="5">
        <v>49</v>
      </c>
      <c r="X977" s="5">
        <v>6.7</v>
      </c>
      <c r="Y977" s="5">
        <v>4</v>
      </c>
      <c r="Z977" s="5" t="s">
        <v>94</v>
      </c>
      <c r="AA977" s="6">
        <v>213.5</v>
      </c>
      <c r="AB977" s="8">
        <f t="shared" si="195"/>
        <v>700</v>
      </c>
      <c r="AC977" s="8">
        <f t="shared" si="196"/>
        <v>35</v>
      </c>
      <c r="AD977" s="8">
        <f t="shared" si="197"/>
        <v>665</v>
      </c>
      <c r="AE977" s="8">
        <f t="shared" si="198"/>
        <v>427</v>
      </c>
      <c r="AF977" s="8">
        <f t="shared" si="199"/>
        <v>238</v>
      </c>
      <c r="AG977" s="9">
        <f t="shared" si="200"/>
        <v>0.35789473684210527</v>
      </c>
      <c r="AH977" s="10">
        <f t="shared" si="201"/>
        <v>2025</v>
      </c>
      <c r="AI977" s="10">
        <f t="shared" si="202"/>
        <v>8</v>
      </c>
      <c r="AJ977" s="10" t="str">
        <f t="shared" si="203"/>
        <v>2025-08</v>
      </c>
      <c r="AK977" s="10" t="str">
        <f t="shared" si="204"/>
        <v>T3</v>
      </c>
      <c r="AL977" s="10" t="str">
        <f t="shared" si="205"/>
        <v>22-29</v>
      </c>
      <c r="AM977" s="10" t="str">
        <f t="shared" si="206"/>
        <v>moyen</v>
      </c>
      <c r="AN977" s="10" t="s">
        <v>2839</v>
      </c>
      <c r="AO977" s="10" t="str">
        <f t="shared" si="207"/>
        <v>Moyenne</v>
      </c>
    </row>
    <row r="978" spans="1:41">
      <c r="A978" t="s">
        <v>2782</v>
      </c>
      <c r="B978" s="2">
        <v>45967</v>
      </c>
      <c r="C978" t="s">
        <v>2783</v>
      </c>
      <c r="D978" t="s">
        <v>272</v>
      </c>
      <c r="E978" t="s">
        <v>61</v>
      </c>
      <c r="F978" t="s">
        <v>197</v>
      </c>
      <c r="G978">
        <v>4</v>
      </c>
      <c r="H978" s="4">
        <v>420</v>
      </c>
      <c r="I978" s="3">
        <v>0</v>
      </c>
      <c r="J978" t="s">
        <v>63</v>
      </c>
      <c r="K978" t="s">
        <v>46</v>
      </c>
      <c r="L978" t="s">
        <v>2784</v>
      </c>
      <c r="M978" t="s">
        <v>69</v>
      </c>
      <c r="N978" t="s">
        <v>49</v>
      </c>
      <c r="O978" t="s">
        <v>274</v>
      </c>
      <c r="P978" t="s">
        <v>133</v>
      </c>
      <c r="Q978" t="s">
        <v>114</v>
      </c>
      <c r="R978" t="s">
        <v>68</v>
      </c>
      <c r="S978" t="s">
        <v>69</v>
      </c>
      <c r="T978" t="s">
        <v>199</v>
      </c>
      <c r="U978" s="5">
        <v>55</v>
      </c>
      <c r="V978" s="5" t="s">
        <v>56</v>
      </c>
      <c r="W978" s="5">
        <v>69</v>
      </c>
      <c r="X978" s="5">
        <v>6</v>
      </c>
      <c r="Y978" s="5">
        <v>6</v>
      </c>
      <c r="Z978" s="5" t="s">
        <v>117</v>
      </c>
      <c r="AA978" s="6">
        <v>273</v>
      </c>
      <c r="AB978" s="8">
        <f t="shared" si="195"/>
        <v>1680</v>
      </c>
      <c r="AC978" s="8">
        <f t="shared" si="196"/>
        <v>0</v>
      </c>
      <c r="AD978" s="8">
        <f t="shared" si="197"/>
        <v>1680</v>
      </c>
      <c r="AE978" s="8">
        <f t="shared" si="198"/>
        <v>1092</v>
      </c>
      <c r="AF978" s="8">
        <f t="shared" si="199"/>
        <v>588</v>
      </c>
      <c r="AG978" s="9">
        <f t="shared" si="200"/>
        <v>0.35</v>
      </c>
      <c r="AH978" s="10">
        <f t="shared" si="201"/>
        <v>2025</v>
      </c>
      <c r="AI978" s="10">
        <f t="shared" si="202"/>
        <v>11</v>
      </c>
      <c r="AJ978" s="10" t="str">
        <f t="shared" si="203"/>
        <v>2025-11</v>
      </c>
      <c r="AK978" s="10" t="str">
        <f t="shared" si="204"/>
        <v>T4</v>
      </c>
      <c r="AL978" s="10" t="str">
        <f t="shared" si="205"/>
        <v>50+</v>
      </c>
      <c r="AM978" s="10" t="str">
        <f t="shared" si="206"/>
        <v>moyen</v>
      </c>
      <c r="AN978" s="10" t="s">
        <v>2839</v>
      </c>
      <c r="AO978" s="10" t="str">
        <f t="shared" si="207"/>
        <v>Elevée</v>
      </c>
    </row>
    <row r="979" spans="1:41">
      <c r="A979" t="s">
        <v>2785</v>
      </c>
      <c r="B979" s="2">
        <v>45921</v>
      </c>
      <c r="C979" t="s">
        <v>2786</v>
      </c>
      <c r="D979" t="s">
        <v>42</v>
      </c>
      <c r="E979" t="s">
        <v>163</v>
      </c>
      <c r="F979" t="s">
        <v>302</v>
      </c>
      <c r="G979">
        <v>3</v>
      </c>
      <c r="H979" s="4">
        <v>260</v>
      </c>
      <c r="I979" s="3">
        <v>0.1</v>
      </c>
      <c r="J979" t="s">
        <v>77</v>
      </c>
      <c r="K979" t="s">
        <v>46</v>
      </c>
      <c r="L979" t="s">
        <v>2787</v>
      </c>
      <c r="M979" t="s">
        <v>48</v>
      </c>
      <c r="N979" t="s">
        <v>49</v>
      </c>
      <c r="O979" t="s">
        <v>50</v>
      </c>
      <c r="P979" t="s">
        <v>51</v>
      </c>
      <c r="Q979" t="s">
        <v>52</v>
      </c>
      <c r="R979" t="s">
        <v>167</v>
      </c>
      <c r="S979" t="s">
        <v>123</v>
      </c>
      <c r="T979" t="s">
        <v>304</v>
      </c>
      <c r="U979" s="5">
        <v>60</v>
      </c>
      <c r="V979" s="5" t="s">
        <v>85</v>
      </c>
      <c r="W979" s="5">
        <v>67</v>
      </c>
      <c r="X979" s="5">
        <v>7.4</v>
      </c>
      <c r="Y979" s="5">
        <v>4</v>
      </c>
      <c r="Z979" s="5" t="s">
        <v>57</v>
      </c>
      <c r="AA979" s="6">
        <v>189.8</v>
      </c>
      <c r="AB979" s="8">
        <f t="shared" si="195"/>
        <v>780</v>
      </c>
      <c r="AC979" s="8">
        <f t="shared" si="196"/>
        <v>78</v>
      </c>
      <c r="AD979" s="8">
        <f t="shared" si="197"/>
        <v>702</v>
      </c>
      <c r="AE979" s="8">
        <f t="shared" si="198"/>
        <v>569.40000000000009</v>
      </c>
      <c r="AF979" s="8">
        <f t="shared" si="199"/>
        <v>132.59999999999991</v>
      </c>
      <c r="AG979" s="9">
        <f t="shared" si="200"/>
        <v>0.18888888888888877</v>
      </c>
      <c r="AH979" s="10">
        <f t="shared" si="201"/>
        <v>2025</v>
      </c>
      <c r="AI979" s="10">
        <f t="shared" si="202"/>
        <v>9</v>
      </c>
      <c r="AJ979" s="10" t="str">
        <f t="shared" si="203"/>
        <v>2025-09</v>
      </c>
      <c r="AK979" s="10" t="str">
        <f t="shared" si="204"/>
        <v>T3</v>
      </c>
      <c r="AL979" s="10" t="str">
        <f t="shared" si="205"/>
        <v>50+</v>
      </c>
      <c r="AM979" s="10" t="str">
        <f t="shared" si="206"/>
        <v>bon</v>
      </c>
      <c r="AN979" s="10" t="s">
        <v>2839</v>
      </c>
      <c r="AO979" s="10" t="str">
        <f t="shared" si="207"/>
        <v>Moyenne</v>
      </c>
    </row>
    <row r="980" spans="1:41">
      <c r="A980" t="s">
        <v>2788</v>
      </c>
      <c r="B980" s="2">
        <v>45877</v>
      </c>
      <c r="C980" t="s">
        <v>2789</v>
      </c>
      <c r="D980" t="s">
        <v>108</v>
      </c>
      <c r="E980" t="s">
        <v>61</v>
      </c>
      <c r="F980" t="s">
        <v>439</v>
      </c>
      <c r="G980">
        <v>2</v>
      </c>
      <c r="H980" s="4">
        <v>240</v>
      </c>
      <c r="I980" s="3">
        <v>0</v>
      </c>
      <c r="J980" t="s">
        <v>63</v>
      </c>
      <c r="K980" t="s">
        <v>46</v>
      </c>
      <c r="L980" t="s">
        <v>2790</v>
      </c>
      <c r="M980" t="s">
        <v>54</v>
      </c>
      <c r="N980" t="s">
        <v>101</v>
      </c>
      <c r="O980" t="s">
        <v>113</v>
      </c>
      <c r="P980" t="s">
        <v>82</v>
      </c>
      <c r="Q980" t="s">
        <v>114</v>
      </c>
      <c r="R980" t="s">
        <v>68</v>
      </c>
      <c r="S980" t="s">
        <v>69</v>
      </c>
      <c r="T980" t="s">
        <v>441</v>
      </c>
      <c r="U980" s="5">
        <v>46</v>
      </c>
      <c r="V980" s="5" t="s">
        <v>85</v>
      </c>
      <c r="W980" s="5">
        <v>61</v>
      </c>
      <c r="X980" s="5">
        <v>4.7</v>
      </c>
      <c r="Y980" s="5">
        <v>7</v>
      </c>
      <c r="Z980" s="5" t="s">
        <v>57</v>
      </c>
      <c r="AA980" s="6">
        <v>177.6</v>
      </c>
      <c r="AB980" s="8">
        <f t="shared" si="195"/>
        <v>480</v>
      </c>
      <c r="AC980" s="8">
        <f t="shared" si="196"/>
        <v>0</v>
      </c>
      <c r="AD980" s="8">
        <f t="shared" si="197"/>
        <v>480</v>
      </c>
      <c r="AE980" s="8">
        <f t="shared" si="198"/>
        <v>355.2</v>
      </c>
      <c r="AF980" s="8">
        <f t="shared" si="199"/>
        <v>124.80000000000001</v>
      </c>
      <c r="AG980" s="9">
        <f t="shared" si="200"/>
        <v>0.26</v>
      </c>
      <c r="AH980" s="10">
        <f t="shared" si="201"/>
        <v>2025</v>
      </c>
      <c r="AI980" s="10">
        <f t="shared" si="202"/>
        <v>8</v>
      </c>
      <c r="AJ980" s="10" t="str">
        <f t="shared" si="203"/>
        <v>2025-08</v>
      </c>
      <c r="AK980" s="10" t="str">
        <f t="shared" si="204"/>
        <v>T3</v>
      </c>
      <c r="AL980" s="10" t="str">
        <f t="shared" si="205"/>
        <v>40-49</v>
      </c>
      <c r="AM980" s="10" t="str">
        <f t="shared" si="206"/>
        <v>faible</v>
      </c>
      <c r="AN980" s="10" t="s">
        <v>2837</v>
      </c>
      <c r="AO980" s="10" t="str">
        <f t="shared" si="207"/>
        <v>Faible</v>
      </c>
    </row>
    <row r="981" spans="1:41">
      <c r="A981" t="s">
        <v>2791</v>
      </c>
      <c r="B981" s="2">
        <v>45743</v>
      </c>
      <c r="C981" t="s">
        <v>2792</v>
      </c>
      <c r="D981" t="s">
        <v>155</v>
      </c>
      <c r="E981" t="s">
        <v>109</v>
      </c>
      <c r="F981" t="s">
        <v>220</v>
      </c>
      <c r="G981">
        <v>1</v>
      </c>
      <c r="H981" s="4">
        <v>48</v>
      </c>
      <c r="I981" s="3">
        <v>0.08</v>
      </c>
      <c r="J981" t="s">
        <v>77</v>
      </c>
      <c r="K981" t="s">
        <v>46</v>
      </c>
      <c r="L981" t="s">
        <v>2793</v>
      </c>
      <c r="M981" t="s">
        <v>65</v>
      </c>
      <c r="N981" t="s">
        <v>255</v>
      </c>
      <c r="O981" t="s">
        <v>158</v>
      </c>
      <c r="P981" t="s">
        <v>51</v>
      </c>
      <c r="Q981" t="s">
        <v>143</v>
      </c>
      <c r="R981" t="s">
        <v>115</v>
      </c>
      <c r="S981" t="s">
        <v>65</v>
      </c>
      <c r="T981" t="s">
        <v>223</v>
      </c>
      <c r="U981" s="5">
        <v>23</v>
      </c>
      <c r="V981" s="5" t="s">
        <v>85</v>
      </c>
      <c r="W981" s="5">
        <v>54</v>
      </c>
      <c r="X981" s="5">
        <v>7.8</v>
      </c>
      <c r="Y981" s="5">
        <v>2</v>
      </c>
      <c r="Z981" s="5" t="s">
        <v>57</v>
      </c>
      <c r="AA981" s="6">
        <v>37.44</v>
      </c>
      <c r="AB981" s="8">
        <f t="shared" si="195"/>
        <v>48</v>
      </c>
      <c r="AC981" s="8">
        <f t="shared" si="196"/>
        <v>3.84</v>
      </c>
      <c r="AD981" s="8">
        <f t="shared" si="197"/>
        <v>44.16</v>
      </c>
      <c r="AE981" s="8">
        <f t="shared" si="198"/>
        <v>37.44</v>
      </c>
      <c r="AF981" s="8">
        <f t="shared" si="199"/>
        <v>6.7199999999999989</v>
      </c>
      <c r="AG981" s="9">
        <f t="shared" si="200"/>
        <v>0.15217391304347824</v>
      </c>
      <c r="AH981" s="10">
        <f t="shared" si="201"/>
        <v>2025</v>
      </c>
      <c r="AI981" s="10">
        <f t="shared" si="202"/>
        <v>3</v>
      </c>
      <c r="AJ981" s="10" t="str">
        <f t="shared" si="203"/>
        <v>2025-03</v>
      </c>
      <c r="AK981" s="10" t="str">
        <f t="shared" si="204"/>
        <v>T1</v>
      </c>
      <c r="AL981" s="10" t="str">
        <f t="shared" si="205"/>
        <v>22-29</v>
      </c>
      <c r="AM981" s="10" t="str">
        <f t="shared" si="206"/>
        <v>bon</v>
      </c>
      <c r="AN981" s="10" t="s">
        <v>2838</v>
      </c>
      <c r="AO981" s="10" t="str">
        <f t="shared" si="207"/>
        <v>Faible</v>
      </c>
    </row>
    <row r="982" spans="1:41">
      <c r="A982" t="s">
        <v>2794</v>
      </c>
      <c r="B982" s="2">
        <v>45820</v>
      </c>
      <c r="C982" t="s">
        <v>768</v>
      </c>
      <c r="D982" t="s">
        <v>108</v>
      </c>
      <c r="E982" t="s">
        <v>129</v>
      </c>
      <c r="F982" t="s">
        <v>334</v>
      </c>
      <c r="G982">
        <v>4</v>
      </c>
      <c r="H982" s="4">
        <v>240</v>
      </c>
      <c r="I982" s="3">
        <v>0.1</v>
      </c>
      <c r="J982" t="s">
        <v>77</v>
      </c>
      <c r="K982" t="s">
        <v>46</v>
      </c>
      <c r="L982" t="s">
        <v>769</v>
      </c>
      <c r="M982" t="s">
        <v>69</v>
      </c>
      <c r="N982" t="s">
        <v>101</v>
      </c>
      <c r="O982" t="s">
        <v>113</v>
      </c>
      <c r="P982" t="s">
        <v>82</v>
      </c>
      <c r="Q982" t="s">
        <v>114</v>
      </c>
      <c r="R982" t="s">
        <v>134</v>
      </c>
      <c r="S982" t="s">
        <v>123</v>
      </c>
      <c r="T982" t="s">
        <v>337</v>
      </c>
      <c r="U982" s="5">
        <v>22</v>
      </c>
      <c r="V982" s="5" t="s">
        <v>85</v>
      </c>
      <c r="W982" s="5">
        <v>34</v>
      </c>
      <c r="X982" s="5">
        <v>7.9</v>
      </c>
      <c r="Y982" s="5">
        <v>1</v>
      </c>
      <c r="Z982" s="5" t="s">
        <v>71</v>
      </c>
      <c r="AA982" s="6">
        <v>177.6</v>
      </c>
      <c r="AB982" s="8">
        <f t="shared" si="195"/>
        <v>960</v>
      </c>
      <c r="AC982" s="8">
        <f t="shared" si="196"/>
        <v>96</v>
      </c>
      <c r="AD982" s="8">
        <f t="shared" si="197"/>
        <v>864</v>
      </c>
      <c r="AE982" s="8">
        <f t="shared" si="198"/>
        <v>710.4</v>
      </c>
      <c r="AF982" s="8">
        <f t="shared" si="199"/>
        <v>153.60000000000002</v>
      </c>
      <c r="AG982" s="9">
        <f t="shared" si="200"/>
        <v>0.17777777777777781</v>
      </c>
      <c r="AH982" s="10">
        <f t="shared" si="201"/>
        <v>2025</v>
      </c>
      <c r="AI982" s="10">
        <f t="shared" si="202"/>
        <v>6</v>
      </c>
      <c r="AJ982" s="10" t="str">
        <f t="shared" si="203"/>
        <v>2025-06</v>
      </c>
      <c r="AK982" s="10" t="str">
        <f t="shared" si="204"/>
        <v>T2</v>
      </c>
      <c r="AL982" s="10" t="str">
        <f t="shared" si="205"/>
        <v>22-29</v>
      </c>
      <c r="AM982" s="10" t="str">
        <f t="shared" si="206"/>
        <v>bon</v>
      </c>
      <c r="AN982" s="10" t="s">
        <v>2838</v>
      </c>
      <c r="AO982" s="10" t="str">
        <f t="shared" si="207"/>
        <v>Moyenne</v>
      </c>
    </row>
    <row r="983" spans="1:41">
      <c r="A983" t="s">
        <v>2795</v>
      </c>
      <c r="B983" s="2">
        <v>46012</v>
      </c>
      <c r="C983" t="s">
        <v>2796</v>
      </c>
      <c r="D983" t="s">
        <v>74</v>
      </c>
      <c r="E983" t="s">
        <v>345</v>
      </c>
      <c r="F983" t="s">
        <v>434</v>
      </c>
      <c r="G983">
        <v>2</v>
      </c>
      <c r="H983" s="4">
        <v>95</v>
      </c>
      <c r="I983" s="3">
        <v>0</v>
      </c>
      <c r="J983" t="s">
        <v>90</v>
      </c>
      <c r="K983" t="s">
        <v>46</v>
      </c>
      <c r="L983" t="s">
        <v>2797</v>
      </c>
      <c r="M983" t="s">
        <v>79</v>
      </c>
      <c r="N983" t="s">
        <v>101</v>
      </c>
      <c r="O983" t="s">
        <v>81</v>
      </c>
      <c r="P983" t="s">
        <v>82</v>
      </c>
      <c r="Q983" t="s">
        <v>52</v>
      </c>
      <c r="R983" t="s">
        <v>347</v>
      </c>
      <c r="S983" t="s">
        <v>54</v>
      </c>
      <c r="T983" t="s">
        <v>436</v>
      </c>
      <c r="U983" s="5">
        <v>49</v>
      </c>
      <c r="V983" s="5" t="s">
        <v>56</v>
      </c>
      <c r="W983" s="5">
        <v>18</v>
      </c>
      <c r="X983" s="5">
        <v>8.1999999999999993</v>
      </c>
      <c r="Y983" s="5">
        <v>1</v>
      </c>
      <c r="Z983" s="5" t="s">
        <v>57</v>
      </c>
      <c r="AA983" s="6">
        <v>70.3</v>
      </c>
      <c r="AB983" s="8">
        <f t="shared" si="195"/>
        <v>190</v>
      </c>
      <c r="AC983" s="8">
        <f t="shared" si="196"/>
        <v>0</v>
      </c>
      <c r="AD983" s="8">
        <f t="shared" si="197"/>
        <v>190</v>
      </c>
      <c r="AE983" s="8">
        <f t="shared" si="198"/>
        <v>140.6</v>
      </c>
      <c r="AF983" s="8">
        <f t="shared" si="199"/>
        <v>49.400000000000006</v>
      </c>
      <c r="AG983" s="9">
        <f t="shared" si="200"/>
        <v>0.26</v>
      </c>
      <c r="AH983" s="10">
        <f t="shared" si="201"/>
        <v>2025</v>
      </c>
      <c r="AI983" s="10">
        <f t="shared" si="202"/>
        <v>12</v>
      </c>
      <c r="AJ983" s="10" t="str">
        <f t="shared" si="203"/>
        <v>2025-12</v>
      </c>
      <c r="AK983" s="10" t="str">
        <f t="shared" si="204"/>
        <v>T4</v>
      </c>
      <c r="AL983" s="10" t="str">
        <f t="shared" si="205"/>
        <v>40-49</v>
      </c>
      <c r="AM983" s="10" t="str">
        <f t="shared" si="206"/>
        <v>bon</v>
      </c>
      <c r="AN983" s="10" t="s">
        <v>2838</v>
      </c>
      <c r="AO983" s="10" t="str">
        <f t="shared" si="207"/>
        <v>Faible</v>
      </c>
    </row>
    <row r="984" spans="1:41">
      <c r="A984" t="s">
        <v>2798</v>
      </c>
      <c r="B984" s="2">
        <v>45815</v>
      </c>
      <c r="C984" t="s">
        <v>2799</v>
      </c>
      <c r="D984" t="s">
        <v>188</v>
      </c>
      <c r="E984" t="s">
        <v>219</v>
      </c>
      <c r="F984" t="s">
        <v>813</v>
      </c>
      <c r="G984">
        <v>2</v>
      </c>
      <c r="H984" s="4">
        <v>350</v>
      </c>
      <c r="I984" s="3">
        <v>0</v>
      </c>
      <c r="J984" t="s">
        <v>45</v>
      </c>
      <c r="K984" t="s">
        <v>46</v>
      </c>
      <c r="L984" t="s">
        <v>2800</v>
      </c>
      <c r="M984" t="s">
        <v>123</v>
      </c>
      <c r="N984" t="s">
        <v>49</v>
      </c>
      <c r="O984" t="s">
        <v>192</v>
      </c>
      <c r="P984" t="s">
        <v>51</v>
      </c>
      <c r="Q984" t="s">
        <v>114</v>
      </c>
      <c r="R984" t="s">
        <v>222</v>
      </c>
      <c r="S984" t="s">
        <v>123</v>
      </c>
      <c r="T984" t="s">
        <v>815</v>
      </c>
      <c r="U984" s="5">
        <v>43</v>
      </c>
      <c r="V984" s="5" t="s">
        <v>56</v>
      </c>
      <c r="W984" s="5">
        <v>45</v>
      </c>
      <c r="X984" s="5">
        <v>4.3</v>
      </c>
      <c r="Y984" s="5">
        <v>9</v>
      </c>
      <c r="Z984" s="5" t="s">
        <v>117</v>
      </c>
      <c r="AA984" s="6">
        <v>213.5</v>
      </c>
      <c r="AB984" s="8">
        <f t="shared" si="195"/>
        <v>700</v>
      </c>
      <c r="AC984" s="8">
        <f t="shared" si="196"/>
        <v>0</v>
      </c>
      <c r="AD984" s="8">
        <f t="shared" si="197"/>
        <v>700</v>
      </c>
      <c r="AE984" s="8">
        <f t="shared" si="198"/>
        <v>427</v>
      </c>
      <c r="AF984" s="8">
        <f t="shared" si="199"/>
        <v>273</v>
      </c>
      <c r="AG984" s="9">
        <f t="shared" si="200"/>
        <v>0.39</v>
      </c>
      <c r="AH984" s="10">
        <f t="shared" si="201"/>
        <v>2025</v>
      </c>
      <c r="AI984" s="10">
        <f t="shared" si="202"/>
        <v>6</v>
      </c>
      <c r="AJ984" s="10" t="str">
        <f t="shared" si="203"/>
        <v>2025-06</v>
      </c>
      <c r="AK984" s="10" t="str">
        <f t="shared" si="204"/>
        <v>T2</v>
      </c>
      <c r="AL984" s="10" t="str">
        <f t="shared" si="205"/>
        <v>40-49</v>
      </c>
      <c r="AM984" s="10" t="str">
        <f t="shared" si="206"/>
        <v>faible</v>
      </c>
      <c r="AN984" s="10" t="s">
        <v>2837</v>
      </c>
      <c r="AO984" s="10" t="str">
        <f t="shared" si="207"/>
        <v>Moyenne</v>
      </c>
    </row>
    <row r="985" spans="1:41">
      <c r="A985" t="s">
        <v>2801</v>
      </c>
      <c r="B985" s="2">
        <v>45824</v>
      </c>
      <c r="C985" t="s">
        <v>2802</v>
      </c>
      <c r="D985" t="s">
        <v>42</v>
      </c>
      <c r="E985" t="s">
        <v>345</v>
      </c>
      <c r="F985" t="s">
        <v>439</v>
      </c>
      <c r="G985">
        <v>5</v>
      </c>
      <c r="H985" s="4">
        <v>260</v>
      </c>
      <c r="I985" s="3">
        <v>0</v>
      </c>
      <c r="J985" t="s">
        <v>45</v>
      </c>
      <c r="K985" t="s">
        <v>46</v>
      </c>
      <c r="L985" t="s">
        <v>2803</v>
      </c>
      <c r="M985" t="s">
        <v>123</v>
      </c>
      <c r="N985" t="s">
        <v>101</v>
      </c>
      <c r="O985" t="s">
        <v>50</v>
      </c>
      <c r="P985" t="s">
        <v>51</v>
      </c>
      <c r="Q985" t="s">
        <v>52</v>
      </c>
      <c r="R985" t="s">
        <v>347</v>
      </c>
      <c r="S985" t="s">
        <v>54</v>
      </c>
      <c r="T985" t="s">
        <v>441</v>
      </c>
      <c r="U985" s="5">
        <v>38</v>
      </c>
      <c r="V985" s="5" t="s">
        <v>56</v>
      </c>
      <c r="W985" s="5">
        <v>59</v>
      </c>
      <c r="X985" s="5">
        <v>4.2</v>
      </c>
      <c r="Y985" s="5">
        <v>8</v>
      </c>
      <c r="Z985" s="5" t="s">
        <v>117</v>
      </c>
      <c r="AA985" s="6">
        <v>189.8</v>
      </c>
      <c r="AB985" s="8">
        <f t="shared" si="195"/>
        <v>1300</v>
      </c>
      <c r="AC985" s="8">
        <f t="shared" si="196"/>
        <v>0</v>
      </c>
      <c r="AD985" s="8">
        <f t="shared" si="197"/>
        <v>1300</v>
      </c>
      <c r="AE985" s="8">
        <f t="shared" si="198"/>
        <v>949</v>
      </c>
      <c r="AF985" s="8">
        <f t="shared" si="199"/>
        <v>351</v>
      </c>
      <c r="AG985" s="9">
        <f t="shared" si="200"/>
        <v>0.27</v>
      </c>
      <c r="AH985" s="10">
        <f t="shared" si="201"/>
        <v>2025</v>
      </c>
      <c r="AI985" s="10">
        <f t="shared" si="202"/>
        <v>6</v>
      </c>
      <c r="AJ985" s="10" t="str">
        <f t="shared" si="203"/>
        <v>2025-06</v>
      </c>
      <c r="AK985" s="10" t="str">
        <f t="shared" si="204"/>
        <v>T2</v>
      </c>
      <c r="AL985" s="10" t="str">
        <f t="shared" si="205"/>
        <v>30-39</v>
      </c>
      <c r="AM985" s="10" t="str">
        <f t="shared" si="206"/>
        <v>faible</v>
      </c>
      <c r="AN985" s="10" t="s">
        <v>2837</v>
      </c>
      <c r="AO985" s="10" t="str">
        <f t="shared" si="207"/>
        <v>Elevée</v>
      </c>
    </row>
    <row r="986" spans="1:41">
      <c r="A986" t="s">
        <v>2804</v>
      </c>
      <c r="B986" s="2">
        <v>45762</v>
      </c>
      <c r="C986" t="s">
        <v>2805</v>
      </c>
      <c r="D986" t="s">
        <v>272</v>
      </c>
      <c r="E986" t="s">
        <v>219</v>
      </c>
      <c r="F986" t="s">
        <v>297</v>
      </c>
      <c r="G986">
        <v>3</v>
      </c>
      <c r="H986" s="4">
        <v>420</v>
      </c>
      <c r="I986" s="3">
        <v>0.02</v>
      </c>
      <c r="J986" t="s">
        <v>45</v>
      </c>
      <c r="K986" t="s">
        <v>46</v>
      </c>
      <c r="L986" t="s">
        <v>2806</v>
      </c>
      <c r="M986" t="s">
        <v>65</v>
      </c>
      <c r="N986" t="s">
        <v>80</v>
      </c>
      <c r="O986" t="s">
        <v>274</v>
      </c>
      <c r="P986" t="s">
        <v>133</v>
      </c>
      <c r="Q986" t="s">
        <v>114</v>
      </c>
      <c r="R986" t="s">
        <v>222</v>
      </c>
      <c r="S986" t="s">
        <v>123</v>
      </c>
      <c r="T986" t="s">
        <v>299</v>
      </c>
      <c r="U986" s="5">
        <v>24</v>
      </c>
      <c r="V986" s="5" t="s">
        <v>85</v>
      </c>
      <c r="W986" s="5">
        <v>22</v>
      </c>
      <c r="X986" s="5">
        <v>5.8</v>
      </c>
      <c r="Y986" s="5">
        <v>6</v>
      </c>
      <c r="Z986" s="5" t="s">
        <v>94</v>
      </c>
      <c r="AA986" s="6">
        <v>273</v>
      </c>
      <c r="AB986" s="8">
        <f t="shared" si="195"/>
        <v>1260</v>
      </c>
      <c r="AC986" s="8">
        <f t="shared" si="196"/>
        <v>25.2</v>
      </c>
      <c r="AD986" s="8">
        <f t="shared" si="197"/>
        <v>1234.8</v>
      </c>
      <c r="AE986" s="8">
        <f t="shared" si="198"/>
        <v>819</v>
      </c>
      <c r="AF986" s="8">
        <f t="shared" si="199"/>
        <v>415.79999999999995</v>
      </c>
      <c r="AG986" s="9">
        <f t="shared" si="200"/>
        <v>0.33673469387755101</v>
      </c>
      <c r="AH986" s="10">
        <f t="shared" si="201"/>
        <v>2025</v>
      </c>
      <c r="AI986" s="10">
        <f t="shared" si="202"/>
        <v>4</v>
      </c>
      <c r="AJ986" s="10" t="str">
        <f t="shared" si="203"/>
        <v>2025-04</v>
      </c>
      <c r="AK986" s="10" t="str">
        <f t="shared" si="204"/>
        <v>T2</v>
      </c>
      <c r="AL986" s="10" t="str">
        <f t="shared" si="205"/>
        <v>22-29</v>
      </c>
      <c r="AM986" s="10" t="str">
        <f t="shared" si="206"/>
        <v>moyen</v>
      </c>
      <c r="AN986" s="10" t="s">
        <v>2839</v>
      </c>
      <c r="AO986" s="10" t="str">
        <f t="shared" si="207"/>
        <v>Elevée</v>
      </c>
    </row>
    <row r="987" spans="1:41">
      <c r="A987" t="s">
        <v>2807</v>
      </c>
      <c r="B987" s="2">
        <v>45924</v>
      </c>
      <c r="C987" t="s">
        <v>2808</v>
      </c>
      <c r="D987" t="s">
        <v>74</v>
      </c>
      <c r="E987" t="s">
        <v>43</v>
      </c>
      <c r="F987" t="s">
        <v>302</v>
      </c>
      <c r="G987">
        <v>3</v>
      </c>
      <c r="H987" s="4">
        <v>95</v>
      </c>
      <c r="I987" s="3">
        <v>0.02</v>
      </c>
      <c r="J987" t="s">
        <v>63</v>
      </c>
      <c r="K987" t="s">
        <v>46</v>
      </c>
      <c r="L987" t="s">
        <v>2809</v>
      </c>
      <c r="M987" t="s">
        <v>123</v>
      </c>
      <c r="N987" t="s">
        <v>255</v>
      </c>
      <c r="O987" t="s">
        <v>81</v>
      </c>
      <c r="P987" t="s">
        <v>82</v>
      </c>
      <c r="Q987" t="s">
        <v>52</v>
      </c>
      <c r="R987" t="s">
        <v>53</v>
      </c>
      <c r="S987" t="s">
        <v>54</v>
      </c>
      <c r="T987" t="s">
        <v>304</v>
      </c>
      <c r="U987" s="5">
        <v>48</v>
      </c>
      <c r="V987" s="5" t="s">
        <v>56</v>
      </c>
      <c r="W987" s="5">
        <v>18</v>
      </c>
      <c r="X987" s="5">
        <v>7</v>
      </c>
      <c r="Y987" s="5">
        <v>3</v>
      </c>
      <c r="Z987" s="5" t="s">
        <v>117</v>
      </c>
      <c r="AA987" s="6">
        <v>70.3</v>
      </c>
      <c r="AB987" s="8">
        <f t="shared" si="195"/>
        <v>285</v>
      </c>
      <c r="AC987" s="8">
        <f t="shared" si="196"/>
        <v>5.7</v>
      </c>
      <c r="AD987" s="8">
        <f t="shared" si="197"/>
        <v>279.3</v>
      </c>
      <c r="AE987" s="8">
        <f t="shared" si="198"/>
        <v>210.89999999999998</v>
      </c>
      <c r="AF987" s="8">
        <f t="shared" si="199"/>
        <v>68.400000000000034</v>
      </c>
      <c r="AG987" s="9">
        <f t="shared" si="200"/>
        <v>0.24489795918367357</v>
      </c>
      <c r="AH987" s="10">
        <f t="shared" si="201"/>
        <v>2025</v>
      </c>
      <c r="AI987" s="10">
        <f t="shared" si="202"/>
        <v>9</v>
      </c>
      <c r="AJ987" s="10" t="str">
        <f t="shared" si="203"/>
        <v>2025-09</v>
      </c>
      <c r="AK987" s="10" t="str">
        <f t="shared" si="204"/>
        <v>T3</v>
      </c>
      <c r="AL987" s="10" t="str">
        <f t="shared" si="205"/>
        <v>40-49</v>
      </c>
      <c r="AM987" s="10" t="str">
        <f t="shared" si="206"/>
        <v>bon</v>
      </c>
      <c r="AN987" s="10" t="s">
        <v>2838</v>
      </c>
      <c r="AO987" s="10" t="str">
        <f t="shared" si="207"/>
        <v>Faible</v>
      </c>
    </row>
    <row r="988" spans="1:41">
      <c r="A988" t="s">
        <v>2810</v>
      </c>
      <c r="B988" s="2">
        <v>46011</v>
      </c>
      <c r="C988" t="s">
        <v>2811</v>
      </c>
      <c r="D988" t="s">
        <v>42</v>
      </c>
      <c r="E988" t="s">
        <v>277</v>
      </c>
      <c r="F988" t="s">
        <v>302</v>
      </c>
      <c r="G988">
        <v>20</v>
      </c>
      <c r="H988" s="4">
        <v>260</v>
      </c>
      <c r="I988" s="3">
        <v>0</v>
      </c>
      <c r="J988" t="s">
        <v>63</v>
      </c>
      <c r="K988" t="s">
        <v>46</v>
      </c>
      <c r="L988" t="s">
        <v>2812</v>
      </c>
      <c r="M988" t="s">
        <v>54</v>
      </c>
      <c r="N988" t="s">
        <v>112</v>
      </c>
      <c r="O988" t="s">
        <v>50</v>
      </c>
      <c r="P988" t="s">
        <v>51</v>
      </c>
      <c r="Q988" t="s">
        <v>52</v>
      </c>
      <c r="R988" t="s">
        <v>279</v>
      </c>
      <c r="S988" t="s">
        <v>54</v>
      </c>
      <c r="T988" t="s">
        <v>304</v>
      </c>
      <c r="U988" s="5">
        <v>35</v>
      </c>
      <c r="V988" s="5" t="s">
        <v>85</v>
      </c>
      <c r="W988" s="5">
        <v>22</v>
      </c>
      <c r="X988" s="5">
        <v>3.7</v>
      </c>
      <c r="Y988" s="5">
        <v>8</v>
      </c>
      <c r="Z988" s="5" t="s">
        <v>117</v>
      </c>
      <c r="AA988" s="6">
        <v>189.8</v>
      </c>
      <c r="AB988" s="8">
        <f t="shared" si="195"/>
        <v>5200</v>
      </c>
      <c r="AC988" s="8">
        <f t="shared" si="196"/>
        <v>0</v>
      </c>
      <c r="AD988" s="8">
        <f t="shared" si="197"/>
        <v>5200</v>
      </c>
      <c r="AE988" s="8">
        <f t="shared" si="198"/>
        <v>3796</v>
      </c>
      <c r="AF988" s="8">
        <f t="shared" si="199"/>
        <v>1404</v>
      </c>
      <c r="AG988" s="9">
        <f t="shared" si="200"/>
        <v>0.27</v>
      </c>
      <c r="AH988" s="10">
        <f t="shared" si="201"/>
        <v>2025</v>
      </c>
      <c r="AI988" s="10">
        <f t="shared" si="202"/>
        <v>12</v>
      </c>
      <c r="AJ988" s="10" t="str">
        <f t="shared" si="203"/>
        <v>2025-12</v>
      </c>
      <c r="AK988" s="10" t="str">
        <f t="shared" si="204"/>
        <v>T4</v>
      </c>
      <c r="AL988" s="10" t="str">
        <f t="shared" si="205"/>
        <v>30-39</v>
      </c>
      <c r="AM988" s="10" t="str">
        <f t="shared" si="206"/>
        <v>faible</v>
      </c>
      <c r="AN988" s="10" t="s">
        <v>2837</v>
      </c>
      <c r="AO988" s="10" t="str">
        <f t="shared" si="207"/>
        <v>Elevée</v>
      </c>
    </row>
    <row r="989" spans="1:41">
      <c r="A989" t="s">
        <v>2813</v>
      </c>
      <c r="B989" s="2">
        <v>45769</v>
      </c>
      <c r="C989" t="s">
        <v>1059</v>
      </c>
      <c r="D989" t="s">
        <v>181</v>
      </c>
      <c r="E989" t="s">
        <v>214</v>
      </c>
      <c r="F989" t="s">
        <v>297</v>
      </c>
      <c r="G989">
        <v>4</v>
      </c>
      <c r="H989" s="4">
        <v>145</v>
      </c>
      <c r="I989" s="3">
        <v>0</v>
      </c>
      <c r="J989" t="s">
        <v>90</v>
      </c>
      <c r="K989" t="s">
        <v>46</v>
      </c>
      <c r="L989" t="s">
        <v>1060</v>
      </c>
      <c r="M989" t="s">
        <v>79</v>
      </c>
      <c r="N989" t="s">
        <v>101</v>
      </c>
      <c r="O989" t="s">
        <v>184</v>
      </c>
      <c r="P989" t="s">
        <v>103</v>
      </c>
      <c r="Q989" t="s">
        <v>52</v>
      </c>
      <c r="R989" t="s">
        <v>216</v>
      </c>
      <c r="S989" t="s">
        <v>65</v>
      </c>
      <c r="T989" t="s">
        <v>299</v>
      </c>
      <c r="U989" s="5">
        <v>38</v>
      </c>
      <c r="V989" s="5" t="s">
        <v>85</v>
      </c>
      <c r="W989" s="5">
        <v>25</v>
      </c>
      <c r="X989" s="5">
        <v>4</v>
      </c>
      <c r="Y989" s="5">
        <v>9</v>
      </c>
      <c r="Z989" s="5" t="s">
        <v>117</v>
      </c>
      <c r="AA989" s="6">
        <v>97.15</v>
      </c>
      <c r="AB989" s="8">
        <f t="shared" si="195"/>
        <v>580</v>
      </c>
      <c r="AC989" s="8">
        <f t="shared" si="196"/>
        <v>0</v>
      </c>
      <c r="AD989" s="8">
        <f t="shared" si="197"/>
        <v>580</v>
      </c>
      <c r="AE989" s="8">
        <f t="shared" si="198"/>
        <v>388.6</v>
      </c>
      <c r="AF989" s="8">
        <f t="shared" si="199"/>
        <v>191.39999999999998</v>
      </c>
      <c r="AG989" s="9">
        <f t="shared" si="200"/>
        <v>0.32999999999999996</v>
      </c>
      <c r="AH989" s="10">
        <f t="shared" si="201"/>
        <v>2025</v>
      </c>
      <c r="AI989" s="10">
        <f t="shared" si="202"/>
        <v>4</v>
      </c>
      <c r="AJ989" s="10" t="str">
        <f t="shared" si="203"/>
        <v>2025-04</v>
      </c>
      <c r="AK989" s="10" t="str">
        <f t="shared" si="204"/>
        <v>T2</v>
      </c>
      <c r="AL989" s="10" t="str">
        <f t="shared" si="205"/>
        <v>30-39</v>
      </c>
      <c r="AM989" s="10" t="str">
        <f t="shared" si="206"/>
        <v>faible</v>
      </c>
      <c r="AN989" s="10" t="s">
        <v>2837</v>
      </c>
      <c r="AO989" s="10" t="str">
        <f t="shared" si="207"/>
        <v>Moyenne</v>
      </c>
    </row>
    <row r="990" spans="1:41">
      <c r="A990" t="s">
        <v>2814</v>
      </c>
      <c r="B990" s="2">
        <v>45968</v>
      </c>
      <c r="C990" t="s">
        <v>2556</v>
      </c>
      <c r="D990" t="s">
        <v>174</v>
      </c>
      <c r="E990" t="s">
        <v>98</v>
      </c>
      <c r="F990" t="s">
        <v>202</v>
      </c>
      <c r="G990">
        <v>1</v>
      </c>
      <c r="H990" s="4">
        <v>780</v>
      </c>
      <c r="I990" s="3">
        <v>0.1</v>
      </c>
      <c r="J990" t="s">
        <v>90</v>
      </c>
      <c r="K990" t="s">
        <v>46</v>
      </c>
      <c r="L990" t="s">
        <v>2557</v>
      </c>
      <c r="M990" t="s">
        <v>54</v>
      </c>
      <c r="N990" t="s">
        <v>101</v>
      </c>
      <c r="O990" t="s">
        <v>177</v>
      </c>
      <c r="P990" t="s">
        <v>103</v>
      </c>
      <c r="Q990" t="s">
        <v>114</v>
      </c>
      <c r="R990" t="s">
        <v>104</v>
      </c>
      <c r="S990" t="s">
        <v>79</v>
      </c>
      <c r="T990" t="s">
        <v>204</v>
      </c>
      <c r="U990" s="5">
        <v>34</v>
      </c>
      <c r="V990" s="5" t="s">
        <v>85</v>
      </c>
      <c r="W990" s="5">
        <v>3</v>
      </c>
      <c r="X990" s="5">
        <v>7.9</v>
      </c>
      <c r="Y990" s="5">
        <v>1</v>
      </c>
      <c r="Z990" s="5" t="s">
        <v>94</v>
      </c>
      <c r="AA990" s="6">
        <v>468</v>
      </c>
      <c r="AB990" s="8">
        <f t="shared" si="195"/>
        <v>780</v>
      </c>
      <c r="AC990" s="8">
        <f t="shared" si="196"/>
        <v>78</v>
      </c>
      <c r="AD990" s="8">
        <f t="shared" si="197"/>
        <v>702</v>
      </c>
      <c r="AE990" s="8">
        <f t="shared" si="198"/>
        <v>468</v>
      </c>
      <c r="AF990" s="8">
        <f t="shared" si="199"/>
        <v>234</v>
      </c>
      <c r="AG990" s="9">
        <f t="shared" si="200"/>
        <v>0.33333333333333331</v>
      </c>
      <c r="AH990" s="10">
        <f t="shared" si="201"/>
        <v>2025</v>
      </c>
      <c r="AI990" s="10">
        <f t="shared" si="202"/>
        <v>11</v>
      </c>
      <c r="AJ990" s="10" t="str">
        <f t="shared" si="203"/>
        <v>2025-11</v>
      </c>
      <c r="AK990" s="10" t="str">
        <f t="shared" si="204"/>
        <v>T4</v>
      </c>
      <c r="AL990" s="10" t="str">
        <f t="shared" si="205"/>
        <v>30-39</v>
      </c>
      <c r="AM990" s="10" t="str">
        <f t="shared" si="206"/>
        <v>bon</v>
      </c>
      <c r="AN990" s="10" t="s">
        <v>2838</v>
      </c>
      <c r="AO990" s="10" t="str">
        <f t="shared" si="207"/>
        <v>Moyenne</v>
      </c>
    </row>
    <row r="991" spans="1:41">
      <c r="A991" t="s">
        <v>2815</v>
      </c>
      <c r="B991" s="2">
        <v>45662</v>
      </c>
      <c r="C991" t="s">
        <v>2816</v>
      </c>
      <c r="D991" t="s">
        <v>188</v>
      </c>
      <c r="E991" t="s">
        <v>226</v>
      </c>
      <c r="F991" t="s">
        <v>175</v>
      </c>
      <c r="G991">
        <v>5</v>
      </c>
      <c r="H991" s="4">
        <v>350</v>
      </c>
      <c r="I991" s="3">
        <v>0.05</v>
      </c>
      <c r="J991" t="s">
        <v>45</v>
      </c>
      <c r="K991" t="s">
        <v>46</v>
      </c>
      <c r="L991" t="s">
        <v>2817</v>
      </c>
      <c r="M991" t="s">
        <v>48</v>
      </c>
      <c r="N991" t="s">
        <v>112</v>
      </c>
      <c r="O991" t="s">
        <v>192</v>
      </c>
      <c r="P991" t="s">
        <v>51</v>
      </c>
      <c r="Q991" t="s">
        <v>114</v>
      </c>
      <c r="R991" t="s">
        <v>229</v>
      </c>
      <c r="S991" t="s">
        <v>48</v>
      </c>
      <c r="T991" t="s">
        <v>178</v>
      </c>
      <c r="U991" s="5">
        <v>30</v>
      </c>
      <c r="V991" s="5" t="s">
        <v>56</v>
      </c>
      <c r="W991" s="5">
        <v>68</v>
      </c>
      <c r="X991" s="5">
        <v>6.6</v>
      </c>
      <c r="Y991" s="5">
        <v>3</v>
      </c>
      <c r="Z991" s="5" t="s">
        <v>57</v>
      </c>
      <c r="AA991" s="6">
        <v>213.5</v>
      </c>
      <c r="AB991" s="8">
        <f t="shared" si="195"/>
        <v>1750</v>
      </c>
      <c r="AC991" s="8">
        <f t="shared" si="196"/>
        <v>87.5</v>
      </c>
      <c r="AD991" s="8">
        <f t="shared" si="197"/>
        <v>1662.5</v>
      </c>
      <c r="AE991" s="8">
        <f t="shared" si="198"/>
        <v>1067.5</v>
      </c>
      <c r="AF991" s="8">
        <f t="shared" si="199"/>
        <v>595</v>
      </c>
      <c r="AG991" s="9">
        <f t="shared" si="200"/>
        <v>0.35789473684210527</v>
      </c>
      <c r="AH991" s="10">
        <f t="shared" si="201"/>
        <v>2025</v>
      </c>
      <c r="AI991" s="10">
        <f t="shared" si="202"/>
        <v>1</v>
      </c>
      <c r="AJ991" s="10" t="str">
        <f t="shared" si="203"/>
        <v>2025-01</v>
      </c>
      <c r="AK991" s="10" t="str">
        <f t="shared" si="204"/>
        <v>T1</v>
      </c>
      <c r="AL991" s="10" t="str">
        <f t="shared" si="205"/>
        <v>30-39</v>
      </c>
      <c r="AM991" s="10" t="str">
        <f t="shared" si="206"/>
        <v>moyen</v>
      </c>
      <c r="AN991" s="10" t="s">
        <v>2838</v>
      </c>
      <c r="AO991" s="10" t="str">
        <f t="shared" si="207"/>
        <v>Elevée</v>
      </c>
    </row>
    <row r="992" spans="1:41">
      <c r="A992" t="s">
        <v>2818</v>
      </c>
      <c r="B992" s="2">
        <v>45941</v>
      </c>
      <c r="C992" t="s">
        <v>2819</v>
      </c>
      <c r="D992" t="s">
        <v>128</v>
      </c>
      <c r="E992" t="s">
        <v>88</v>
      </c>
      <c r="F992" t="s">
        <v>502</v>
      </c>
      <c r="G992">
        <v>2</v>
      </c>
      <c r="H992" s="4">
        <v>190</v>
      </c>
      <c r="I992" s="3">
        <v>0</v>
      </c>
      <c r="J992" t="s">
        <v>45</v>
      </c>
      <c r="K992" t="s">
        <v>46</v>
      </c>
      <c r="L992" t="s">
        <v>2820</v>
      </c>
      <c r="M992" t="s">
        <v>123</v>
      </c>
      <c r="N992" t="s">
        <v>112</v>
      </c>
      <c r="O992" t="s">
        <v>132</v>
      </c>
      <c r="P992" t="s">
        <v>133</v>
      </c>
      <c r="Q992" t="s">
        <v>52</v>
      </c>
      <c r="R992" t="s">
        <v>92</v>
      </c>
      <c r="S992" t="s">
        <v>48</v>
      </c>
      <c r="T992" t="s">
        <v>504</v>
      </c>
      <c r="U992" s="5">
        <v>49</v>
      </c>
      <c r="V992" s="5" t="s">
        <v>85</v>
      </c>
      <c r="W992" s="5">
        <v>9</v>
      </c>
      <c r="X992" s="5">
        <v>8.5</v>
      </c>
      <c r="Y992" s="5">
        <v>2</v>
      </c>
      <c r="Z992" s="5" t="s">
        <v>57</v>
      </c>
      <c r="AA992" s="6">
        <v>148.19999999999999</v>
      </c>
      <c r="AB992" s="8">
        <f t="shared" si="195"/>
        <v>380</v>
      </c>
      <c r="AC992" s="8">
        <f t="shared" si="196"/>
        <v>0</v>
      </c>
      <c r="AD992" s="8">
        <f t="shared" si="197"/>
        <v>380</v>
      </c>
      <c r="AE992" s="8">
        <f t="shared" si="198"/>
        <v>296.39999999999998</v>
      </c>
      <c r="AF992" s="8">
        <f t="shared" si="199"/>
        <v>83.600000000000023</v>
      </c>
      <c r="AG992" s="9">
        <f t="shared" si="200"/>
        <v>0.22000000000000006</v>
      </c>
      <c r="AH992" s="10">
        <f t="shared" si="201"/>
        <v>2025</v>
      </c>
      <c r="AI992" s="10">
        <f t="shared" si="202"/>
        <v>10</v>
      </c>
      <c r="AJ992" s="10" t="str">
        <f t="shared" si="203"/>
        <v>2025-10</v>
      </c>
      <c r="AK992" s="10" t="str">
        <f t="shared" si="204"/>
        <v>T4</v>
      </c>
      <c r="AL992" s="10" t="str">
        <f t="shared" si="205"/>
        <v>40-49</v>
      </c>
      <c r="AM992" s="10" t="str">
        <f t="shared" si="206"/>
        <v>bon</v>
      </c>
      <c r="AN992" s="10" t="s">
        <v>2838</v>
      </c>
      <c r="AO992" s="10" t="str">
        <f t="shared" si="207"/>
        <v>Faible</v>
      </c>
    </row>
    <row r="993" spans="1:41">
      <c r="A993" t="s">
        <v>2821</v>
      </c>
      <c r="B993" s="2">
        <v>45750</v>
      </c>
      <c r="C993" t="s">
        <v>598</v>
      </c>
      <c r="D993" t="s">
        <v>174</v>
      </c>
      <c r="E993" t="s">
        <v>139</v>
      </c>
      <c r="F993" t="s">
        <v>968</v>
      </c>
      <c r="G993">
        <v>5</v>
      </c>
      <c r="H993" s="4">
        <v>780</v>
      </c>
      <c r="I993" s="3">
        <v>0.02</v>
      </c>
      <c r="J993" t="s">
        <v>63</v>
      </c>
      <c r="K993" t="s">
        <v>46</v>
      </c>
      <c r="L993" t="s">
        <v>599</v>
      </c>
      <c r="M993" t="s">
        <v>48</v>
      </c>
      <c r="N993" t="s">
        <v>101</v>
      </c>
      <c r="O993" t="s">
        <v>177</v>
      </c>
      <c r="P993" t="s">
        <v>103</v>
      </c>
      <c r="Q993" t="s">
        <v>114</v>
      </c>
      <c r="R993" t="s">
        <v>144</v>
      </c>
      <c r="S993" t="s">
        <v>65</v>
      </c>
      <c r="T993" t="s">
        <v>970</v>
      </c>
      <c r="U993" s="5">
        <v>33</v>
      </c>
      <c r="V993" s="5" t="s">
        <v>56</v>
      </c>
      <c r="W993" s="5">
        <v>19</v>
      </c>
      <c r="X993" s="5">
        <v>4.0999999999999996</v>
      </c>
      <c r="Y993" s="5">
        <v>7</v>
      </c>
      <c r="Z993" s="5" t="s">
        <v>94</v>
      </c>
      <c r="AA993" s="6">
        <v>468</v>
      </c>
      <c r="AB993" s="8">
        <f t="shared" si="195"/>
        <v>3900</v>
      </c>
      <c r="AC993" s="8">
        <f t="shared" si="196"/>
        <v>78</v>
      </c>
      <c r="AD993" s="8">
        <f t="shared" si="197"/>
        <v>3822</v>
      </c>
      <c r="AE993" s="8">
        <f t="shared" si="198"/>
        <v>2340</v>
      </c>
      <c r="AF993" s="8">
        <f t="shared" si="199"/>
        <v>1482</v>
      </c>
      <c r="AG993" s="9">
        <f t="shared" si="200"/>
        <v>0.38775510204081631</v>
      </c>
      <c r="AH993" s="10">
        <f t="shared" si="201"/>
        <v>2025</v>
      </c>
      <c r="AI993" s="10">
        <f t="shared" si="202"/>
        <v>4</v>
      </c>
      <c r="AJ993" s="10" t="str">
        <f t="shared" si="203"/>
        <v>2025-04</v>
      </c>
      <c r="AK993" s="10" t="str">
        <f t="shared" si="204"/>
        <v>T2</v>
      </c>
      <c r="AL993" s="10" t="str">
        <f t="shared" si="205"/>
        <v>30-39</v>
      </c>
      <c r="AM993" s="10" t="str">
        <f t="shared" si="206"/>
        <v>faible</v>
      </c>
      <c r="AN993" s="10" t="s">
        <v>2837</v>
      </c>
      <c r="AO993" s="10" t="str">
        <f t="shared" si="207"/>
        <v>Elevée</v>
      </c>
    </row>
    <row r="994" spans="1:41">
      <c r="A994" t="s">
        <v>2822</v>
      </c>
      <c r="B994" s="2">
        <v>45852</v>
      </c>
      <c r="C994" t="s">
        <v>1570</v>
      </c>
      <c r="D994" t="s">
        <v>340</v>
      </c>
      <c r="E994" t="s">
        <v>277</v>
      </c>
      <c r="F994" t="s">
        <v>248</v>
      </c>
      <c r="G994">
        <v>1</v>
      </c>
      <c r="H994" s="4">
        <v>22</v>
      </c>
      <c r="I994" s="3">
        <v>0.05</v>
      </c>
      <c r="J994" t="s">
        <v>90</v>
      </c>
      <c r="K994" t="s">
        <v>46</v>
      </c>
      <c r="L994" t="s">
        <v>1571</v>
      </c>
      <c r="M994" t="s">
        <v>79</v>
      </c>
      <c r="N994" t="s">
        <v>255</v>
      </c>
      <c r="O994" t="s">
        <v>342</v>
      </c>
      <c r="P994" t="s">
        <v>103</v>
      </c>
      <c r="Q994" t="s">
        <v>143</v>
      </c>
      <c r="R994" t="s">
        <v>279</v>
      </c>
      <c r="S994" t="s">
        <v>54</v>
      </c>
      <c r="T994" t="s">
        <v>250</v>
      </c>
      <c r="U994" s="5">
        <v>46</v>
      </c>
      <c r="V994" s="5" t="s">
        <v>56</v>
      </c>
      <c r="W994" s="5">
        <v>69</v>
      </c>
      <c r="X994" s="5">
        <v>7</v>
      </c>
      <c r="Y994" s="5">
        <v>3</v>
      </c>
      <c r="Z994" s="5" t="s">
        <v>94</v>
      </c>
      <c r="AA994" s="6">
        <v>14.96</v>
      </c>
      <c r="AB994" s="8">
        <f t="shared" si="195"/>
        <v>22</v>
      </c>
      <c r="AC994" s="8">
        <f t="shared" si="196"/>
        <v>1.1000000000000001</v>
      </c>
      <c r="AD994" s="8">
        <f t="shared" si="197"/>
        <v>20.9</v>
      </c>
      <c r="AE994" s="8">
        <f t="shared" si="198"/>
        <v>14.96</v>
      </c>
      <c r="AF994" s="8">
        <f t="shared" si="199"/>
        <v>5.9399999999999977</v>
      </c>
      <c r="AG994" s="9">
        <f t="shared" si="200"/>
        <v>0.28421052631578936</v>
      </c>
      <c r="AH994" s="10">
        <f t="shared" si="201"/>
        <v>2025</v>
      </c>
      <c r="AI994" s="10">
        <f t="shared" si="202"/>
        <v>7</v>
      </c>
      <c r="AJ994" s="10" t="str">
        <f t="shared" si="203"/>
        <v>2025-07</v>
      </c>
      <c r="AK994" s="10" t="str">
        <f t="shared" si="204"/>
        <v>T3</v>
      </c>
      <c r="AL994" s="10" t="str">
        <f t="shared" si="205"/>
        <v>40-49</v>
      </c>
      <c r="AM994" s="10" t="str">
        <f t="shared" si="206"/>
        <v>bon</v>
      </c>
      <c r="AN994" s="10" t="s">
        <v>2838</v>
      </c>
      <c r="AO994" s="10" t="str">
        <f t="shared" si="207"/>
        <v>Faible</v>
      </c>
    </row>
    <row r="995" spans="1:41">
      <c r="A995" t="s">
        <v>2823</v>
      </c>
      <c r="B995" s="2">
        <v>45994</v>
      </c>
      <c r="C995" t="s">
        <v>2824</v>
      </c>
      <c r="D995" t="s">
        <v>155</v>
      </c>
      <c r="E995" t="s">
        <v>226</v>
      </c>
      <c r="F995" t="s">
        <v>553</v>
      </c>
      <c r="G995">
        <v>3</v>
      </c>
      <c r="H995" s="4">
        <v>48</v>
      </c>
      <c r="I995" s="3">
        <v>0.08</v>
      </c>
      <c r="J995" t="s">
        <v>90</v>
      </c>
      <c r="K995" t="s">
        <v>46</v>
      </c>
      <c r="L995" t="s">
        <v>2825</v>
      </c>
      <c r="M995" t="s">
        <v>123</v>
      </c>
      <c r="N995" t="s">
        <v>112</v>
      </c>
      <c r="O995" t="s">
        <v>158</v>
      </c>
      <c r="P995" t="s">
        <v>51</v>
      </c>
      <c r="Q995" t="s">
        <v>143</v>
      </c>
      <c r="R995" t="s">
        <v>229</v>
      </c>
      <c r="S995" t="s">
        <v>48</v>
      </c>
      <c r="T995" t="s">
        <v>555</v>
      </c>
      <c r="U995" s="5">
        <v>44</v>
      </c>
      <c r="V995" s="5" t="s">
        <v>85</v>
      </c>
      <c r="W995" s="5">
        <v>8</v>
      </c>
      <c r="X995" s="5">
        <v>5.5</v>
      </c>
      <c r="Y995" s="5">
        <v>6</v>
      </c>
      <c r="Z995" s="5" t="s">
        <v>57</v>
      </c>
      <c r="AA995" s="6">
        <v>37.44</v>
      </c>
      <c r="AB995" s="8">
        <f t="shared" si="195"/>
        <v>144</v>
      </c>
      <c r="AC995" s="8">
        <f t="shared" si="196"/>
        <v>11.52</v>
      </c>
      <c r="AD995" s="8">
        <f t="shared" si="197"/>
        <v>132.47999999999999</v>
      </c>
      <c r="AE995" s="8">
        <f t="shared" si="198"/>
        <v>112.32</v>
      </c>
      <c r="AF995" s="8">
        <f t="shared" si="199"/>
        <v>20.159999999999997</v>
      </c>
      <c r="AG995" s="9">
        <f t="shared" si="200"/>
        <v>0.15217391304347824</v>
      </c>
      <c r="AH995" s="10">
        <f t="shared" si="201"/>
        <v>2025</v>
      </c>
      <c r="AI995" s="10">
        <f t="shared" si="202"/>
        <v>12</v>
      </c>
      <c r="AJ995" s="10" t="str">
        <f t="shared" si="203"/>
        <v>2025-12</v>
      </c>
      <c r="AK995" s="10" t="str">
        <f t="shared" si="204"/>
        <v>T4</v>
      </c>
      <c r="AL995" s="10" t="str">
        <f t="shared" si="205"/>
        <v>40-49</v>
      </c>
      <c r="AM995" s="10" t="str">
        <f t="shared" si="206"/>
        <v>moyen</v>
      </c>
      <c r="AN995" s="10" t="s">
        <v>2839</v>
      </c>
      <c r="AO995" s="10" t="str">
        <f t="shared" si="207"/>
        <v>Faible</v>
      </c>
    </row>
    <row r="996" spans="1:41">
      <c r="A996" t="s">
        <v>2826</v>
      </c>
      <c r="B996" s="2">
        <v>45898</v>
      </c>
      <c r="C996" t="s">
        <v>1994</v>
      </c>
      <c r="D996" t="s">
        <v>155</v>
      </c>
      <c r="E996" t="s">
        <v>345</v>
      </c>
      <c r="F996" t="s">
        <v>292</v>
      </c>
      <c r="G996">
        <v>1</v>
      </c>
      <c r="H996" s="4">
        <v>48</v>
      </c>
      <c r="I996" s="3">
        <v>0.02</v>
      </c>
      <c r="J996" t="s">
        <v>45</v>
      </c>
      <c r="K996" t="s">
        <v>46</v>
      </c>
      <c r="L996" t="s">
        <v>1995</v>
      </c>
      <c r="M996" t="s">
        <v>123</v>
      </c>
      <c r="N996" t="s">
        <v>112</v>
      </c>
      <c r="O996" t="s">
        <v>158</v>
      </c>
      <c r="P996" t="s">
        <v>51</v>
      </c>
      <c r="Q996" t="s">
        <v>143</v>
      </c>
      <c r="R996" t="s">
        <v>347</v>
      </c>
      <c r="S996" t="s">
        <v>54</v>
      </c>
      <c r="T996" t="s">
        <v>294</v>
      </c>
      <c r="U996" s="5">
        <v>55</v>
      </c>
      <c r="V996" s="5" t="s">
        <v>56</v>
      </c>
      <c r="W996" s="5">
        <v>53</v>
      </c>
      <c r="X996" s="5">
        <v>6.6</v>
      </c>
      <c r="Y996" s="5">
        <v>5</v>
      </c>
      <c r="Z996" s="5" t="s">
        <v>94</v>
      </c>
      <c r="AA996" s="6">
        <v>37.44</v>
      </c>
      <c r="AB996" s="8">
        <f t="shared" si="195"/>
        <v>48</v>
      </c>
      <c r="AC996" s="8">
        <f t="shared" si="196"/>
        <v>0.96</v>
      </c>
      <c r="AD996" s="8">
        <f t="shared" si="197"/>
        <v>47.04</v>
      </c>
      <c r="AE996" s="8">
        <f t="shared" si="198"/>
        <v>37.44</v>
      </c>
      <c r="AF996" s="8">
        <f t="shared" si="199"/>
        <v>9.6000000000000014</v>
      </c>
      <c r="AG996" s="9">
        <f t="shared" si="200"/>
        <v>0.20408163265306126</v>
      </c>
      <c r="AH996" s="10">
        <f t="shared" si="201"/>
        <v>2025</v>
      </c>
      <c r="AI996" s="10">
        <f t="shared" si="202"/>
        <v>8</v>
      </c>
      <c r="AJ996" s="10" t="str">
        <f t="shared" si="203"/>
        <v>2025-08</v>
      </c>
      <c r="AK996" s="10" t="str">
        <f t="shared" si="204"/>
        <v>T3</v>
      </c>
      <c r="AL996" s="10" t="str">
        <f t="shared" si="205"/>
        <v>50+</v>
      </c>
      <c r="AM996" s="10" t="str">
        <f t="shared" si="206"/>
        <v>moyen</v>
      </c>
      <c r="AN996" s="10" t="s">
        <v>2839</v>
      </c>
      <c r="AO996" s="10" t="str">
        <f t="shared" si="207"/>
        <v>Faible</v>
      </c>
    </row>
    <row r="997" spans="1:41">
      <c r="A997" t="s">
        <v>2827</v>
      </c>
      <c r="B997" s="2">
        <v>45751</v>
      </c>
      <c r="C997" t="s">
        <v>2828</v>
      </c>
      <c r="D997" t="s">
        <v>128</v>
      </c>
      <c r="E997" t="s">
        <v>120</v>
      </c>
      <c r="F997" t="s">
        <v>361</v>
      </c>
      <c r="G997">
        <v>1</v>
      </c>
      <c r="H997" s="4">
        <v>190</v>
      </c>
      <c r="I997" s="3">
        <v>0.05</v>
      </c>
      <c r="J997" t="s">
        <v>45</v>
      </c>
      <c r="K997" t="s">
        <v>46</v>
      </c>
      <c r="L997" t="s">
        <v>2829</v>
      </c>
      <c r="M997" t="s">
        <v>123</v>
      </c>
      <c r="N997" t="s">
        <v>80</v>
      </c>
      <c r="O997" t="s">
        <v>132</v>
      </c>
      <c r="P997" t="s">
        <v>133</v>
      </c>
      <c r="Q997" t="s">
        <v>52</v>
      </c>
      <c r="R997" t="s">
        <v>124</v>
      </c>
      <c r="S997" t="s">
        <v>48</v>
      </c>
      <c r="T997" t="s">
        <v>363</v>
      </c>
      <c r="U997" s="5">
        <v>55</v>
      </c>
      <c r="V997" s="5" t="s">
        <v>85</v>
      </c>
      <c r="W997" s="5">
        <v>72</v>
      </c>
      <c r="X997" s="5">
        <v>8.6999999999999993</v>
      </c>
      <c r="Y997" s="5">
        <v>2</v>
      </c>
      <c r="Z997" s="5" t="s">
        <v>57</v>
      </c>
      <c r="AA997" s="6">
        <v>148.19999999999999</v>
      </c>
      <c r="AB997" s="8">
        <f t="shared" si="195"/>
        <v>190</v>
      </c>
      <c r="AC997" s="8">
        <f t="shared" si="196"/>
        <v>9.5</v>
      </c>
      <c r="AD997" s="8">
        <f t="shared" si="197"/>
        <v>180.5</v>
      </c>
      <c r="AE997" s="8">
        <f t="shared" si="198"/>
        <v>148.19999999999999</v>
      </c>
      <c r="AF997" s="8">
        <f t="shared" si="199"/>
        <v>32.300000000000011</v>
      </c>
      <c r="AG997" s="9">
        <f t="shared" si="200"/>
        <v>0.17894736842105269</v>
      </c>
      <c r="AH997" s="10">
        <f t="shared" si="201"/>
        <v>2025</v>
      </c>
      <c r="AI997" s="10">
        <f t="shared" si="202"/>
        <v>4</v>
      </c>
      <c r="AJ997" s="10" t="str">
        <f t="shared" si="203"/>
        <v>2025-04</v>
      </c>
      <c r="AK997" s="10" t="str">
        <f t="shared" si="204"/>
        <v>T2</v>
      </c>
      <c r="AL997" s="10" t="str">
        <f t="shared" si="205"/>
        <v>50+</v>
      </c>
      <c r="AM997" s="10" t="str">
        <f t="shared" si="206"/>
        <v>bon</v>
      </c>
      <c r="AN997" s="10" t="s">
        <v>2838</v>
      </c>
      <c r="AO997" s="10" t="str">
        <f t="shared" si="207"/>
        <v>Faible</v>
      </c>
    </row>
    <row r="998" spans="1:41">
      <c r="A998" t="s">
        <v>2830</v>
      </c>
      <c r="B998" s="2">
        <v>45825</v>
      </c>
      <c r="C998" t="s">
        <v>2701</v>
      </c>
      <c r="D998" t="s">
        <v>97</v>
      </c>
      <c r="E998" t="s">
        <v>129</v>
      </c>
      <c r="F998" t="s">
        <v>439</v>
      </c>
      <c r="G998">
        <v>3</v>
      </c>
      <c r="H998" s="4">
        <v>520</v>
      </c>
      <c r="I998" s="3">
        <v>0.05</v>
      </c>
      <c r="J998" t="s">
        <v>90</v>
      </c>
      <c r="K998" t="s">
        <v>46</v>
      </c>
      <c r="L998" t="s">
        <v>2702</v>
      </c>
      <c r="M998" t="s">
        <v>54</v>
      </c>
      <c r="N998" t="s">
        <v>112</v>
      </c>
      <c r="O998" t="s">
        <v>102</v>
      </c>
      <c r="P998" t="s">
        <v>103</v>
      </c>
      <c r="Q998" t="s">
        <v>52</v>
      </c>
      <c r="R998" t="s">
        <v>134</v>
      </c>
      <c r="S998" t="s">
        <v>123</v>
      </c>
      <c r="T998" t="s">
        <v>441</v>
      </c>
      <c r="U998" s="5">
        <v>49</v>
      </c>
      <c r="V998" s="5" t="s">
        <v>85</v>
      </c>
      <c r="W998" s="5">
        <v>48</v>
      </c>
      <c r="X998" s="5">
        <v>3.4</v>
      </c>
      <c r="Y998" s="5">
        <v>9</v>
      </c>
      <c r="Z998" s="5" t="s">
        <v>117</v>
      </c>
      <c r="AA998" s="6">
        <v>348.4</v>
      </c>
      <c r="AB998" s="8">
        <f t="shared" si="195"/>
        <v>1560</v>
      </c>
      <c r="AC998" s="8">
        <f t="shared" si="196"/>
        <v>78</v>
      </c>
      <c r="AD998" s="8">
        <f t="shared" si="197"/>
        <v>1482</v>
      </c>
      <c r="AE998" s="8">
        <f t="shared" si="198"/>
        <v>1045.1999999999998</v>
      </c>
      <c r="AF998" s="8">
        <f t="shared" si="199"/>
        <v>436.80000000000018</v>
      </c>
      <c r="AG998" s="9">
        <f t="shared" si="200"/>
        <v>0.2947368421052633</v>
      </c>
      <c r="AH998" s="10">
        <f t="shared" si="201"/>
        <v>2025</v>
      </c>
      <c r="AI998" s="10">
        <f t="shared" si="202"/>
        <v>6</v>
      </c>
      <c r="AJ998" s="10" t="str">
        <f t="shared" si="203"/>
        <v>2025-06</v>
      </c>
      <c r="AK998" s="10" t="str">
        <f t="shared" si="204"/>
        <v>T2</v>
      </c>
      <c r="AL998" s="10" t="str">
        <f t="shared" si="205"/>
        <v>40-49</v>
      </c>
      <c r="AM998" s="10" t="str">
        <f t="shared" si="206"/>
        <v>faible</v>
      </c>
      <c r="AN998" s="10" t="s">
        <v>2837</v>
      </c>
      <c r="AO998" s="10" t="str">
        <f t="shared" si="207"/>
        <v>Elevée</v>
      </c>
    </row>
    <row r="999" spans="1:41">
      <c r="A999" t="s">
        <v>2831</v>
      </c>
      <c r="B999" s="2">
        <v>45743</v>
      </c>
      <c r="C999" t="s">
        <v>2832</v>
      </c>
      <c r="D999" t="s">
        <v>42</v>
      </c>
      <c r="E999" t="s">
        <v>163</v>
      </c>
      <c r="F999" t="s">
        <v>553</v>
      </c>
      <c r="G999">
        <v>2</v>
      </c>
      <c r="H999" s="4">
        <v>260</v>
      </c>
      <c r="I999" s="3">
        <v>0</v>
      </c>
      <c r="J999" t="s">
        <v>45</v>
      </c>
      <c r="K999" t="s">
        <v>46</v>
      </c>
      <c r="L999" t="s">
        <v>2833</v>
      </c>
      <c r="M999" t="s">
        <v>65</v>
      </c>
      <c r="N999" t="s">
        <v>112</v>
      </c>
      <c r="O999" t="s">
        <v>50</v>
      </c>
      <c r="P999" t="s">
        <v>51</v>
      </c>
      <c r="Q999" t="s">
        <v>52</v>
      </c>
      <c r="R999" t="s">
        <v>167</v>
      </c>
      <c r="S999" t="s">
        <v>123</v>
      </c>
      <c r="T999" t="s">
        <v>555</v>
      </c>
      <c r="U999" s="5">
        <v>47</v>
      </c>
      <c r="V999" s="5" t="s">
        <v>85</v>
      </c>
      <c r="W999" s="5">
        <v>21</v>
      </c>
      <c r="X999" s="5">
        <v>6.2</v>
      </c>
      <c r="Y999" s="5">
        <v>6</v>
      </c>
      <c r="Z999" s="5" t="s">
        <v>94</v>
      </c>
      <c r="AA999" s="6">
        <v>189.8</v>
      </c>
      <c r="AB999" s="8">
        <f t="shared" si="195"/>
        <v>520</v>
      </c>
      <c r="AC999" s="8">
        <f t="shared" si="196"/>
        <v>0</v>
      </c>
      <c r="AD999" s="8">
        <f t="shared" si="197"/>
        <v>520</v>
      </c>
      <c r="AE999" s="8">
        <f t="shared" si="198"/>
        <v>379.6</v>
      </c>
      <c r="AF999" s="8">
        <f t="shared" si="199"/>
        <v>140.39999999999998</v>
      </c>
      <c r="AG999" s="9">
        <f t="shared" si="200"/>
        <v>0.26999999999999996</v>
      </c>
      <c r="AH999" s="10">
        <f t="shared" si="201"/>
        <v>2025</v>
      </c>
      <c r="AI999" s="10">
        <f t="shared" si="202"/>
        <v>3</v>
      </c>
      <c r="AJ999" s="10" t="str">
        <f t="shared" si="203"/>
        <v>2025-03</v>
      </c>
      <c r="AK999" s="10" t="str">
        <f t="shared" si="204"/>
        <v>T1</v>
      </c>
      <c r="AL999" s="10" t="str">
        <f t="shared" si="205"/>
        <v>40-49</v>
      </c>
      <c r="AM999" s="10" t="str">
        <f t="shared" si="206"/>
        <v>moyen</v>
      </c>
      <c r="AN999" s="10" t="s">
        <v>2839</v>
      </c>
      <c r="AO999" s="10" t="str">
        <f t="shared" si="207"/>
        <v>Moyenne</v>
      </c>
    </row>
    <row r="1000" spans="1:41">
      <c r="A1000" t="s">
        <v>2834</v>
      </c>
      <c r="B1000" s="2">
        <v>45794</v>
      </c>
      <c r="C1000" t="s">
        <v>2637</v>
      </c>
      <c r="D1000" t="s">
        <v>108</v>
      </c>
      <c r="E1000" t="s">
        <v>61</v>
      </c>
      <c r="F1000" t="s">
        <v>220</v>
      </c>
      <c r="G1000">
        <v>2</v>
      </c>
      <c r="H1000" s="4">
        <v>240</v>
      </c>
      <c r="I1000" s="3">
        <v>0.02</v>
      </c>
      <c r="J1000" t="s">
        <v>63</v>
      </c>
      <c r="K1000" t="s">
        <v>46</v>
      </c>
      <c r="L1000" t="s">
        <v>2638</v>
      </c>
      <c r="M1000" t="s">
        <v>123</v>
      </c>
      <c r="N1000" t="s">
        <v>112</v>
      </c>
      <c r="O1000" t="s">
        <v>113</v>
      </c>
      <c r="P1000" t="s">
        <v>82</v>
      </c>
      <c r="Q1000" t="s">
        <v>114</v>
      </c>
      <c r="R1000" t="s">
        <v>68</v>
      </c>
      <c r="S1000" t="s">
        <v>69</v>
      </c>
      <c r="T1000" t="s">
        <v>223</v>
      </c>
      <c r="U1000" s="5">
        <v>42</v>
      </c>
      <c r="V1000" s="5" t="s">
        <v>85</v>
      </c>
      <c r="W1000" s="5">
        <v>41</v>
      </c>
      <c r="X1000" s="5">
        <v>7.9</v>
      </c>
      <c r="Y1000" s="5">
        <v>1</v>
      </c>
      <c r="Z1000" s="5" t="s">
        <v>117</v>
      </c>
      <c r="AA1000" s="6">
        <v>177.6</v>
      </c>
      <c r="AB1000" s="8">
        <f t="shared" si="195"/>
        <v>480</v>
      </c>
      <c r="AC1000" s="8">
        <f t="shared" si="196"/>
        <v>9.6</v>
      </c>
      <c r="AD1000" s="8">
        <f t="shared" si="197"/>
        <v>470.4</v>
      </c>
      <c r="AE1000" s="8">
        <f t="shared" si="198"/>
        <v>355.2</v>
      </c>
      <c r="AF1000" s="8">
        <f t="shared" si="199"/>
        <v>115.19999999999999</v>
      </c>
      <c r="AG1000" s="9">
        <f t="shared" si="200"/>
        <v>0.24489795918367346</v>
      </c>
      <c r="AH1000" s="10">
        <f t="shared" si="201"/>
        <v>2025</v>
      </c>
      <c r="AI1000" s="10">
        <f t="shared" si="202"/>
        <v>5</v>
      </c>
      <c r="AJ1000" s="10" t="str">
        <f t="shared" si="203"/>
        <v>2025-05</v>
      </c>
      <c r="AK1000" s="10" t="str">
        <f t="shared" si="204"/>
        <v>T2</v>
      </c>
      <c r="AL1000" s="10" t="str">
        <f t="shared" si="205"/>
        <v>40-49</v>
      </c>
      <c r="AM1000" s="10" t="str">
        <f t="shared" si="206"/>
        <v>bon</v>
      </c>
      <c r="AN1000" s="10" t="s">
        <v>2838</v>
      </c>
      <c r="AO1000" s="10" t="str">
        <f t="shared" si="207"/>
        <v>Faible</v>
      </c>
    </row>
    <row r="1001" spans="1:41">
      <c r="A1001" t="s">
        <v>2835</v>
      </c>
      <c r="B1001" s="2">
        <v>45859</v>
      </c>
      <c r="C1001" t="s">
        <v>2509</v>
      </c>
      <c r="D1001" t="s">
        <v>162</v>
      </c>
      <c r="E1001" t="s">
        <v>75</v>
      </c>
      <c r="F1001" t="s">
        <v>439</v>
      </c>
      <c r="G1001">
        <v>2</v>
      </c>
      <c r="H1001" s="4">
        <v>35</v>
      </c>
      <c r="I1001" s="3">
        <v>0</v>
      </c>
      <c r="J1001" t="s">
        <v>77</v>
      </c>
      <c r="K1001" t="s">
        <v>46</v>
      </c>
      <c r="L1001" t="s">
        <v>2510</v>
      </c>
      <c r="M1001" t="s">
        <v>65</v>
      </c>
      <c r="N1001" t="s">
        <v>49</v>
      </c>
      <c r="O1001" t="s">
        <v>166</v>
      </c>
      <c r="P1001" t="s">
        <v>103</v>
      </c>
      <c r="Q1001" t="s">
        <v>143</v>
      </c>
      <c r="R1001" t="s">
        <v>83</v>
      </c>
      <c r="S1001" t="s">
        <v>69</v>
      </c>
      <c r="T1001" t="s">
        <v>441</v>
      </c>
      <c r="U1001" s="5">
        <v>56</v>
      </c>
      <c r="V1001" s="5" t="s">
        <v>56</v>
      </c>
      <c r="W1001" s="5">
        <v>40</v>
      </c>
      <c r="X1001" s="5">
        <v>6.2</v>
      </c>
      <c r="Y1001" s="5">
        <v>6</v>
      </c>
      <c r="Z1001" s="5" t="s">
        <v>57</v>
      </c>
      <c r="AA1001" s="6">
        <v>24.15</v>
      </c>
      <c r="AB1001" s="8">
        <f t="shared" si="195"/>
        <v>70</v>
      </c>
      <c r="AC1001" s="8">
        <f t="shared" si="196"/>
        <v>0</v>
      </c>
      <c r="AD1001" s="8">
        <f t="shared" si="197"/>
        <v>70</v>
      </c>
      <c r="AE1001" s="8">
        <f t="shared" si="198"/>
        <v>48.3</v>
      </c>
      <c r="AF1001" s="8">
        <f t="shared" si="199"/>
        <v>21.700000000000003</v>
      </c>
      <c r="AG1001" s="9">
        <f t="shared" si="200"/>
        <v>0.31000000000000005</v>
      </c>
      <c r="AH1001" s="10">
        <f t="shared" si="201"/>
        <v>2025</v>
      </c>
      <c r="AI1001" s="10">
        <f t="shared" si="202"/>
        <v>7</v>
      </c>
      <c r="AJ1001" s="10" t="str">
        <f t="shared" si="203"/>
        <v>2025-07</v>
      </c>
      <c r="AK1001" s="10" t="str">
        <f t="shared" si="204"/>
        <v>T3</v>
      </c>
      <c r="AL1001" s="10" t="str">
        <f t="shared" si="205"/>
        <v>50+</v>
      </c>
      <c r="AM1001" s="10" t="str">
        <f t="shared" si="206"/>
        <v>moyen</v>
      </c>
      <c r="AN1001" s="10" t="s">
        <v>2839</v>
      </c>
      <c r="AO1001" s="10" t="str">
        <f t="shared" si="207"/>
        <v>Faible</v>
      </c>
    </row>
  </sheetData>
  <pageMargins left="0.7" right="0.7" top="0.75" bottom="0.75" header="0.3" footer="0.3"/>
  <pageSetup paperSize="9" orientation="portrait" r:id="rId1"/>
  <ignoredErrors>
    <ignoredError sqref="AE2 AE3:AE100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70D2-02A4-4B56-9643-A78423F5BB6B}">
  <dimension ref="A2:M22"/>
  <sheetViews>
    <sheetView showGridLines="0" tabSelected="1" zoomScale="109" zoomScaleNormal="207" workbookViewId="0">
      <selection activeCell="E5" sqref="E5"/>
    </sheetView>
  </sheetViews>
  <sheetFormatPr baseColWidth="10" defaultRowHeight="14.25"/>
  <cols>
    <col min="1" max="1" width="15.625" bestFit="1" customWidth="1"/>
    <col min="2" max="2" width="12.375" bestFit="1" customWidth="1"/>
  </cols>
  <sheetData>
    <row r="2" spans="1:13" ht="28.5">
      <c r="A2" s="17" t="s">
        <v>2867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7" spans="1:13" ht="15">
      <c r="A7" s="18" t="s">
        <v>2868</v>
      </c>
      <c r="B7" s="18" t="s">
        <v>2869</v>
      </c>
      <c r="C7" s="18" t="s">
        <v>2870</v>
      </c>
    </row>
    <row r="8" spans="1:13">
      <c r="A8" t="s">
        <v>123</v>
      </c>
      <c r="B8">
        <f>COUNTIF(BASE_DONNEES!$M$2:$M$1001,CLIENTS!A8)</f>
        <v>180</v>
      </c>
      <c r="C8" s="13">
        <f>B8/SUM($B$8:$B$13)</f>
        <v>0.18</v>
      </c>
      <c r="D8" s="13"/>
    </row>
    <row r="9" spans="1:13">
      <c r="A9" t="s">
        <v>65</v>
      </c>
      <c r="B9">
        <f>COUNTIF(BASE_DONNEES!$M$2:$M$1001,CLIENTS!A9)</f>
        <v>175</v>
      </c>
      <c r="C9" s="13">
        <f t="shared" ref="C9:C13" si="0">B9/SUM($B$8:$B$13)</f>
        <v>0.17499999999999999</v>
      </c>
      <c r="D9" s="13"/>
    </row>
    <row r="10" spans="1:13">
      <c r="A10" t="s">
        <v>48</v>
      </c>
      <c r="B10">
        <f>COUNTIF(BASE_DONNEES!$M$2:$M$1001,CLIENTS!A10)</f>
        <v>167</v>
      </c>
      <c r="C10" s="13">
        <f t="shared" si="0"/>
        <v>0.16700000000000001</v>
      </c>
      <c r="D10" s="13"/>
    </row>
    <row r="11" spans="1:13">
      <c r="A11" t="s">
        <v>69</v>
      </c>
      <c r="B11">
        <f>COUNTIF(BASE_DONNEES!$M$2:$M$1001,CLIENTS!A11)</f>
        <v>165</v>
      </c>
      <c r="C11" s="13">
        <f t="shared" si="0"/>
        <v>0.16500000000000001</v>
      </c>
      <c r="D11" s="13"/>
    </row>
    <row r="12" spans="1:13">
      <c r="A12" t="s">
        <v>79</v>
      </c>
      <c r="B12">
        <f>COUNTIF(BASE_DONNEES!$M$2:$M$1001,CLIENTS!A12)</f>
        <v>158</v>
      </c>
      <c r="C12" s="13">
        <f t="shared" si="0"/>
        <v>0.158</v>
      </c>
      <c r="D12" s="13"/>
    </row>
    <row r="13" spans="1:13">
      <c r="A13" t="s">
        <v>54</v>
      </c>
      <c r="B13">
        <f>COUNTIF(BASE_DONNEES!$M$2:$M$1001,CLIENTS!A13)</f>
        <v>155</v>
      </c>
      <c r="C13" s="13">
        <f t="shared" si="0"/>
        <v>0.155</v>
      </c>
      <c r="D13" s="13"/>
    </row>
    <row r="17" spans="1:3" ht="15">
      <c r="A17" s="18" t="s">
        <v>2871</v>
      </c>
      <c r="B17" s="18" t="s">
        <v>2872</v>
      </c>
      <c r="C17" s="18" t="s">
        <v>2870</v>
      </c>
    </row>
    <row r="18" spans="1:3">
      <c r="A18" t="s">
        <v>101</v>
      </c>
      <c r="B18">
        <f>COUNTIF(BASE_DONNEES!$N$2:$N$1001,CLIENTS!A18)</f>
        <v>228</v>
      </c>
      <c r="C18" s="13">
        <f>B18/SUM($B$18:$B$22)</f>
        <v>0.22800000000000001</v>
      </c>
    </row>
    <row r="19" spans="1:3">
      <c r="A19" t="s">
        <v>49</v>
      </c>
      <c r="B19">
        <f>COUNTIF(BASE_DONNEES!$N$2:$N$1001,CLIENTS!A19)</f>
        <v>215</v>
      </c>
      <c r="C19" s="13">
        <f t="shared" ref="C19:C22" si="1">B19/SUM($B$18:$B$22)</f>
        <v>0.215</v>
      </c>
    </row>
    <row r="20" spans="1:3">
      <c r="A20" t="s">
        <v>80</v>
      </c>
      <c r="B20">
        <f>COUNTIF(BASE_DONNEES!$N$2:$N$1001,CLIENTS!A20)</f>
        <v>194</v>
      </c>
      <c r="C20" s="13">
        <f t="shared" si="1"/>
        <v>0.19400000000000001</v>
      </c>
    </row>
    <row r="21" spans="1:3">
      <c r="A21" t="s">
        <v>112</v>
      </c>
      <c r="B21">
        <f>COUNTIF(BASE_DONNEES!$N$2:$N$1001,CLIENTS!A21)</f>
        <v>187</v>
      </c>
      <c r="C21" s="13">
        <f t="shared" si="1"/>
        <v>0.187</v>
      </c>
    </row>
    <row r="22" spans="1:3">
      <c r="A22" t="s">
        <v>255</v>
      </c>
      <c r="B22">
        <f>COUNTIF(BASE_DONNEES!$N$2:$N$1001,CLIENTS!A22)</f>
        <v>176</v>
      </c>
      <c r="C22" s="13">
        <f t="shared" si="1"/>
        <v>0.17599999999999999</v>
      </c>
    </row>
  </sheetData>
  <mergeCells count="1">
    <mergeCell ref="A2:M2"/>
  </mergeCells>
  <conditionalFormatting sqref="C8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415CC-291B-42E7-B55D-EF0C4399083A}">
  <dimension ref="A1:N1001"/>
  <sheetViews>
    <sheetView workbookViewId="0">
      <selection activeCell="K2" sqref="K2"/>
    </sheetView>
  </sheetViews>
  <sheetFormatPr baseColWidth="10" defaultRowHeight="14.25"/>
  <cols>
    <col min="1" max="1" width="7.5" bestFit="1" customWidth="1"/>
    <col min="2" max="2" width="13.875" bestFit="1" customWidth="1"/>
    <col min="3" max="3" width="6.875" bestFit="1" customWidth="1"/>
    <col min="4" max="4" width="9.125" bestFit="1" customWidth="1"/>
    <col min="5" max="5" width="6.875" bestFit="1" customWidth="1"/>
    <col min="6" max="6" width="11.125" style="12" bestFit="1" customWidth="1"/>
    <col min="7" max="7" width="6" bestFit="1" customWidth="1"/>
    <col min="8" max="8" width="4.625" bestFit="1" customWidth="1"/>
    <col min="9" max="9" width="12" bestFit="1" customWidth="1"/>
    <col min="10" max="10" width="8.75" bestFit="1" customWidth="1"/>
    <col min="11" max="11" width="10.625" bestFit="1" customWidth="1"/>
    <col min="12" max="12" width="16.75" bestFit="1" customWidth="1"/>
    <col min="13" max="13" width="11.375" bestFit="1" customWidth="1"/>
    <col min="14" max="14" width="16.125" bestFit="1" customWidth="1"/>
  </cols>
  <sheetData>
    <row r="1" spans="1:14">
      <c r="A1" t="s">
        <v>27</v>
      </c>
      <c r="B1" t="s">
        <v>28</v>
      </c>
      <c r="C1" t="s">
        <v>29</v>
      </c>
      <c r="D1" t="s">
        <v>30</v>
      </c>
      <c r="E1" t="s">
        <v>31</v>
      </c>
      <c r="F1" s="12" t="s">
        <v>32</v>
      </c>
      <c r="G1" t="s">
        <v>33</v>
      </c>
      <c r="H1" t="s">
        <v>34</v>
      </c>
      <c r="I1" t="s">
        <v>2836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</row>
    <row r="2" spans="1:14">
      <c r="A2">
        <v>520</v>
      </c>
      <c r="B2">
        <v>52</v>
      </c>
      <c r="C2">
        <v>468</v>
      </c>
      <c r="D2">
        <v>379.6</v>
      </c>
      <c r="E2">
        <f>A2-B2</f>
        <v>468</v>
      </c>
      <c r="F2" s="12">
        <v>0.18888888888888883</v>
      </c>
      <c r="G2">
        <v>2025</v>
      </c>
      <c r="H2">
        <v>7</v>
      </c>
      <c r="I2" t="s">
        <v>2840</v>
      </c>
      <c r="J2" t="s">
        <v>2841</v>
      </c>
      <c r="K2" t="s">
        <v>2842</v>
      </c>
      <c r="L2" t="s">
        <v>2843</v>
      </c>
      <c r="M2" t="s">
        <v>2837</v>
      </c>
      <c r="N2" t="s">
        <v>2844</v>
      </c>
    </row>
    <row r="3" spans="1:14">
      <c r="A3">
        <v>540</v>
      </c>
      <c r="B3">
        <v>10.8</v>
      </c>
      <c r="C3">
        <v>529.20000000000005</v>
      </c>
      <c r="D3">
        <v>388.79999999999995</v>
      </c>
      <c r="E3">
        <v>140.40000000000009</v>
      </c>
      <c r="F3" s="12">
        <v>0.26530612244897972</v>
      </c>
      <c r="G3">
        <v>2025</v>
      </c>
      <c r="H3">
        <v>5</v>
      </c>
      <c r="I3" t="s">
        <v>2845</v>
      </c>
      <c r="J3" t="s">
        <v>2846</v>
      </c>
      <c r="K3" t="s">
        <v>2847</v>
      </c>
      <c r="L3" t="s">
        <v>2848</v>
      </c>
      <c r="M3" t="s">
        <v>2838</v>
      </c>
      <c r="N3" t="s">
        <v>2849</v>
      </c>
    </row>
    <row r="4" spans="1:14">
      <c r="A4">
        <v>570</v>
      </c>
      <c r="B4">
        <v>11.4</v>
      </c>
      <c r="C4">
        <v>558.6</v>
      </c>
      <c r="D4">
        <v>421.79999999999995</v>
      </c>
      <c r="E4">
        <v>136.80000000000007</v>
      </c>
      <c r="F4" s="12">
        <v>0.24489795918367357</v>
      </c>
      <c r="G4">
        <v>2025</v>
      </c>
      <c r="H4">
        <v>1</v>
      </c>
      <c r="I4" t="s">
        <v>2850</v>
      </c>
      <c r="J4" t="s">
        <v>2851</v>
      </c>
      <c r="K4" t="s">
        <v>2852</v>
      </c>
      <c r="L4" t="s">
        <v>2848</v>
      </c>
      <c r="M4" t="s">
        <v>2839</v>
      </c>
      <c r="N4" t="s">
        <v>2849</v>
      </c>
    </row>
    <row r="5" spans="1:14">
      <c r="A5">
        <v>360</v>
      </c>
      <c r="B5">
        <v>0</v>
      </c>
      <c r="C5">
        <v>360</v>
      </c>
      <c r="D5">
        <v>259.2</v>
      </c>
      <c r="E5">
        <v>100.80000000000001</v>
      </c>
      <c r="F5" s="12">
        <v>0.28000000000000003</v>
      </c>
      <c r="G5">
        <v>2025</v>
      </c>
      <c r="H5">
        <v>9</v>
      </c>
      <c r="I5" t="s">
        <v>2853</v>
      </c>
      <c r="J5" t="s">
        <v>2841</v>
      </c>
      <c r="K5" t="s">
        <v>2852</v>
      </c>
      <c r="L5" t="s">
        <v>2843</v>
      </c>
      <c r="M5" t="s">
        <v>2837</v>
      </c>
      <c r="N5" t="s">
        <v>2844</v>
      </c>
    </row>
    <row r="6" spans="1:14">
      <c r="A6">
        <v>10400</v>
      </c>
      <c r="B6">
        <v>208</v>
      </c>
      <c r="C6">
        <v>10192</v>
      </c>
      <c r="D6">
        <v>6968</v>
      </c>
      <c r="E6">
        <v>3224</v>
      </c>
      <c r="F6" s="12">
        <v>0.31632653061224492</v>
      </c>
      <c r="G6">
        <v>2025</v>
      </c>
      <c r="H6">
        <v>10</v>
      </c>
      <c r="I6" t="s">
        <v>2854</v>
      </c>
      <c r="J6" t="s">
        <v>2855</v>
      </c>
      <c r="K6" t="s">
        <v>2847</v>
      </c>
      <c r="L6" t="s">
        <v>2856</v>
      </c>
      <c r="M6" t="s">
        <v>2839</v>
      </c>
      <c r="N6" t="s">
        <v>2857</v>
      </c>
    </row>
    <row r="7" spans="1:14">
      <c r="A7">
        <v>480</v>
      </c>
      <c r="B7">
        <v>0</v>
      </c>
      <c r="C7">
        <v>480</v>
      </c>
      <c r="D7">
        <v>355.2</v>
      </c>
      <c r="E7">
        <v>124.80000000000001</v>
      </c>
      <c r="F7" s="12">
        <v>0.26</v>
      </c>
      <c r="G7">
        <v>2025</v>
      </c>
      <c r="H7">
        <v>12</v>
      </c>
      <c r="I7" t="s">
        <v>2858</v>
      </c>
      <c r="J7" t="s">
        <v>2855</v>
      </c>
      <c r="K7" t="s">
        <v>2847</v>
      </c>
      <c r="L7" t="s">
        <v>2856</v>
      </c>
      <c r="M7" t="s">
        <v>2839</v>
      </c>
      <c r="N7" t="s">
        <v>2844</v>
      </c>
    </row>
    <row r="8" spans="1:14">
      <c r="A8">
        <v>240</v>
      </c>
      <c r="B8">
        <v>0</v>
      </c>
      <c r="C8">
        <v>240</v>
      </c>
      <c r="D8">
        <v>177.6</v>
      </c>
      <c r="E8">
        <v>62.400000000000006</v>
      </c>
      <c r="F8" s="12">
        <v>0.26</v>
      </c>
      <c r="G8">
        <v>2025</v>
      </c>
      <c r="H8">
        <v>12</v>
      </c>
      <c r="I8" t="s">
        <v>2858</v>
      </c>
      <c r="J8" t="s">
        <v>2855</v>
      </c>
      <c r="K8" t="s">
        <v>2852</v>
      </c>
      <c r="L8" t="s">
        <v>2856</v>
      </c>
      <c r="M8" t="s">
        <v>2839</v>
      </c>
      <c r="N8" t="s">
        <v>2844</v>
      </c>
    </row>
    <row r="9" spans="1:14">
      <c r="A9">
        <v>760</v>
      </c>
      <c r="B9">
        <v>76</v>
      </c>
      <c r="C9">
        <v>684</v>
      </c>
      <c r="D9">
        <v>592.79999999999995</v>
      </c>
      <c r="E9">
        <v>91.2</v>
      </c>
      <c r="F9" s="12">
        <v>0.13333333333333339</v>
      </c>
      <c r="G9">
        <v>2025</v>
      </c>
      <c r="H9">
        <v>12</v>
      </c>
      <c r="I9" t="s">
        <v>2858</v>
      </c>
      <c r="J9" t="s">
        <v>2855</v>
      </c>
      <c r="K9" t="s">
        <v>2842</v>
      </c>
      <c r="L9" t="s">
        <v>2843</v>
      </c>
      <c r="M9" t="s">
        <v>2837</v>
      </c>
      <c r="N9" t="s">
        <v>2849</v>
      </c>
    </row>
    <row r="10" spans="1:14">
      <c r="A10">
        <v>240</v>
      </c>
      <c r="B10">
        <v>24</v>
      </c>
      <c r="C10">
        <v>216</v>
      </c>
      <c r="D10">
        <v>146.4</v>
      </c>
      <c r="E10">
        <v>69.599999999999994</v>
      </c>
      <c r="F10" s="12">
        <v>0.32222222222222219</v>
      </c>
      <c r="G10">
        <v>2025</v>
      </c>
      <c r="H10">
        <v>3</v>
      </c>
      <c r="I10" t="s">
        <v>2859</v>
      </c>
      <c r="J10" t="s">
        <v>2851</v>
      </c>
      <c r="K10" t="s">
        <v>2847</v>
      </c>
      <c r="L10" t="s">
        <v>2843</v>
      </c>
      <c r="M10" t="s">
        <v>2837</v>
      </c>
      <c r="N10" t="s">
        <v>2844</v>
      </c>
    </row>
    <row r="11" spans="1:14">
      <c r="A11">
        <v>2200</v>
      </c>
      <c r="B11">
        <v>0</v>
      </c>
      <c r="C11">
        <v>2200</v>
      </c>
      <c r="D11">
        <v>1452</v>
      </c>
      <c r="E11">
        <v>748</v>
      </c>
      <c r="F11" s="12">
        <v>0.34</v>
      </c>
      <c r="G11">
        <v>2025</v>
      </c>
      <c r="H11">
        <v>12</v>
      </c>
      <c r="I11" t="s">
        <v>2858</v>
      </c>
      <c r="J11" t="s">
        <v>2855</v>
      </c>
      <c r="K11" t="s">
        <v>2860</v>
      </c>
      <c r="L11" t="s">
        <v>2856</v>
      </c>
      <c r="M11" t="s">
        <v>2838</v>
      </c>
      <c r="N11" t="s">
        <v>2857</v>
      </c>
    </row>
    <row r="12" spans="1:14">
      <c r="A12">
        <v>192</v>
      </c>
      <c r="B12">
        <v>15.36</v>
      </c>
      <c r="C12">
        <v>176.64</v>
      </c>
      <c r="D12">
        <v>149.76</v>
      </c>
      <c r="E12">
        <v>26.879999999999995</v>
      </c>
      <c r="F12" s="12">
        <v>0.15217391304347824</v>
      </c>
      <c r="G12">
        <v>2025</v>
      </c>
      <c r="H12">
        <v>1</v>
      </c>
      <c r="I12" t="s">
        <v>2850</v>
      </c>
      <c r="J12" t="s">
        <v>2851</v>
      </c>
      <c r="K12" t="s">
        <v>2842</v>
      </c>
      <c r="L12" t="s">
        <v>2848</v>
      </c>
      <c r="M12" t="s">
        <v>2838</v>
      </c>
      <c r="N12" t="s">
        <v>2844</v>
      </c>
    </row>
    <row r="13" spans="1:14">
      <c r="A13">
        <v>35</v>
      </c>
      <c r="B13">
        <v>0.70000000000000007</v>
      </c>
      <c r="C13">
        <v>34.299999999999997</v>
      </c>
      <c r="D13">
        <v>24.15</v>
      </c>
      <c r="E13">
        <v>10.149999999999999</v>
      </c>
      <c r="F13" s="12">
        <v>0.29591836734693877</v>
      </c>
      <c r="G13">
        <v>2025</v>
      </c>
      <c r="H13">
        <v>7</v>
      </c>
      <c r="I13" t="s">
        <v>2840</v>
      </c>
      <c r="J13" t="s">
        <v>2841</v>
      </c>
      <c r="K13" t="s">
        <v>2860</v>
      </c>
      <c r="L13" t="s">
        <v>2843</v>
      </c>
      <c r="M13" t="s">
        <v>2837</v>
      </c>
      <c r="N13" t="s">
        <v>2844</v>
      </c>
    </row>
    <row r="14" spans="1:14">
      <c r="A14">
        <v>1040</v>
      </c>
      <c r="B14">
        <v>52</v>
      </c>
      <c r="C14">
        <v>988</v>
      </c>
      <c r="D14">
        <v>696.8</v>
      </c>
      <c r="E14">
        <v>291.20000000000005</v>
      </c>
      <c r="F14" s="12">
        <v>0.29473684210526319</v>
      </c>
      <c r="G14">
        <v>2025</v>
      </c>
      <c r="H14">
        <v>9</v>
      </c>
      <c r="I14" t="s">
        <v>2853</v>
      </c>
      <c r="J14" t="s">
        <v>2841</v>
      </c>
      <c r="K14" t="s">
        <v>2852</v>
      </c>
      <c r="L14" t="s">
        <v>2856</v>
      </c>
      <c r="M14" t="s">
        <v>2839</v>
      </c>
      <c r="N14" t="s">
        <v>2849</v>
      </c>
    </row>
    <row r="15" spans="1:14">
      <c r="A15">
        <v>780</v>
      </c>
      <c r="B15">
        <v>39</v>
      </c>
      <c r="C15">
        <v>741</v>
      </c>
      <c r="D15">
        <v>468</v>
      </c>
      <c r="E15">
        <v>273</v>
      </c>
      <c r="F15" s="12">
        <v>0.36842105263157893</v>
      </c>
      <c r="G15">
        <v>2025</v>
      </c>
      <c r="H15">
        <v>2</v>
      </c>
      <c r="I15" t="s">
        <v>2861</v>
      </c>
      <c r="J15" t="s">
        <v>2851</v>
      </c>
      <c r="K15" t="s">
        <v>2852</v>
      </c>
      <c r="L15" t="s">
        <v>2848</v>
      </c>
      <c r="M15" t="s">
        <v>2838</v>
      </c>
      <c r="N15" t="s">
        <v>2849</v>
      </c>
    </row>
    <row r="16" spans="1:14">
      <c r="A16">
        <v>435</v>
      </c>
      <c r="B16">
        <v>0</v>
      </c>
      <c r="C16">
        <v>435</v>
      </c>
      <c r="D16">
        <v>291.45000000000005</v>
      </c>
      <c r="E16">
        <v>143.54999999999995</v>
      </c>
      <c r="F16" s="12">
        <v>0.3299999999999999</v>
      </c>
      <c r="G16">
        <v>2025</v>
      </c>
      <c r="H16">
        <v>12</v>
      </c>
      <c r="I16" t="s">
        <v>2858</v>
      </c>
      <c r="J16" t="s">
        <v>2855</v>
      </c>
      <c r="K16" t="s">
        <v>2842</v>
      </c>
      <c r="L16" t="s">
        <v>2843</v>
      </c>
      <c r="M16" t="s">
        <v>2837</v>
      </c>
      <c r="N16" t="s">
        <v>2844</v>
      </c>
    </row>
    <row r="17" spans="1:14">
      <c r="A17">
        <v>350</v>
      </c>
      <c r="B17">
        <v>28</v>
      </c>
      <c r="C17">
        <v>322</v>
      </c>
      <c r="D17">
        <v>213.5</v>
      </c>
      <c r="E17">
        <v>108.5</v>
      </c>
      <c r="F17" s="12">
        <v>0.33695652173913043</v>
      </c>
      <c r="G17">
        <v>2025</v>
      </c>
      <c r="H17">
        <v>7</v>
      </c>
      <c r="I17" t="s">
        <v>2840</v>
      </c>
      <c r="J17" t="s">
        <v>2841</v>
      </c>
      <c r="K17" t="s">
        <v>2852</v>
      </c>
      <c r="L17" t="s">
        <v>2843</v>
      </c>
      <c r="M17" t="s">
        <v>2837</v>
      </c>
      <c r="N17" t="s">
        <v>2844</v>
      </c>
    </row>
    <row r="18" spans="1:14">
      <c r="A18">
        <v>2100</v>
      </c>
      <c r="B18">
        <v>105</v>
      </c>
      <c r="C18">
        <v>1995</v>
      </c>
      <c r="D18">
        <v>1281</v>
      </c>
      <c r="E18">
        <v>714</v>
      </c>
      <c r="F18" s="12">
        <v>0.35789473684210527</v>
      </c>
      <c r="G18">
        <v>2025</v>
      </c>
      <c r="H18">
        <v>5</v>
      </c>
      <c r="I18" t="s">
        <v>2845</v>
      </c>
      <c r="J18" t="s">
        <v>2846</v>
      </c>
      <c r="K18" t="s">
        <v>2847</v>
      </c>
      <c r="L18" t="s">
        <v>2848</v>
      </c>
      <c r="M18" t="s">
        <v>2838</v>
      </c>
      <c r="N18" t="s">
        <v>2857</v>
      </c>
    </row>
    <row r="19" spans="1:14">
      <c r="A19">
        <v>1560</v>
      </c>
      <c r="B19">
        <v>0</v>
      </c>
      <c r="C19">
        <v>1560</v>
      </c>
      <c r="D19">
        <v>936</v>
      </c>
      <c r="E19">
        <v>624</v>
      </c>
      <c r="F19" s="12">
        <v>0.4</v>
      </c>
      <c r="G19">
        <v>2025</v>
      </c>
      <c r="H19">
        <v>3</v>
      </c>
      <c r="I19" t="s">
        <v>2859</v>
      </c>
      <c r="J19" t="s">
        <v>2851</v>
      </c>
      <c r="K19" t="s">
        <v>2860</v>
      </c>
      <c r="L19" t="s">
        <v>2848</v>
      </c>
      <c r="M19" t="s">
        <v>2838</v>
      </c>
      <c r="N19" t="s">
        <v>2857</v>
      </c>
    </row>
    <row r="20" spans="1:14">
      <c r="A20">
        <v>2400</v>
      </c>
      <c r="B20">
        <v>240</v>
      </c>
      <c r="C20">
        <v>2160</v>
      </c>
      <c r="D20">
        <v>1776</v>
      </c>
      <c r="E20">
        <v>384</v>
      </c>
      <c r="F20" s="12">
        <v>0.17777777777777778</v>
      </c>
      <c r="G20">
        <v>2025</v>
      </c>
      <c r="H20">
        <v>5</v>
      </c>
      <c r="I20" t="s">
        <v>2845</v>
      </c>
      <c r="J20" t="s">
        <v>2846</v>
      </c>
      <c r="K20" t="s">
        <v>2860</v>
      </c>
      <c r="L20" t="s">
        <v>2848</v>
      </c>
      <c r="M20" t="s">
        <v>2838</v>
      </c>
      <c r="N20" t="s">
        <v>2857</v>
      </c>
    </row>
    <row r="21" spans="1:14">
      <c r="A21">
        <v>1040</v>
      </c>
      <c r="B21">
        <v>104</v>
      </c>
      <c r="C21">
        <v>936</v>
      </c>
      <c r="D21">
        <v>696.8</v>
      </c>
      <c r="E21">
        <v>239.20000000000005</v>
      </c>
      <c r="F21" s="12">
        <v>0.25555555555555559</v>
      </c>
      <c r="G21">
        <v>2025</v>
      </c>
      <c r="H21">
        <v>1</v>
      </c>
      <c r="I21" t="s">
        <v>2850</v>
      </c>
      <c r="J21" t="s">
        <v>2851</v>
      </c>
      <c r="K21" t="s">
        <v>2842</v>
      </c>
      <c r="L21" t="s">
        <v>2856</v>
      </c>
      <c r="M21" t="s">
        <v>2838</v>
      </c>
      <c r="N21" t="s">
        <v>2849</v>
      </c>
    </row>
    <row r="22" spans="1:14">
      <c r="A22">
        <v>144</v>
      </c>
      <c r="B22">
        <v>0</v>
      </c>
      <c r="C22">
        <v>144</v>
      </c>
      <c r="D22">
        <v>112.32</v>
      </c>
      <c r="E22">
        <v>31.680000000000007</v>
      </c>
      <c r="F22" s="12">
        <v>0.22000000000000006</v>
      </c>
      <c r="G22">
        <v>2025</v>
      </c>
      <c r="H22">
        <v>11</v>
      </c>
      <c r="I22" t="s">
        <v>2862</v>
      </c>
      <c r="J22" t="s">
        <v>2855</v>
      </c>
      <c r="K22" t="s">
        <v>2847</v>
      </c>
      <c r="L22" t="s">
        <v>2843</v>
      </c>
      <c r="M22" t="s">
        <v>2837</v>
      </c>
      <c r="N22" t="s">
        <v>2844</v>
      </c>
    </row>
    <row r="23" spans="1:14">
      <c r="A23">
        <v>285</v>
      </c>
      <c r="B23">
        <v>5.7</v>
      </c>
      <c r="C23">
        <v>279.3</v>
      </c>
      <c r="D23">
        <v>210.89999999999998</v>
      </c>
      <c r="E23">
        <v>68.400000000000034</v>
      </c>
      <c r="F23" s="12">
        <v>0.24489795918367357</v>
      </c>
      <c r="G23">
        <v>2025</v>
      </c>
      <c r="H23">
        <v>2</v>
      </c>
      <c r="I23" t="s">
        <v>2861</v>
      </c>
      <c r="J23" t="s">
        <v>2851</v>
      </c>
      <c r="K23" t="s">
        <v>2847</v>
      </c>
      <c r="L23" t="s">
        <v>2856</v>
      </c>
      <c r="M23" t="s">
        <v>2839</v>
      </c>
      <c r="N23" t="s">
        <v>2844</v>
      </c>
    </row>
    <row r="24" spans="1:14">
      <c r="A24">
        <v>240</v>
      </c>
      <c r="B24">
        <v>12</v>
      </c>
      <c r="C24">
        <v>228</v>
      </c>
      <c r="D24">
        <v>187.2</v>
      </c>
      <c r="E24">
        <v>40.800000000000011</v>
      </c>
      <c r="F24" s="12">
        <v>0.17894736842105269</v>
      </c>
      <c r="G24">
        <v>2025</v>
      </c>
      <c r="H24">
        <v>8</v>
      </c>
      <c r="I24" t="s">
        <v>2863</v>
      </c>
      <c r="J24" t="s">
        <v>2841</v>
      </c>
      <c r="K24" t="s">
        <v>2860</v>
      </c>
      <c r="L24" t="s">
        <v>2843</v>
      </c>
      <c r="M24" t="s">
        <v>2837</v>
      </c>
      <c r="N24" t="s">
        <v>2844</v>
      </c>
    </row>
    <row r="25" spans="1:14">
      <c r="A25">
        <v>48</v>
      </c>
      <c r="B25">
        <v>0</v>
      </c>
      <c r="C25">
        <v>48</v>
      </c>
      <c r="D25">
        <v>37.44</v>
      </c>
      <c r="E25">
        <v>10.560000000000002</v>
      </c>
      <c r="F25" s="12">
        <v>0.22000000000000006</v>
      </c>
      <c r="G25">
        <v>2025</v>
      </c>
      <c r="H25">
        <v>10</v>
      </c>
      <c r="I25" t="s">
        <v>2854</v>
      </c>
      <c r="J25" t="s">
        <v>2855</v>
      </c>
      <c r="K25" t="s">
        <v>2860</v>
      </c>
      <c r="L25" t="s">
        <v>2856</v>
      </c>
      <c r="M25" t="s">
        <v>2839</v>
      </c>
      <c r="N25" t="s">
        <v>2844</v>
      </c>
    </row>
    <row r="26" spans="1:14">
      <c r="A26">
        <v>145</v>
      </c>
      <c r="B26">
        <v>2.9</v>
      </c>
      <c r="C26">
        <v>142.1</v>
      </c>
      <c r="D26">
        <v>97.15</v>
      </c>
      <c r="E26">
        <v>44.949999999999989</v>
      </c>
      <c r="F26" s="12">
        <v>0.31632653061224481</v>
      </c>
      <c r="G26">
        <v>2025</v>
      </c>
      <c r="H26">
        <v>9</v>
      </c>
      <c r="I26" t="s">
        <v>2853</v>
      </c>
      <c r="J26" t="s">
        <v>2841</v>
      </c>
      <c r="K26" t="s">
        <v>2852</v>
      </c>
      <c r="L26" t="s">
        <v>2856</v>
      </c>
      <c r="M26" t="s">
        <v>2839</v>
      </c>
      <c r="N26" t="s">
        <v>2844</v>
      </c>
    </row>
    <row r="27" spans="1:14">
      <c r="A27">
        <v>190</v>
      </c>
      <c r="B27">
        <v>0</v>
      </c>
      <c r="C27">
        <v>190</v>
      </c>
      <c r="D27">
        <v>148.19999999999999</v>
      </c>
      <c r="E27">
        <v>41.800000000000011</v>
      </c>
      <c r="F27" s="12">
        <v>0.22000000000000006</v>
      </c>
      <c r="G27">
        <v>2025</v>
      </c>
      <c r="H27">
        <v>1</v>
      </c>
      <c r="I27" t="s">
        <v>2850</v>
      </c>
      <c r="J27" t="s">
        <v>2851</v>
      </c>
      <c r="K27" t="s">
        <v>2860</v>
      </c>
      <c r="L27" t="s">
        <v>2843</v>
      </c>
      <c r="M27" t="s">
        <v>2837</v>
      </c>
      <c r="N27" t="s">
        <v>2844</v>
      </c>
    </row>
    <row r="28" spans="1:14">
      <c r="A28">
        <v>95</v>
      </c>
      <c r="B28">
        <v>0</v>
      </c>
      <c r="C28">
        <v>95</v>
      </c>
      <c r="D28">
        <v>70.3</v>
      </c>
      <c r="E28">
        <v>24.700000000000003</v>
      </c>
      <c r="F28" s="12">
        <v>0.26</v>
      </c>
      <c r="G28">
        <v>2025</v>
      </c>
      <c r="H28">
        <v>3</v>
      </c>
      <c r="I28" t="s">
        <v>2859</v>
      </c>
      <c r="J28" t="s">
        <v>2851</v>
      </c>
      <c r="K28" t="s">
        <v>2860</v>
      </c>
      <c r="L28" t="s">
        <v>2843</v>
      </c>
      <c r="M28" t="s">
        <v>2837</v>
      </c>
      <c r="N28" t="s">
        <v>2844</v>
      </c>
    </row>
    <row r="29" spans="1:14">
      <c r="A29">
        <v>1040</v>
      </c>
      <c r="B29">
        <v>52</v>
      </c>
      <c r="C29">
        <v>988</v>
      </c>
      <c r="D29">
        <v>759.2</v>
      </c>
      <c r="E29">
        <v>228.79999999999995</v>
      </c>
      <c r="F29" s="12">
        <v>0.231578947368421</v>
      </c>
      <c r="G29">
        <v>2025</v>
      </c>
      <c r="H29">
        <v>9</v>
      </c>
      <c r="I29" t="s">
        <v>2853</v>
      </c>
      <c r="J29" t="s">
        <v>2841</v>
      </c>
      <c r="K29" t="s">
        <v>2842</v>
      </c>
      <c r="L29" t="s">
        <v>2848</v>
      </c>
      <c r="M29" t="s">
        <v>2838</v>
      </c>
      <c r="N29" t="s">
        <v>2849</v>
      </c>
    </row>
    <row r="30" spans="1:14">
      <c r="A30">
        <v>290</v>
      </c>
      <c r="B30">
        <v>23.2</v>
      </c>
      <c r="C30">
        <v>266.8</v>
      </c>
      <c r="D30">
        <v>194.3</v>
      </c>
      <c r="E30">
        <v>72.5</v>
      </c>
      <c r="F30" s="12">
        <v>0.27173913043478259</v>
      </c>
      <c r="G30">
        <v>2025</v>
      </c>
      <c r="H30">
        <v>2</v>
      </c>
      <c r="I30" t="s">
        <v>2861</v>
      </c>
      <c r="J30" t="s">
        <v>2851</v>
      </c>
      <c r="K30" t="s">
        <v>2860</v>
      </c>
      <c r="L30" t="s">
        <v>2856</v>
      </c>
      <c r="M30" t="s">
        <v>2839</v>
      </c>
      <c r="N30" t="s">
        <v>2844</v>
      </c>
    </row>
    <row r="31" spans="1:14">
      <c r="A31">
        <v>480</v>
      </c>
      <c r="B31">
        <v>0</v>
      </c>
      <c r="C31">
        <v>480</v>
      </c>
      <c r="D31">
        <v>355.2</v>
      </c>
      <c r="E31">
        <v>124.80000000000001</v>
      </c>
      <c r="F31" s="12">
        <v>0.26</v>
      </c>
      <c r="G31">
        <v>2025</v>
      </c>
      <c r="H31">
        <v>6</v>
      </c>
      <c r="I31" t="s">
        <v>2864</v>
      </c>
      <c r="J31" t="s">
        <v>2846</v>
      </c>
      <c r="K31" t="s">
        <v>2842</v>
      </c>
      <c r="L31" t="s">
        <v>2843</v>
      </c>
      <c r="M31" t="s">
        <v>2837</v>
      </c>
      <c r="N31" t="s">
        <v>2844</v>
      </c>
    </row>
    <row r="32" spans="1:14">
      <c r="A32">
        <v>1260</v>
      </c>
      <c r="B32">
        <v>100.8</v>
      </c>
      <c r="C32">
        <v>1159.2</v>
      </c>
      <c r="D32">
        <v>819</v>
      </c>
      <c r="E32">
        <v>340.20000000000005</v>
      </c>
      <c r="F32" s="12">
        <v>0.29347826086956524</v>
      </c>
      <c r="G32">
        <v>2025</v>
      </c>
      <c r="H32">
        <v>1</v>
      </c>
      <c r="I32" t="s">
        <v>2850</v>
      </c>
      <c r="J32" t="s">
        <v>2851</v>
      </c>
      <c r="K32" t="s">
        <v>2852</v>
      </c>
      <c r="L32" t="s">
        <v>2843</v>
      </c>
      <c r="M32" t="s">
        <v>2839</v>
      </c>
      <c r="N32" t="s">
        <v>2857</v>
      </c>
    </row>
    <row r="33" spans="1:14">
      <c r="A33">
        <v>140</v>
      </c>
      <c r="B33">
        <v>2.8000000000000003</v>
      </c>
      <c r="C33">
        <v>137.19999999999999</v>
      </c>
      <c r="D33">
        <v>96.6</v>
      </c>
      <c r="E33">
        <v>40.599999999999994</v>
      </c>
      <c r="F33" s="12">
        <v>0.29591836734693877</v>
      </c>
      <c r="G33">
        <v>2025</v>
      </c>
      <c r="H33">
        <v>6</v>
      </c>
      <c r="I33" t="s">
        <v>2864</v>
      </c>
      <c r="J33" t="s">
        <v>2846</v>
      </c>
      <c r="K33" t="s">
        <v>2852</v>
      </c>
      <c r="L33" t="s">
        <v>2848</v>
      </c>
      <c r="M33" t="s">
        <v>2838</v>
      </c>
      <c r="N33" t="s">
        <v>2844</v>
      </c>
    </row>
    <row r="34" spans="1:14">
      <c r="A34">
        <v>180</v>
      </c>
      <c r="B34">
        <v>0</v>
      </c>
      <c r="C34">
        <v>180</v>
      </c>
      <c r="D34">
        <v>129.6</v>
      </c>
      <c r="E34">
        <v>50.400000000000006</v>
      </c>
      <c r="F34" s="12">
        <v>0.28000000000000003</v>
      </c>
      <c r="G34">
        <v>2025</v>
      </c>
      <c r="H34">
        <v>7</v>
      </c>
      <c r="I34" t="s">
        <v>2840</v>
      </c>
      <c r="J34" t="s">
        <v>2841</v>
      </c>
      <c r="K34" t="s">
        <v>2860</v>
      </c>
      <c r="L34" t="s">
        <v>2843</v>
      </c>
      <c r="M34" t="s">
        <v>2837</v>
      </c>
      <c r="N34" t="s">
        <v>2844</v>
      </c>
    </row>
    <row r="35" spans="1:14">
      <c r="A35">
        <v>180</v>
      </c>
      <c r="B35">
        <v>0</v>
      </c>
      <c r="C35">
        <v>180</v>
      </c>
      <c r="D35">
        <v>129.6</v>
      </c>
      <c r="E35">
        <v>50.400000000000006</v>
      </c>
      <c r="F35" s="12">
        <v>0.28000000000000003</v>
      </c>
      <c r="G35">
        <v>2025</v>
      </c>
      <c r="H35">
        <v>4</v>
      </c>
      <c r="I35" t="s">
        <v>2865</v>
      </c>
      <c r="J35" t="s">
        <v>2846</v>
      </c>
      <c r="K35" t="s">
        <v>2842</v>
      </c>
      <c r="L35" t="s">
        <v>2848</v>
      </c>
      <c r="M35" t="s">
        <v>2838</v>
      </c>
      <c r="N35" t="s">
        <v>2844</v>
      </c>
    </row>
    <row r="36" spans="1:14">
      <c r="A36">
        <v>520</v>
      </c>
      <c r="B36">
        <v>0</v>
      </c>
      <c r="C36">
        <v>520</v>
      </c>
      <c r="D36">
        <v>379.6</v>
      </c>
      <c r="E36">
        <v>140.39999999999998</v>
      </c>
      <c r="F36" s="12">
        <v>0.26999999999999996</v>
      </c>
      <c r="G36">
        <v>2025</v>
      </c>
      <c r="H36">
        <v>2</v>
      </c>
      <c r="I36" t="s">
        <v>2861</v>
      </c>
      <c r="J36" t="s">
        <v>2851</v>
      </c>
      <c r="K36" t="s">
        <v>2842</v>
      </c>
      <c r="L36" t="s">
        <v>2843</v>
      </c>
      <c r="M36" t="s">
        <v>2837</v>
      </c>
      <c r="N36" t="s">
        <v>2849</v>
      </c>
    </row>
    <row r="37" spans="1:14">
      <c r="A37">
        <v>900</v>
      </c>
      <c r="B37">
        <v>72</v>
      </c>
      <c r="C37">
        <v>828</v>
      </c>
      <c r="D37">
        <v>648</v>
      </c>
      <c r="E37">
        <v>180</v>
      </c>
      <c r="F37" s="12">
        <v>0.21739130434782608</v>
      </c>
      <c r="G37">
        <v>2025</v>
      </c>
      <c r="H37">
        <v>11</v>
      </c>
      <c r="I37" t="s">
        <v>2862</v>
      </c>
      <c r="J37" t="s">
        <v>2855</v>
      </c>
      <c r="K37" t="s">
        <v>2860</v>
      </c>
      <c r="L37" t="s">
        <v>2843</v>
      </c>
      <c r="M37" t="s">
        <v>2837</v>
      </c>
      <c r="N37" t="s">
        <v>2849</v>
      </c>
    </row>
    <row r="38" spans="1:14">
      <c r="A38">
        <v>700</v>
      </c>
      <c r="B38">
        <v>0</v>
      </c>
      <c r="C38">
        <v>700</v>
      </c>
      <c r="D38">
        <v>427</v>
      </c>
      <c r="E38">
        <v>273</v>
      </c>
      <c r="F38" s="12">
        <v>0.39</v>
      </c>
      <c r="G38">
        <v>2025</v>
      </c>
      <c r="H38">
        <v>10</v>
      </c>
      <c r="I38" t="s">
        <v>2854</v>
      </c>
      <c r="J38" t="s">
        <v>2855</v>
      </c>
      <c r="K38" t="s">
        <v>2860</v>
      </c>
      <c r="L38" t="s">
        <v>2843</v>
      </c>
      <c r="M38" t="s">
        <v>2837</v>
      </c>
      <c r="N38" t="s">
        <v>2849</v>
      </c>
    </row>
    <row r="39" spans="1:14">
      <c r="A39">
        <v>260</v>
      </c>
      <c r="B39">
        <v>0</v>
      </c>
      <c r="C39">
        <v>260</v>
      </c>
      <c r="D39">
        <v>189.8</v>
      </c>
      <c r="E39">
        <v>70.199999999999989</v>
      </c>
      <c r="F39" s="12">
        <v>0.26999999999999996</v>
      </c>
      <c r="G39">
        <v>2025</v>
      </c>
      <c r="H39">
        <v>9</v>
      </c>
      <c r="I39" t="s">
        <v>2853</v>
      </c>
      <c r="J39" t="s">
        <v>2841</v>
      </c>
      <c r="K39" t="s">
        <v>2860</v>
      </c>
      <c r="L39" t="s">
        <v>2856</v>
      </c>
      <c r="M39" t="s">
        <v>2839</v>
      </c>
      <c r="N39" t="s">
        <v>2844</v>
      </c>
    </row>
    <row r="40" spans="1:14">
      <c r="A40">
        <v>760</v>
      </c>
      <c r="B40">
        <v>0</v>
      </c>
      <c r="C40">
        <v>760</v>
      </c>
      <c r="D40">
        <v>592.79999999999995</v>
      </c>
      <c r="E40">
        <v>167.20000000000005</v>
      </c>
      <c r="F40" s="12">
        <v>0.22000000000000006</v>
      </c>
      <c r="G40">
        <v>2025</v>
      </c>
      <c r="H40">
        <v>11</v>
      </c>
      <c r="I40" t="s">
        <v>2862</v>
      </c>
      <c r="J40" t="s">
        <v>2855</v>
      </c>
      <c r="K40" t="s">
        <v>2852</v>
      </c>
      <c r="L40" t="s">
        <v>2848</v>
      </c>
      <c r="M40" t="s">
        <v>2839</v>
      </c>
      <c r="N40" t="s">
        <v>2849</v>
      </c>
    </row>
    <row r="41" spans="1:14">
      <c r="A41">
        <v>480</v>
      </c>
      <c r="B41">
        <v>9.6</v>
      </c>
      <c r="C41">
        <v>470.4</v>
      </c>
      <c r="D41">
        <v>355.2</v>
      </c>
      <c r="E41">
        <v>115.19999999999999</v>
      </c>
      <c r="F41" s="12">
        <v>0.24489795918367346</v>
      </c>
      <c r="G41">
        <v>2025</v>
      </c>
      <c r="H41">
        <v>12</v>
      </c>
      <c r="I41" t="s">
        <v>2858</v>
      </c>
      <c r="J41" t="s">
        <v>2855</v>
      </c>
      <c r="K41" t="s">
        <v>2852</v>
      </c>
      <c r="L41" t="s">
        <v>2848</v>
      </c>
      <c r="M41" t="s">
        <v>2838</v>
      </c>
      <c r="N41" t="s">
        <v>2844</v>
      </c>
    </row>
    <row r="42" spans="1:14">
      <c r="A42">
        <v>700</v>
      </c>
      <c r="B42">
        <v>0</v>
      </c>
      <c r="C42">
        <v>700</v>
      </c>
      <c r="D42">
        <v>427</v>
      </c>
      <c r="E42">
        <v>273</v>
      </c>
      <c r="F42" s="12">
        <v>0.39</v>
      </c>
      <c r="G42">
        <v>2025</v>
      </c>
      <c r="H42">
        <v>4</v>
      </c>
      <c r="I42" t="s">
        <v>2865</v>
      </c>
      <c r="J42" t="s">
        <v>2846</v>
      </c>
      <c r="K42" t="s">
        <v>2847</v>
      </c>
      <c r="L42" t="s">
        <v>2856</v>
      </c>
      <c r="M42" t="s">
        <v>2839</v>
      </c>
      <c r="N42" t="s">
        <v>2849</v>
      </c>
    </row>
    <row r="43" spans="1:14">
      <c r="A43">
        <v>110</v>
      </c>
      <c r="B43">
        <v>0</v>
      </c>
      <c r="C43">
        <v>110</v>
      </c>
      <c r="D43">
        <v>72.599999999999994</v>
      </c>
      <c r="E43">
        <v>37.400000000000006</v>
      </c>
      <c r="F43" s="12">
        <v>0.34</v>
      </c>
      <c r="G43">
        <v>2025</v>
      </c>
      <c r="H43">
        <v>7</v>
      </c>
      <c r="I43" t="s">
        <v>2840</v>
      </c>
      <c r="J43" t="s">
        <v>2841</v>
      </c>
      <c r="K43" t="s">
        <v>2852</v>
      </c>
      <c r="L43" t="s">
        <v>2856</v>
      </c>
      <c r="M43" t="s">
        <v>2839</v>
      </c>
      <c r="N43" t="s">
        <v>2844</v>
      </c>
    </row>
    <row r="44" spans="1:14">
      <c r="A44">
        <v>144</v>
      </c>
      <c r="B44">
        <v>2.88</v>
      </c>
      <c r="C44">
        <v>141.12</v>
      </c>
      <c r="D44">
        <v>112.32</v>
      </c>
      <c r="E44">
        <v>28.800000000000011</v>
      </c>
      <c r="F44" s="12">
        <v>0.20408163265306131</v>
      </c>
      <c r="G44">
        <v>2025</v>
      </c>
      <c r="H44">
        <v>4</v>
      </c>
      <c r="I44" t="s">
        <v>2865</v>
      </c>
      <c r="J44" t="s">
        <v>2846</v>
      </c>
      <c r="K44" t="s">
        <v>2847</v>
      </c>
      <c r="L44" t="s">
        <v>2848</v>
      </c>
      <c r="M44" t="s">
        <v>2838</v>
      </c>
      <c r="N44" t="s">
        <v>2844</v>
      </c>
    </row>
    <row r="45" spans="1:14">
      <c r="A45">
        <v>130</v>
      </c>
      <c r="B45">
        <v>2.6</v>
      </c>
      <c r="C45">
        <v>127.4</v>
      </c>
      <c r="D45">
        <v>94.9</v>
      </c>
      <c r="E45">
        <v>32.5</v>
      </c>
      <c r="F45" s="12">
        <v>0.25510204081632654</v>
      </c>
      <c r="G45">
        <v>2025</v>
      </c>
      <c r="H45">
        <v>9</v>
      </c>
      <c r="I45" t="s">
        <v>2853</v>
      </c>
      <c r="J45" t="s">
        <v>2841</v>
      </c>
      <c r="K45" t="s">
        <v>2847</v>
      </c>
      <c r="L45" t="s">
        <v>2848</v>
      </c>
      <c r="M45" t="s">
        <v>2838</v>
      </c>
      <c r="N45" t="s">
        <v>2844</v>
      </c>
    </row>
    <row r="46" spans="1:14">
      <c r="A46">
        <v>44</v>
      </c>
      <c r="B46">
        <v>2.2000000000000002</v>
      </c>
      <c r="C46">
        <v>41.8</v>
      </c>
      <c r="D46">
        <v>29.92</v>
      </c>
      <c r="E46">
        <v>11.879999999999995</v>
      </c>
      <c r="F46" s="12">
        <v>0.28421052631578936</v>
      </c>
      <c r="G46">
        <v>2025</v>
      </c>
      <c r="H46">
        <v>2</v>
      </c>
      <c r="I46" t="s">
        <v>2861</v>
      </c>
      <c r="J46" t="s">
        <v>2851</v>
      </c>
      <c r="K46" t="s">
        <v>2860</v>
      </c>
      <c r="L46" t="s">
        <v>2848</v>
      </c>
      <c r="M46" t="s">
        <v>2838</v>
      </c>
      <c r="N46" t="s">
        <v>2844</v>
      </c>
    </row>
    <row r="47" spans="1:14">
      <c r="A47">
        <v>520</v>
      </c>
      <c r="B47">
        <v>0</v>
      </c>
      <c r="C47">
        <v>520</v>
      </c>
      <c r="D47">
        <v>348.4</v>
      </c>
      <c r="E47">
        <v>171.60000000000002</v>
      </c>
      <c r="F47" s="12">
        <v>0.33000000000000007</v>
      </c>
      <c r="G47">
        <v>2025</v>
      </c>
      <c r="H47">
        <v>7</v>
      </c>
      <c r="I47" t="s">
        <v>2840</v>
      </c>
      <c r="J47" t="s">
        <v>2841</v>
      </c>
      <c r="K47" t="s">
        <v>2847</v>
      </c>
      <c r="L47" t="s">
        <v>2843</v>
      </c>
      <c r="M47" t="s">
        <v>2837</v>
      </c>
      <c r="N47" t="s">
        <v>2849</v>
      </c>
    </row>
    <row r="48" spans="1:14">
      <c r="A48">
        <v>480</v>
      </c>
      <c r="B48">
        <v>9.6</v>
      </c>
      <c r="C48">
        <v>470.4</v>
      </c>
      <c r="D48">
        <v>292.8</v>
      </c>
      <c r="E48">
        <v>177.59999999999997</v>
      </c>
      <c r="F48" s="12">
        <v>0.37755102040816318</v>
      </c>
      <c r="G48">
        <v>2025</v>
      </c>
      <c r="H48">
        <v>6</v>
      </c>
      <c r="I48" t="s">
        <v>2864</v>
      </c>
      <c r="J48" t="s">
        <v>2846</v>
      </c>
      <c r="K48" t="s">
        <v>2852</v>
      </c>
      <c r="L48" t="s">
        <v>2856</v>
      </c>
      <c r="M48" t="s">
        <v>2839</v>
      </c>
      <c r="N48" t="s">
        <v>2844</v>
      </c>
    </row>
    <row r="49" spans="1:14">
      <c r="A49">
        <v>2100</v>
      </c>
      <c r="B49">
        <v>0</v>
      </c>
      <c r="C49">
        <v>2100</v>
      </c>
      <c r="D49">
        <v>1365</v>
      </c>
      <c r="E49">
        <v>735</v>
      </c>
      <c r="F49" s="12">
        <v>0.35</v>
      </c>
      <c r="G49">
        <v>2025</v>
      </c>
      <c r="H49">
        <v>3</v>
      </c>
      <c r="I49" t="s">
        <v>2859</v>
      </c>
      <c r="J49" t="s">
        <v>2851</v>
      </c>
      <c r="K49" t="s">
        <v>2842</v>
      </c>
      <c r="L49" t="s">
        <v>2856</v>
      </c>
      <c r="M49" t="s">
        <v>2839</v>
      </c>
      <c r="N49" t="s">
        <v>2857</v>
      </c>
    </row>
    <row r="50" spans="1:14">
      <c r="A50">
        <v>1680</v>
      </c>
      <c r="B50">
        <v>168</v>
      </c>
      <c r="C50">
        <v>1512</v>
      </c>
      <c r="D50">
        <v>1092</v>
      </c>
      <c r="E50">
        <v>420</v>
      </c>
      <c r="F50" s="12">
        <v>0.27777777777777779</v>
      </c>
      <c r="G50">
        <v>2025</v>
      </c>
      <c r="H50">
        <v>10</v>
      </c>
      <c r="I50" t="s">
        <v>2854</v>
      </c>
      <c r="J50" t="s">
        <v>2855</v>
      </c>
      <c r="K50" t="s">
        <v>2852</v>
      </c>
      <c r="L50" t="s">
        <v>2843</v>
      </c>
      <c r="M50" t="s">
        <v>2837</v>
      </c>
      <c r="N50" t="s">
        <v>2857</v>
      </c>
    </row>
    <row r="51" spans="1:14">
      <c r="A51">
        <v>480</v>
      </c>
      <c r="B51">
        <v>38.4</v>
      </c>
      <c r="C51">
        <v>441.6</v>
      </c>
      <c r="D51">
        <v>355.2</v>
      </c>
      <c r="E51">
        <v>86.400000000000034</v>
      </c>
      <c r="F51" s="12">
        <v>0.19565217391304354</v>
      </c>
      <c r="G51">
        <v>2025</v>
      </c>
      <c r="H51">
        <v>4</v>
      </c>
      <c r="I51" t="s">
        <v>2865</v>
      </c>
      <c r="J51" t="s">
        <v>2846</v>
      </c>
      <c r="K51" t="s">
        <v>2852</v>
      </c>
      <c r="L51" t="s">
        <v>2856</v>
      </c>
      <c r="M51" t="s">
        <v>2839</v>
      </c>
      <c r="N51" t="s">
        <v>2844</v>
      </c>
    </row>
    <row r="52" spans="1:14">
      <c r="A52">
        <v>600</v>
      </c>
      <c r="B52">
        <v>0</v>
      </c>
      <c r="C52">
        <v>600</v>
      </c>
      <c r="D52">
        <v>366</v>
      </c>
      <c r="E52">
        <v>234</v>
      </c>
      <c r="F52" s="12">
        <v>0.39</v>
      </c>
      <c r="G52">
        <v>2025</v>
      </c>
      <c r="H52">
        <v>10</v>
      </c>
      <c r="I52" t="s">
        <v>2854</v>
      </c>
      <c r="J52" t="s">
        <v>2855</v>
      </c>
      <c r="K52" t="s">
        <v>2842</v>
      </c>
      <c r="L52" t="s">
        <v>2848</v>
      </c>
      <c r="M52" t="s">
        <v>2838</v>
      </c>
      <c r="N52" t="s">
        <v>2849</v>
      </c>
    </row>
    <row r="53" spans="1:14">
      <c r="A53">
        <v>720</v>
      </c>
      <c r="B53">
        <v>14.4</v>
      </c>
      <c r="C53">
        <v>705.6</v>
      </c>
      <c r="D53">
        <v>532.79999999999995</v>
      </c>
      <c r="E53">
        <v>172.80000000000007</v>
      </c>
      <c r="F53" s="12">
        <v>0.24489795918367355</v>
      </c>
      <c r="G53">
        <v>2025</v>
      </c>
      <c r="H53">
        <v>8</v>
      </c>
      <c r="I53" t="s">
        <v>2863</v>
      </c>
      <c r="J53" t="s">
        <v>2841</v>
      </c>
      <c r="K53" t="s">
        <v>2852</v>
      </c>
      <c r="L53" t="s">
        <v>2843</v>
      </c>
      <c r="M53" t="s">
        <v>2837</v>
      </c>
      <c r="N53" t="s">
        <v>2849</v>
      </c>
    </row>
    <row r="54" spans="1:14">
      <c r="A54">
        <v>110</v>
      </c>
      <c r="B54">
        <v>0</v>
      </c>
      <c r="C54">
        <v>110</v>
      </c>
      <c r="D54">
        <v>72.599999999999994</v>
      </c>
      <c r="E54">
        <v>37.400000000000006</v>
      </c>
      <c r="F54" s="12">
        <v>0.34</v>
      </c>
      <c r="G54">
        <v>2025</v>
      </c>
      <c r="H54">
        <v>7</v>
      </c>
      <c r="I54" t="s">
        <v>2840</v>
      </c>
      <c r="J54" t="s">
        <v>2841</v>
      </c>
      <c r="K54" t="s">
        <v>2852</v>
      </c>
      <c r="L54" t="s">
        <v>2848</v>
      </c>
      <c r="M54" t="s">
        <v>2838</v>
      </c>
      <c r="N54" t="s">
        <v>2844</v>
      </c>
    </row>
    <row r="55" spans="1:14">
      <c r="A55">
        <v>285</v>
      </c>
      <c r="B55">
        <v>0</v>
      </c>
      <c r="C55">
        <v>285</v>
      </c>
      <c r="D55">
        <v>210.89999999999998</v>
      </c>
      <c r="E55">
        <v>74.100000000000023</v>
      </c>
      <c r="F55" s="12">
        <v>0.26000000000000006</v>
      </c>
      <c r="G55">
        <v>2025</v>
      </c>
      <c r="H55">
        <v>2</v>
      </c>
      <c r="I55" t="s">
        <v>2861</v>
      </c>
      <c r="J55" t="s">
        <v>2851</v>
      </c>
      <c r="K55" t="s">
        <v>2842</v>
      </c>
      <c r="L55" t="s">
        <v>2843</v>
      </c>
      <c r="M55" t="s">
        <v>2837</v>
      </c>
      <c r="N55" t="s">
        <v>2844</v>
      </c>
    </row>
    <row r="56" spans="1:14">
      <c r="A56">
        <v>720</v>
      </c>
      <c r="B56">
        <v>14.4</v>
      </c>
      <c r="C56">
        <v>705.6</v>
      </c>
      <c r="D56">
        <v>439.20000000000005</v>
      </c>
      <c r="E56">
        <v>266.39999999999998</v>
      </c>
      <c r="F56" s="12">
        <v>0.37755102040816324</v>
      </c>
      <c r="G56">
        <v>2025</v>
      </c>
      <c r="H56">
        <v>2</v>
      </c>
      <c r="I56" t="s">
        <v>2861</v>
      </c>
      <c r="J56" t="s">
        <v>2851</v>
      </c>
      <c r="K56" t="s">
        <v>2860</v>
      </c>
      <c r="L56" t="s">
        <v>2856</v>
      </c>
      <c r="M56" t="s">
        <v>2839</v>
      </c>
      <c r="N56" t="s">
        <v>2849</v>
      </c>
    </row>
    <row r="57" spans="1:14">
      <c r="A57">
        <v>1560</v>
      </c>
      <c r="B57">
        <v>0</v>
      </c>
      <c r="C57">
        <v>1560</v>
      </c>
      <c r="D57">
        <v>936</v>
      </c>
      <c r="E57">
        <v>624</v>
      </c>
      <c r="F57" s="12">
        <v>0.4</v>
      </c>
      <c r="G57">
        <v>2025</v>
      </c>
      <c r="H57">
        <v>7</v>
      </c>
      <c r="I57" t="s">
        <v>2840</v>
      </c>
      <c r="J57" t="s">
        <v>2841</v>
      </c>
      <c r="K57" t="s">
        <v>2860</v>
      </c>
      <c r="L57" t="s">
        <v>2856</v>
      </c>
      <c r="M57" t="s">
        <v>2839</v>
      </c>
      <c r="N57" t="s">
        <v>2857</v>
      </c>
    </row>
    <row r="58" spans="1:14">
      <c r="A58">
        <v>330</v>
      </c>
      <c r="B58">
        <v>6.6000000000000005</v>
      </c>
      <c r="C58">
        <v>323.39999999999998</v>
      </c>
      <c r="D58">
        <v>217.79999999999998</v>
      </c>
      <c r="E58">
        <v>105.6</v>
      </c>
      <c r="F58" s="12">
        <v>0.32653061224489799</v>
      </c>
      <c r="G58">
        <v>2025</v>
      </c>
      <c r="H58">
        <v>3</v>
      </c>
      <c r="I58" t="s">
        <v>2859</v>
      </c>
      <c r="J58" t="s">
        <v>2851</v>
      </c>
      <c r="K58" t="s">
        <v>2842</v>
      </c>
      <c r="L58" t="s">
        <v>2856</v>
      </c>
      <c r="M58" t="s">
        <v>2837</v>
      </c>
      <c r="N58" t="s">
        <v>2844</v>
      </c>
    </row>
    <row r="59" spans="1:14">
      <c r="A59">
        <v>1040</v>
      </c>
      <c r="B59">
        <v>83.2</v>
      </c>
      <c r="C59">
        <v>956.8</v>
      </c>
      <c r="D59">
        <v>759.2</v>
      </c>
      <c r="E59">
        <v>197.59999999999991</v>
      </c>
      <c r="F59" s="12">
        <v>0.2065217391304347</v>
      </c>
      <c r="G59">
        <v>2025</v>
      </c>
      <c r="H59">
        <v>8</v>
      </c>
      <c r="I59" t="s">
        <v>2863</v>
      </c>
      <c r="J59" t="s">
        <v>2841</v>
      </c>
      <c r="K59" t="s">
        <v>2860</v>
      </c>
      <c r="L59" t="s">
        <v>2843</v>
      </c>
      <c r="M59" t="s">
        <v>2837</v>
      </c>
      <c r="N59" t="s">
        <v>2849</v>
      </c>
    </row>
    <row r="60" spans="1:14">
      <c r="A60">
        <v>2340</v>
      </c>
      <c r="B60">
        <v>117</v>
      </c>
      <c r="C60">
        <v>2223</v>
      </c>
      <c r="D60">
        <v>1404</v>
      </c>
      <c r="E60">
        <v>819</v>
      </c>
      <c r="F60" s="12">
        <v>0.36842105263157893</v>
      </c>
      <c r="G60">
        <v>2025</v>
      </c>
      <c r="H60">
        <v>5</v>
      </c>
      <c r="I60" t="s">
        <v>2845</v>
      </c>
      <c r="J60" t="s">
        <v>2846</v>
      </c>
      <c r="K60" t="s">
        <v>2852</v>
      </c>
      <c r="L60" t="s">
        <v>2843</v>
      </c>
      <c r="M60" t="s">
        <v>2837</v>
      </c>
      <c r="N60" t="s">
        <v>2857</v>
      </c>
    </row>
    <row r="61" spans="1:14">
      <c r="A61">
        <v>1560</v>
      </c>
      <c r="B61">
        <v>156</v>
      </c>
      <c r="C61">
        <v>1404</v>
      </c>
      <c r="D61">
        <v>936</v>
      </c>
      <c r="E61">
        <v>468</v>
      </c>
      <c r="F61" s="12">
        <v>0.33333333333333331</v>
      </c>
      <c r="G61">
        <v>2025</v>
      </c>
      <c r="H61">
        <v>8</v>
      </c>
      <c r="I61" t="s">
        <v>2863</v>
      </c>
      <c r="J61" t="s">
        <v>2841</v>
      </c>
      <c r="K61" t="s">
        <v>2852</v>
      </c>
      <c r="L61" t="s">
        <v>2856</v>
      </c>
      <c r="M61" t="s">
        <v>2839</v>
      </c>
      <c r="N61" t="s">
        <v>2857</v>
      </c>
    </row>
    <row r="62" spans="1:14">
      <c r="A62">
        <v>520</v>
      </c>
      <c r="B62">
        <v>52</v>
      </c>
      <c r="C62">
        <v>468</v>
      </c>
      <c r="D62">
        <v>348.4</v>
      </c>
      <c r="E62">
        <v>119.60000000000002</v>
      </c>
      <c r="F62" s="12">
        <v>0.25555555555555559</v>
      </c>
      <c r="G62">
        <v>2025</v>
      </c>
      <c r="H62">
        <v>1</v>
      </c>
      <c r="I62" t="s">
        <v>2850</v>
      </c>
      <c r="J62" t="s">
        <v>2851</v>
      </c>
      <c r="K62" t="s">
        <v>2847</v>
      </c>
      <c r="L62" t="s">
        <v>2848</v>
      </c>
      <c r="M62" t="s">
        <v>2838</v>
      </c>
      <c r="N62" t="s">
        <v>2844</v>
      </c>
    </row>
    <row r="63" spans="1:14">
      <c r="A63">
        <v>1040</v>
      </c>
      <c r="B63">
        <v>0</v>
      </c>
      <c r="C63">
        <v>1040</v>
      </c>
      <c r="D63">
        <v>696.8</v>
      </c>
      <c r="E63">
        <v>343.20000000000005</v>
      </c>
      <c r="F63" s="12">
        <v>0.33000000000000007</v>
      </c>
      <c r="G63">
        <v>2025</v>
      </c>
      <c r="H63">
        <v>6</v>
      </c>
      <c r="I63" t="s">
        <v>2864</v>
      </c>
      <c r="J63" t="s">
        <v>2846</v>
      </c>
      <c r="K63" t="s">
        <v>2842</v>
      </c>
      <c r="L63" t="s">
        <v>2856</v>
      </c>
      <c r="M63" t="s">
        <v>2839</v>
      </c>
      <c r="N63" t="s">
        <v>2857</v>
      </c>
    </row>
    <row r="64" spans="1:14">
      <c r="A64">
        <v>144</v>
      </c>
      <c r="B64">
        <v>11.52</v>
      </c>
      <c r="C64">
        <v>132.47999999999999</v>
      </c>
      <c r="D64">
        <v>112.32</v>
      </c>
      <c r="E64">
        <v>20.159999999999997</v>
      </c>
      <c r="F64" s="12">
        <v>0.15217391304347824</v>
      </c>
      <c r="G64">
        <v>2025</v>
      </c>
      <c r="H64">
        <v>11</v>
      </c>
      <c r="I64" t="s">
        <v>2862</v>
      </c>
      <c r="J64" t="s">
        <v>2855</v>
      </c>
      <c r="K64" t="s">
        <v>2852</v>
      </c>
      <c r="L64" t="s">
        <v>2843</v>
      </c>
      <c r="M64" t="s">
        <v>2837</v>
      </c>
      <c r="N64" t="s">
        <v>2844</v>
      </c>
    </row>
    <row r="65" spans="1:14">
      <c r="A65">
        <v>145</v>
      </c>
      <c r="B65">
        <v>11.6</v>
      </c>
      <c r="C65">
        <v>133.4</v>
      </c>
      <c r="D65">
        <v>97.15</v>
      </c>
      <c r="E65">
        <v>36.25</v>
      </c>
      <c r="F65" s="12">
        <v>0.27173913043478259</v>
      </c>
      <c r="G65">
        <v>2025</v>
      </c>
      <c r="H65">
        <v>1</v>
      </c>
      <c r="I65" t="s">
        <v>2850</v>
      </c>
      <c r="J65" t="s">
        <v>2851</v>
      </c>
      <c r="K65" t="s">
        <v>2847</v>
      </c>
      <c r="L65" t="s">
        <v>2856</v>
      </c>
      <c r="M65" t="s">
        <v>2839</v>
      </c>
      <c r="N65" t="s">
        <v>2844</v>
      </c>
    </row>
    <row r="66" spans="1:14">
      <c r="A66">
        <v>1260</v>
      </c>
      <c r="B66">
        <v>0</v>
      </c>
      <c r="C66">
        <v>1260</v>
      </c>
      <c r="D66">
        <v>819</v>
      </c>
      <c r="E66">
        <v>441</v>
      </c>
      <c r="F66" s="12">
        <v>0.35</v>
      </c>
      <c r="G66">
        <v>2025</v>
      </c>
      <c r="H66">
        <v>2</v>
      </c>
      <c r="I66" t="s">
        <v>2861</v>
      </c>
      <c r="J66" t="s">
        <v>2851</v>
      </c>
      <c r="K66" t="s">
        <v>2852</v>
      </c>
      <c r="L66" t="s">
        <v>2866</v>
      </c>
      <c r="M66" t="s">
        <v>2838</v>
      </c>
      <c r="N66" t="s">
        <v>2857</v>
      </c>
    </row>
    <row r="67" spans="1:14">
      <c r="A67">
        <v>570</v>
      </c>
      <c r="B67">
        <v>0</v>
      </c>
      <c r="C67">
        <v>570</v>
      </c>
      <c r="D67">
        <v>444.59999999999997</v>
      </c>
      <c r="E67">
        <v>125.40000000000003</v>
      </c>
      <c r="F67" s="12">
        <v>0.22000000000000006</v>
      </c>
      <c r="G67">
        <v>2025</v>
      </c>
      <c r="H67">
        <v>1</v>
      </c>
      <c r="I67" t="s">
        <v>2850</v>
      </c>
      <c r="J67" t="s">
        <v>2851</v>
      </c>
      <c r="K67" t="s">
        <v>2852</v>
      </c>
      <c r="L67" t="s">
        <v>2856</v>
      </c>
      <c r="M67" t="s">
        <v>2839</v>
      </c>
      <c r="N67" t="s">
        <v>2849</v>
      </c>
    </row>
    <row r="68" spans="1:14">
      <c r="A68">
        <v>570</v>
      </c>
      <c r="B68">
        <v>0</v>
      </c>
      <c r="C68">
        <v>570</v>
      </c>
      <c r="D68">
        <v>444.59999999999997</v>
      </c>
      <c r="E68">
        <v>125.40000000000003</v>
      </c>
      <c r="F68" s="12">
        <v>0.22000000000000006</v>
      </c>
      <c r="G68">
        <v>2025</v>
      </c>
      <c r="H68">
        <v>1</v>
      </c>
      <c r="I68" t="s">
        <v>2850</v>
      </c>
      <c r="J68" t="s">
        <v>2851</v>
      </c>
      <c r="K68" t="s">
        <v>2842</v>
      </c>
      <c r="L68" t="s">
        <v>2848</v>
      </c>
      <c r="M68" t="s">
        <v>2839</v>
      </c>
      <c r="N68" t="s">
        <v>2849</v>
      </c>
    </row>
    <row r="69" spans="1:14">
      <c r="A69">
        <v>1050</v>
      </c>
      <c r="B69">
        <v>105</v>
      </c>
      <c r="C69">
        <v>945</v>
      </c>
      <c r="D69">
        <v>640.5</v>
      </c>
      <c r="E69">
        <v>304.5</v>
      </c>
      <c r="F69" s="12">
        <v>0.32222222222222224</v>
      </c>
      <c r="G69">
        <v>2025</v>
      </c>
      <c r="H69">
        <v>8</v>
      </c>
      <c r="I69" t="s">
        <v>2863</v>
      </c>
      <c r="J69" t="s">
        <v>2841</v>
      </c>
      <c r="K69" t="s">
        <v>2852</v>
      </c>
      <c r="L69" t="s">
        <v>2843</v>
      </c>
      <c r="M69" t="s">
        <v>2837</v>
      </c>
      <c r="N69" t="s">
        <v>2849</v>
      </c>
    </row>
    <row r="70" spans="1:14">
      <c r="A70">
        <v>70</v>
      </c>
      <c r="B70">
        <v>0</v>
      </c>
      <c r="C70">
        <v>70</v>
      </c>
      <c r="D70">
        <v>48.3</v>
      </c>
      <c r="E70">
        <v>21.700000000000003</v>
      </c>
      <c r="F70" s="12">
        <v>0.31000000000000005</v>
      </c>
      <c r="G70">
        <v>2025</v>
      </c>
      <c r="H70">
        <v>1</v>
      </c>
      <c r="I70" t="s">
        <v>2850</v>
      </c>
      <c r="J70" t="s">
        <v>2851</v>
      </c>
      <c r="K70" t="s">
        <v>2860</v>
      </c>
      <c r="L70" t="s">
        <v>2856</v>
      </c>
      <c r="M70" t="s">
        <v>2838</v>
      </c>
      <c r="N70" t="s">
        <v>2844</v>
      </c>
    </row>
    <row r="71" spans="1:14">
      <c r="A71">
        <v>35</v>
      </c>
      <c r="B71">
        <v>0</v>
      </c>
      <c r="C71">
        <v>35</v>
      </c>
      <c r="D71">
        <v>24.15</v>
      </c>
      <c r="E71">
        <v>10.850000000000001</v>
      </c>
      <c r="F71" s="12">
        <v>0.31000000000000005</v>
      </c>
      <c r="G71">
        <v>2025</v>
      </c>
      <c r="H71">
        <v>12</v>
      </c>
      <c r="I71" t="s">
        <v>2858</v>
      </c>
      <c r="J71" t="s">
        <v>2855</v>
      </c>
      <c r="K71" t="s">
        <v>2860</v>
      </c>
      <c r="L71" t="s">
        <v>2848</v>
      </c>
      <c r="M71" t="s">
        <v>2838</v>
      </c>
      <c r="N71" t="s">
        <v>2844</v>
      </c>
    </row>
    <row r="72" spans="1:14">
      <c r="A72">
        <v>70</v>
      </c>
      <c r="B72">
        <v>0</v>
      </c>
      <c r="C72">
        <v>70</v>
      </c>
      <c r="D72">
        <v>48.3</v>
      </c>
      <c r="E72">
        <v>21.700000000000003</v>
      </c>
      <c r="F72" s="12">
        <v>0.31000000000000005</v>
      </c>
      <c r="G72">
        <v>2025</v>
      </c>
      <c r="H72">
        <v>7</v>
      </c>
      <c r="I72" t="s">
        <v>2840</v>
      </c>
      <c r="J72" t="s">
        <v>2841</v>
      </c>
      <c r="K72" t="s">
        <v>2852</v>
      </c>
      <c r="L72" t="s">
        <v>2843</v>
      </c>
      <c r="M72" t="s">
        <v>2837</v>
      </c>
      <c r="N72" t="s">
        <v>2844</v>
      </c>
    </row>
    <row r="73" spans="1:14">
      <c r="A73">
        <v>110</v>
      </c>
      <c r="B73">
        <v>11</v>
      </c>
      <c r="C73">
        <v>99</v>
      </c>
      <c r="D73">
        <v>72.599999999999994</v>
      </c>
      <c r="E73">
        <v>26.400000000000006</v>
      </c>
      <c r="F73" s="12">
        <v>0.26666666666666672</v>
      </c>
      <c r="G73">
        <v>2025</v>
      </c>
      <c r="H73">
        <v>4</v>
      </c>
      <c r="I73" t="s">
        <v>2865</v>
      </c>
      <c r="J73" t="s">
        <v>2846</v>
      </c>
      <c r="K73" t="s">
        <v>2847</v>
      </c>
      <c r="L73" t="s">
        <v>2843</v>
      </c>
      <c r="M73" t="s">
        <v>2837</v>
      </c>
      <c r="N73" t="s">
        <v>2844</v>
      </c>
    </row>
    <row r="74" spans="1:14">
      <c r="A74">
        <v>380</v>
      </c>
      <c r="B74">
        <v>30.400000000000002</v>
      </c>
      <c r="C74">
        <v>349.6</v>
      </c>
      <c r="D74">
        <v>296.39999999999998</v>
      </c>
      <c r="E74">
        <v>53.200000000000045</v>
      </c>
      <c r="F74" s="12">
        <v>0.15217391304347838</v>
      </c>
      <c r="G74">
        <v>2025</v>
      </c>
      <c r="H74">
        <v>11</v>
      </c>
      <c r="I74" t="s">
        <v>2862</v>
      </c>
      <c r="J74" t="s">
        <v>2855</v>
      </c>
      <c r="K74" t="s">
        <v>2852</v>
      </c>
      <c r="L74" t="s">
        <v>2843</v>
      </c>
      <c r="M74" t="s">
        <v>2837</v>
      </c>
      <c r="N74" t="s">
        <v>2844</v>
      </c>
    </row>
    <row r="75" spans="1:14">
      <c r="A75">
        <v>480</v>
      </c>
      <c r="B75">
        <v>48</v>
      </c>
      <c r="C75">
        <v>432</v>
      </c>
      <c r="D75">
        <v>355.2</v>
      </c>
      <c r="E75">
        <v>76.800000000000011</v>
      </c>
      <c r="F75" s="12">
        <v>0.17777777777777781</v>
      </c>
      <c r="G75">
        <v>2025</v>
      </c>
      <c r="H75">
        <v>12</v>
      </c>
      <c r="I75" t="s">
        <v>2858</v>
      </c>
      <c r="J75" t="s">
        <v>2855</v>
      </c>
      <c r="K75" t="s">
        <v>2860</v>
      </c>
      <c r="L75" t="s">
        <v>2848</v>
      </c>
      <c r="M75" t="s">
        <v>2838</v>
      </c>
      <c r="N75" t="s">
        <v>2844</v>
      </c>
    </row>
    <row r="76" spans="1:14">
      <c r="A76">
        <v>192</v>
      </c>
      <c r="B76">
        <v>9.6000000000000014</v>
      </c>
      <c r="C76">
        <v>182.4</v>
      </c>
      <c r="D76">
        <v>149.76</v>
      </c>
      <c r="E76">
        <v>32.640000000000015</v>
      </c>
      <c r="F76" s="12">
        <v>0.17894736842105272</v>
      </c>
      <c r="G76">
        <v>2025</v>
      </c>
      <c r="H76">
        <v>11</v>
      </c>
      <c r="I76" t="s">
        <v>2862</v>
      </c>
      <c r="J76" t="s">
        <v>2855</v>
      </c>
      <c r="K76" t="s">
        <v>2852</v>
      </c>
      <c r="L76" t="s">
        <v>2843</v>
      </c>
      <c r="M76" t="s">
        <v>2837</v>
      </c>
      <c r="N76" t="s">
        <v>2844</v>
      </c>
    </row>
    <row r="77" spans="1:14">
      <c r="A77">
        <v>380</v>
      </c>
      <c r="B77">
        <v>19</v>
      </c>
      <c r="C77">
        <v>361</v>
      </c>
      <c r="D77">
        <v>281.2</v>
      </c>
      <c r="E77">
        <v>79.800000000000011</v>
      </c>
      <c r="F77" s="12">
        <v>0.22105263157894739</v>
      </c>
      <c r="G77">
        <v>2025</v>
      </c>
      <c r="H77">
        <v>8</v>
      </c>
      <c r="I77" t="s">
        <v>2863</v>
      </c>
      <c r="J77" t="s">
        <v>2841</v>
      </c>
      <c r="K77" t="s">
        <v>2847</v>
      </c>
      <c r="L77" t="s">
        <v>2856</v>
      </c>
      <c r="M77" t="s">
        <v>2839</v>
      </c>
      <c r="N77" t="s">
        <v>2844</v>
      </c>
    </row>
    <row r="78" spans="1:14">
      <c r="A78">
        <v>840</v>
      </c>
      <c r="B78">
        <v>67.2</v>
      </c>
      <c r="C78">
        <v>772.8</v>
      </c>
      <c r="D78">
        <v>546</v>
      </c>
      <c r="E78">
        <v>226.79999999999995</v>
      </c>
      <c r="F78" s="12">
        <v>0.29347826086956519</v>
      </c>
      <c r="G78">
        <v>2025</v>
      </c>
      <c r="H78">
        <v>3</v>
      </c>
      <c r="I78" t="s">
        <v>2859</v>
      </c>
      <c r="J78" t="s">
        <v>2851</v>
      </c>
      <c r="K78" t="s">
        <v>2860</v>
      </c>
      <c r="L78" t="s">
        <v>2843</v>
      </c>
      <c r="M78" t="s">
        <v>2839</v>
      </c>
      <c r="N78" t="s">
        <v>2849</v>
      </c>
    </row>
    <row r="79" spans="1:14">
      <c r="A79">
        <v>720</v>
      </c>
      <c r="B79">
        <v>72</v>
      </c>
      <c r="C79">
        <v>648</v>
      </c>
      <c r="D79">
        <v>532.79999999999995</v>
      </c>
      <c r="E79">
        <v>115.20000000000005</v>
      </c>
      <c r="F79" s="12">
        <v>0.17777777777777784</v>
      </c>
      <c r="G79">
        <v>2025</v>
      </c>
      <c r="H79">
        <v>6</v>
      </c>
      <c r="I79" t="s">
        <v>2864</v>
      </c>
      <c r="J79" t="s">
        <v>2846</v>
      </c>
      <c r="K79" t="s">
        <v>2852</v>
      </c>
      <c r="L79" t="s">
        <v>2856</v>
      </c>
      <c r="M79" t="s">
        <v>2839</v>
      </c>
      <c r="N79" t="s">
        <v>2849</v>
      </c>
    </row>
    <row r="80" spans="1:14">
      <c r="A80">
        <v>190</v>
      </c>
      <c r="B80">
        <v>0</v>
      </c>
      <c r="C80">
        <v>190</v>
      </c>
      <c r="D80">
        <v>140.6</v>
      </c>
      <c r="E80">
        <v>49.400000000000006</v>
      </c>
      <c r="F80" s="12">
        <v>0.26</v>
      </c>
      <c r="G80">
        <v>2025</v>
      </c>
      <c r="H80">
        <v>6</v>
      </c>
      <c r="I80" t="s">
        <v>2864</v>
      </c>
      <c r="J80" t="s">
        <v>2846</v>
      </c>
      <c r="K80" t="s">
        <v>2842</v>
      </c>
      <c r="L80" t="s">
        <v>2848</v>
      </c>
      <c r="M80" t="s">
        <v>2838</v>
      </c>
      <c r="N80" t="s">
        <v>2844</v>
      </c>
    </row>
    <row r="81" spans="1:14">
      <c r="A81">
        <v>35</v>
      </c>
      <c r="B81">
        <v>2.8000000000000003</v>
      </c>
      <c r="C81">
        <v>32.200000000000003</v>
      </c>
      <c r="D81">
        <v>24.15</v>
      </c>
      <c r="E81">
        <v>8.0500000000000043</v>
      </c>
      <c r="F81" s="12">
        <v>0.25000000000000011</v>
      </c>
      <c r="G81">
        <v>2025</v>
      </c>
      <c r="H81">
        <v>6</v>
      </c>
      <c r="I81" t="s">
        <v>2864</v>
      </c>
      <c r="J81" t="s">
        <v>2846</v>
      </c>
      <c r="K81" t="s">
        <v>2842</v>
      </c>
      <c r="L81" t="s">
        <v>2866</v>
      </c>
      <c r="M81" t="s">
        <v>2838</v>
      </c>
      <c r="N81" t="s">
        <v>2844</v>
      </c>
    </row>
    <row r="82" spans="1:14">
      <c r="A82">
        <v>15600</v>
      </c>
      <c r="B82">
        <v>0</v>
      </c>
      <c r="C82">
        <v>15600</v>
      </c>
      <c r="D82">
        <v>9360</v>
      </c>
      <c r="E82">
        <v>6240</v>
      </c>
      <c r="F82" s="12">
        <v>0.4</v>
      </c>
      <c r="G82">
        <v>2025</v>
      </c>
      <c r="H82">
        <v>11</v>
      </c>
      <c r="I82" t="s">
        <v>2862</v>
      </c>
      <c r="J82" t="s">
        <v>2855</v>
      </c>
      <c r="K82" t="s">
        <v>2852</v>
      </c>
      <c r="L82" t="s">
        <v>2856</v>
      </c>
      <c r="M82" t="s">
        <v>2839</v>
      </c>
      <c r="N82" t="s">
        <v>2857</v>
      </c>
    </row>
    <row r="83" spans="1:14">
      <c r="A83">
        <v>140</v>
      </c>
      <c r="B83">
        <v>0</v>
      </c>
      <c r="C83">
        <v>140</v>
      </c>
      <c r="D83">
        <v>96.6</v>
      </c>
      <c r="E83">
        <v>43.400000000000006</v>
      </c>
      <c r="F83" s="12">
        <v>0.31000000000000005</v>
      </c>
      <c r="G83">
        <v>2025</v>
      </c>
      <c r="H83">
        <v>8</v>
      </c>
      <c r="I83" t="s">
        <v>2863</v>
      </c>
      <c r="J83" t="s">
        <v>2841</v>
      </c>
      <c r="K83" t="s">
        <v>2860</v>
      </c>
      <c r="L83" t="s">
        <v>2848</v>
      </c>
      <c r="M83" t="s">
        <v>2838</v>
      </c>
      <c r="N83" t="s">
        <v>2844</v>
      </c>
    </row>
    <row r="84" spans="1:14">
      <c r="A84">
        <v>44</v>
      </c>
      <c r="B84">
        <v>0</v>
      </c>
      <c r="C84">
        <v>44</v>
      </c>
      <c r="D84">
        <v>29.92</v>
      </c>
      <c r="E84">
        <v>14.079999999999998</v>
      </c>
      <c r="F84" s="12">
        <v>0.31999999999999995</v>
      </c>
      <c r="G84">
        <v>2025</v>
      </c>
      <c r="H84">
        <v>7</v>
      </c>
      <c r="I84" t="s">
        <v>2840</v>
      </c>
      <c r="J84" t="s">
        <v>2841</v>
      </c>
      <c r="K84" t="s">
        <v>2847</v>
      </c>
      <c r="L84" t="s">
        <v>2843</v>
      </c>
      <c r="M84" t="s">
        <v>2837</v>
      </c>
      <c r="N84" t="s">
        <v>2844</v>
      </c>
    </row>
    <row r="85" spans="1:14">
      <c r="A85">
        <v>65</v>
      </c>
      <c r="B85">
        <v>1.3</v>
      </c>
      <c r="C85">
        <v>63.7</v>
      </c>
      <c r="D85">
        <v>47.45</v>
      </c>
      <c r="E85">
        <v>16.25</v>
      </c>
      <c r="F85" s="12">
        <v>0.25510204081632654</v>
      </c>
      <c r="G85">
        <v>2025</v>
      </c>
      <c r="H85">
        <v>9</v>
      </c>
      <c r="I85" t="s">
        <v>2853</v>
      </c>
      <c r="J85" t="s">
        <v>2841</v>
      </c>
      <c r="K85" t="s">
        <v>2860</v>
      </c>
      <c r="L85" t="s">
        <v>2856</v>
      </c>
      <c r="M85" t="s">
        <v>2839</v>
      </c>
      <c r="N85" t="s">
        <v>2844</v>
      </c>
    </row>
    <row r="86" spans="1:14">
      <c r="A86">
        <v>260</v>
      </c>
      <c r="B86">
        <v>5.2</v>
      </c>
      <c r="C86">
        <v>254.8</v>
      </c>
      <c r="D86">
        <v>189.8</v>
      </c>
      <c r="E86">
        <v>65</v>
      </c>
      <c r="F86" s="12">
        <v>0.25510204081632654</v>
      </c>
      <c r="G86">
        <v>2025</v>
      </c>
      <c r="H86">
        <v>3</v>
      </c>
      <c r="I86" t="s">
        <v>2859</v>
      </c>
      <c r="J86" t="s">
        <v>2851</v>
      </c>
      <c r="K86" t="s">
        <v>2847</v>
      </c>
      <c r="L86" t="s">
        <v>2848</v>
      </c>
      <c r="M86" t="s">
        <v>2838</v>
      </c>
      <c r="N86" t="s">
        <v>2844</v>
      </c>
    </row>
    <row r="87" spans="1:14">
      <c r="A87">
        <v>2200</v>
      </c>
      <c r="B87">
        <v>0</v>
      </c>
      <c r="C87">
        <v>2200</v>
      </c>
      <c r="D87">
        <v>1452</v>
      </c>
      <c r="E87">
        <v>748</v>
      </c>
      <c r="F87" s="12">
        <v>0.34</v>
      </c>
      <c r="G87">
        <v>2025</v>
      </c>
      <c r="H87">
        <v>11</v>
      </c>
      <c r="I87" t="s">
        <v>2862</v>
      </c>
      <c r="J87" t="s">
        <v>2855</v>
      </c>
      <c r="K87" t="s">
        <v>2852</v>
      </c>
      <c r="L87" t="s">
        <v>2843</v>
      </c>
      <c r="M87" t="s">
        <v>2839</v>
      </c>
      <c r="N87" t="s">
        <v>2857</v>
      </c>
    </row>
    <row r="88" spans="1:14">
      <c r="A88">
        <v>1100</v>
      </c>
      <c r="B88">
        <v>110</v>
      </c>
      <c r="C88">
        <v>990</v>
      </c>
      <c r="D88">
        <v>726</v>
      </c>
      <c r="E88">
        <v>264</v>
      </c>
      <c r="F88" s="12">
        <v>0.26666666666666666</v>
      </c>
      <c r="G88">
        <v>2025</v>
      </c>
      <c r="H88">
        <v>8</v>
      </c>
      <c r="I88" t="s">
        <v>2863</v>
      </c>
      <c r="J88" t="s">
        <v>2841</v>
      </c>
      <c r="K88" t="s">
        <v>2842</v>
      </c>
      <c r="L88" t="s">
        <v>2848</v>
      </c>
      <c r="M88" t="s">
        <v>2838</v>
      </c>
      <c r="N88" t="s">
        <v>2849</v>
      </c>
    </row>
    <row r="89" spans="1:14">
      <c r="A89">
        <v>1080</v>
      </c>
      <c r="B89">
        <v>86.4</v>
      </c>
      <c r="C89">
        <v>993.6</v>
      </c>
      <c r="D89">
        <v>777.59999999999991</v>
      </c>
      <c r="E89">
        <v>216.00000000000011</v>
      </c>
      <c r="F89" s="12">
        <v>0.21739130434782619</v>
      </c>
      <c r="G89">
        <v>2025</v>
      </c>
      <c r="H89">
        <v>7</v>
      </c>
      <c r="I89" t="s">
        <v>2840</v>
      </c>
      <c r="J89" t="s">
        <v>2841</v>
      </c>
      <c r="K89" t="s">
        <v>2860</v>
      </c>
      <c r="L89" t="s">
        <v>2848</v>
      </c>
      <c r="M89" t="s">
        <v>2838</v>
      </c>
      <c r="N89" t="s">
        <v>2849</v>
      </c>
    </row>
    <row r="90" spans="1:14">
      <c r="A90">
        <v>1100</v>
      </c>
      <c r="B90">
        <v>0</v>
      </c>
      <c r="C90">
        <v>1100</v>
      </c>
      <c r="D90">
        <v>726</v>
      </c>
      <c r="E90">
        <v>374</v>
      </c>
      <c r="F90" s="12">
        <v>0.34</v>
      </c>
      <c r="G90">
        <v>2025</v>
      </c>
      <c r="H90">
        <v>10</v>
      </c>
      <c r="I90" t="s">
        <v>2854</v>
      </c>
      <c r="J90" t="s">
        <v>2855</v>
      </c>
      <c r="K90" t="s">
        <v>2847</v>
      </c>
      <c r="L90" t="s">
        <v>2843</v>
      </c>
      <c r="M90" t="s">
        <v>2837</v>
      </c>
      <c r="N90" t="s">
        <v>2857</v>
      </c>
    </row>
    <row r="91" spans="1:14">
      <c r="A91">
        <v>130</v>
      </c>
      <c r="B91">
        <v>6.5</v>
      </c>
      <c r="C91">
        <v>123.5</v>
      </c>
      <c r="D91">
        <v>94.9</v>
      </c>
      <c r="E91">
        <v>28.599999999999994</v>
      </c>
      <c r="F91" s="12">
        <v>0.231578947368421</v>
      </c>
      <c r="G91">
        <v>2025</v>
      </c>
      <c r="H91">
        <v>6</v>
      </c>
      <c r="I91" t="s">
        <v>2864</v>
      </c>
      <c r="J91" t="s">
        <v>2846</v>
      </c>
      <c r="K91" t="s">
        <v>2860</v>
      </c>
      <c r="L91" t="s">
        <v>2856</v>
      </c>
      <c r="M91" t="s">
        <v>2839</v>
      </c>
      <c r="N91" t="s">
        <v>2844</v>
      </c>
    </row>
    <row r="92" spans="1:14">
      <c r="A92">
        <v>3120</v>
      </c>
      <c r="B92">
        <v>0</v>
      </c>
      <c r="C92">
        <v>3120</v>
      </c>
      <c r="D92">
        <v>1872</v>
      </c>
      <c r="E92">
        <v>1248</v>
      </c>
      <c r="F92" s="12">
        <v>0.4</v>
      </c>
      <c r="G92">
        <v>2025</v>
      </c>
      <c r="H92">
        <v>10</v>
      </c>
      <c r="I92" t="s">
        <v>2854</v>
      </c>
      <c r="J92" t="s">
        <v>2855</v>
      </c>
      <c r="K92" t="s">
        <v>2842</v>
      </c>
      <c r="L92" t="s">
        <v>2843</v>
      </c>
      <c r="M92" t="s">
        <v>2837</v>
      </c>
      <c r="N92" t="s">
        <v>2857</v>
      </c>
    </row>
    <row r="93" spans="1:14">
      <c r="A93">
        <v>440</v>
      </c>
      <c r="B93">
        <v>0</v>
      </c>
      <c r="C93">
        <v>440</v>
      </c>
      <c r="D93">
        <v>290.39999999999998</v>
      </c>
      <c r="E93">
        <v>149.60000000000002</v>
      </c>
      <c r="F93" s="12">
        <v>0.34</v>
      </c>
      <c r="G93">
        <v>2025</v>
      </c>
      <c r="H93">
        <v>3</v>
      </c>
      <c r="I93" t="s">
        <v>2859</v>
      </c>
      <c r="J93" t="s">
        <v>2851</v>
      </c>
      <c r="K93" t="s">
        <v>2842</v>
      </c>
      <c r="L93" t="s">
        <v>2848</v>
      </c>
      <c r="M93" t="s">
        <v>2838</v>
      </c>
      <c r="N93" t="s">
        <v>2844</v>
      </c>
    </row>
    <row r="94" spans="1:14">
      <c r="A94">
        <v>65</v>
      </c>
      <c r="B94">
        <v>0</v>
      </c>
      <c r="C94">
        <v>65</v>
      </c>
      <c r="D94">
        <v>47.45</v>
      </c>
      <c r="E94">
        <v>17.549999999999997</v>
      </c>
      <c r="F94" s="12">
        <v>0.26999999999999996</v>
      </c>
      <c r="G94">
        <v>2025</v>
      </c>
      <c r="H94">
        <v>8</v>
      </c>
      <c r="I94" t="s">
        <v>2863</v>
      </c>
      <c r="J94" t="s">
        <v>2841</v>
      </c>
      <c r="K94" t="s">
        <v>2860</v>
      </c>
      <c r="L94" t="s">
        <v>2848</v>
      </c>
      <c r="M94" t="s">
        <v>2838</v>
      </c>
      <c r="N94" t="s">
        <v>2844</v>
      </c>
    </row>
    <row r="95" spans="1:14">
      <c r="A95">
        <v>840</v>
      </c>
      <c r="B95">
        <v>84</v>
      </c>
      <c r="C95">
        <v>756</v>
      </c>
      <c r="D95">
        <v>546</v>
      </c>
      <c r="E95">
        <v>210</v>
      </c>
      <c r="F95" s="12">
        <v>0.27777777777777779</v>
      </c>
      <c r="G95">
        <v>2025</v>
      </c>
      <c r="H95">
        <v>2</v>
      </c>
      <c r="I95" t="s">
        <v>2861</v>
      </c>
      <c r="J95" t="s">
        <v>2851</v>
      </c>
      <c r="K95" t="s">
        <v>2860</v>
      </c>
      <c r="L95" t="s">
        <v>2848</v>
      </c>
      <c r="M95" t="s">
        <v>2839</v>
      </c>
      <c r="N95" t="s">
        <v>2849</v>
      </c>
    </row>
    <row r="96" spans="1:14">
      <c r="A96">
        <v>380</v>
      </c>
      <c r="B96">
        <v>19</v>
      </c>
      <c r="C96">
        <v>361</v>
      </c>
      <c r="D96">
        <v>296.39999999999998</v>
      </c>
      <c r="E96">
        <v>64.600000000000023</v>
      </c>
      <c r="F96" s="12">
        <v>0.17894736842105269</v>
      </c>
      <c r="G96">
        <v>2025</v>
      </c>
      <c r="H96">
        <v>7</v>
      </c>
      <c r="I96" t="s">
        <v>2840</v>
      </c>
      <c r="J96" t="s">
        <v>2841</v>
      </c>
      <c r="K96" t="s">
        <v>2842</v>
      </c>
      <c r="L96" t="s">
        <v>2856</v>
      </c>
      <c r="M96" t="s">
        <v>2839</v>
      </c>
      <c r="N96" t="s">
        <v>2844</v>
      </c>
    </row>
    <row r="97" spans="1:14">
      <c r="A97">
        <v>780</v>
      </c>
      <c r="B97">
        <v>0</v>
      </c>
      <c r="C97">
        <v>780</v>
      </c>
      <c r="D97">
        <v>468</v>
      </c>
      <c r="E97">
        <v>312</v>
      </c>
      <c r="F97" s="12">
        <v>0.4</v>
      </c>
      <c r="G97">
        <v>2025</v>
      </c>
      <c r="H97">
        <v>7</v>
      </c>
      <c r="I97" t="s">
        <v>2840</v>
      </c>
      <c r="J97" t="s">
        <v>2841</v>
      </c>
      <c r="K97" t="s">
        <v>2860</v>
      </c>
      <c r="L97" t="s">
        <v>2843</v>
      </c>
      <c r="M97" t="s">
        <v>2837</v>
      </c>
      <c r="N97" t="s">
        <v>2849</v>
      </c>
    </row>
    <row r="98" spans="1:14">
      <c r="A98">
        <v>420</v>
      </c>
      <c r="B98">
        <v>0</v>
      </c>
      <c r="C98">
        <v>420</v>
      </c>
      <c r="D98">
        <v>273</v>
      </c>
      <c r="E98">
        <v>147</v>
      </c>
      <c r="F98" s="12">
        <v>0.35</v>
      </c>
      <c r="G98">
        <v>2025</v>
      </c>
      <c r="H98">
        <v>2</v>
      </c>
      <c r="I98" t="s">
        <v>2861</v>
      </c>
      <c r="J98" t="s">
        <v>2851</v>
      </c>
      <c r="K98" t="s">
        <v>2847</v>
      </c>
      <c r="L98" t="s">
        <v>2843</v>
      </c>
      <c r="M98" t="s">
        <v>2837</v>
      </c>
      <c r="N98" t="s">
        <v>2844</v>
      </c>
    </row>
    <row r="99" spans="1:14">
      <c r="A99">
        <v>720</v>
      </c>
      <c r="B99">
        <v>0</v>
      </c>
      <c r="C99">
        <v>720</v>
      </c>
      <c r="D99">
        <v>532.79999999999995</v>
      </c>
      <c r="E99">
        <v>187.20000000000005</v>
      </c>
      <c r="F99" s="12">
        <v>0.26000000000000006</v>
      </c>
      <c r="G99">
        <v>2025</v>
      </c>
      <c r="H99">
        <v>7</v>
      </c>
      <c r="I99" t="s">
        <v>2840</v>
      </c>
      <c r="J99" t="s">
        <v>2841</v>
      </c>
      <c r="K99" t="s">
        <v>2847</v>
      </c>
      <c r="L99" t="s">
        <v>2843</v>
      </c>
      <c r="M99" t="s">
        <v>2837</v>
      </c>
      <c r="N99" t="s">
        <v>2849</v>
      </c>
    </row>
    <row r="100" spans="1:14">
      <c r="A100">
        <v>1100</v>
      </c>
      <c r="B100">
        <v>110</v>
      </c>
      <c r="C100">
        <v>990</v>
      </c>
      <c r="D100">
        <v>726</v>
      </c>
      <c r="E100">
        <v>264</v>
      </c>
      <c r="F100" s="12">
        <v>0.26666666666666666</v>
      </c>
      <c r="G100">
        <v>2025</v>
      </c>
      <c r="H100">
        <v>1</v>
      </c>
      <c r="I100" t="s">
        <v>2850</v>
      </c>
      <c r="J100" t="s">
        <v>2851</v>
      </c>
      <c r="K100" t="s">
        <v>2860</v>
      </c>
      <c r="L100" t="s">
        <v>2843</v>
      </c>
      <c r="M100" t="s">
        <v>2837</v>
      </c>
      <c r="N100" t="s">
        <v>2849</v>
      </c>
    </row>
    <row r="101" spans="1:14">
      <c r="A101">
        <v>540</v>
      </c>
      <c r="B101">
        <v>10.8</v>
      </c>
      <c r="C101">
        <v>529.20000000000005</v>
      </c>
      <c r="D101">
        <v>388.79999999999995</v>
      </c>
      <c r="E101">
        <v>140.40000000000009</v>
      </c>
      <c r="F101" s="12">
        <v>0.26530612244897972</v>
      </c>
      <c r="G101">
        <v>2025</v>
      </c>
      <c r="H101">
        <v>12</v>
      </c>
      <c r="I101" t="s">
        <v>2858</v>
      </c>
      <c r="J101" t="s">
        <v>2855</v>
      </c>
      <c r="K101" t="s">
        <v>2860</v>
      </c>
      <c r="L101" t="s">
        <v>2856</v>
      </c>
      <c r="M101" t="s">
        <v>2839</v>
      </c>
      <c r="N101" t="s">
        <v>2849</v>
      </c>
    </row>
    <row r="102" spans="1:14">
      <c r="A102">
        <v>1200</v>
      </c>
      <c r="B102">
        <v>120</v>
      </c>
      <c r="C102">
        <v>1080</v>
      </c>
      <c r="D102">
        <v>888</v>
      </c>
      <c r="E102">
        <v>192</v>
      </c>
      <c r="F102" s="12">
        <v>0.17777777777777778</v>
      </c>
      <c r="G102">
        <v>2025</v>
      </c>
      <c r="H102">
        <v>7</v>
      </c>
      <c r="I102" t="s">
        <v>2840</v>
      </c>
      <c r="J102" t="s">
        <v>2841</v>
      </c>
      <c r="K102" t="s">
        <v>2852</v>
      </c>
      <c r="L102" t="s">
        <v>2856</v>
      </c>
      <c r="M102" t="s">
        <v>2839</v>
      </c>
      <c r="N102" t="s">
        <v>2857</v>
      </c>
    </row>
    <row r="103" spans="1:14">
      <c r="A103">
        <v>520</v>
      </c>
      <c r="B103">
        <v>0</v>
      </c>
      <c r="C103">
        <v>520</v>
      </c>
      <c r="D103">
        <v>348.4</v>
      </c>
      <c r="E103">
        <v>171.60000000000002</v>
      </c>
      <c r="F103" s="12">
        <v>0.33000000000000007</v>
      </c>
      <c r="G103">
        <v>2025</v>
      </c>
      <c r="H103">
        <v>11</v>
      </c>
      <c r="I103" t="s">
        <v>2862</v>
      </c>
      <c r="J103" t="s">
        <v>2855</v>
      </c>
      <c r="K103" t="s">
        <v>2842</v>
      </c>
      <c r="L103" t="s">
        <v>2848</v>
      </c>
      <c r="M103" t="s">
        <v>2838</v>
      </c>
      <c r="N103" t="s">
        <v>2849</v>
      </c>
    </row>
    <row r="104" spans="1:14">
      <c r="A104">
        <v>95</v>
      </c>
      <c r="B104">
        <v>1.9000000000000001</v>
      </c>
      <c r="C104">
        <v>93.1</v>
      </c>
      <c r="D104">
        <v>70.3</v>
      </c>
      <c r="E104">
        <v>22.799999999999997</v>
      </c>
      <c r="F104" s="12">
        <v>0.24489795918367346</v>
      </c>
      <c r="G104">
        <v>2025</v>
      </c>
      <c r="H104">
        <v>8</v>
      </c>
      <c r="I104" t="s">
        <v>2863</v>
      </c>
      <c r="J104" t="s">
        <v>2841</v>
      </c>
      <c r="K104" t="s">
        <v>2847</v>
      </c>
      <c r="L104" t="s">
        <v>2848</v>
      </c>
      <c r="M104" t="s">
        <v>2838</v>
      </c>
      <c r="N104" t="s">
        <v>2844</v>
      </c>
    </row>
    <row r="105" spans="1:14">
      <c r="A105">
        <v>760</v>
      </c>
      <c r="B105">
        <v>0</v>
      </c>
      <c r="C105">
        <v>760</v>
      </c>
      <c r="D105">
        <v>592.79999999999995</v>
      </c>
      <c r="E105">
        <v>167.20000000000005</v>
      </c>
      <c r="F105" s="12">
        <v>0.22000000000000006</v>
      </c>
      <c r="G105">
        <v>2025</v>
      </c>
      <c r="H105">
        <v>7</v>
      </c>
      <c r="I105" t="s">
        <v>2840</v>
      </c>
      <c r="J105" t="s">
        <v>2841</v>
      </c>
      <c r="K105" t="s">
        <v>2860</v>
      </c>
      <c r="L105" t="s">
        <v>2856</v>
      </c>
      <c r="M105" t="s">
        <v>2839</v>
      </c>
      <c r="N105" t="s">
        <v>2849</v>
      </c>
    </row>
    <row r="106" spans="1:14">
      <c r="A106">
        <v>260</v>
      </c>
      <c r="B106">
        <v>20.8</v>
      </c>
      <c r="C106">
        <v>239.2</v>
      </c>
      <c r="D106">
        <v>189.8</v>
      </c>
      <c r="E106">
        <v>49.399999999999977</v>
      </c>
      <c r="F106" s="12">
        <v>0.2065217391304347</v>
      </c>
      <c r="G106">
        <v>2025</v>
      </c>
      <c r="H106">
        <v>9</v>
      </c>
      <c r="I106" t="s">
        <v>2853</v>
      </c>
      <c r="J106" t="s">
        <v>2841</v>
      </c>
      <c r="K106" t="s">
        <v>2852</v>
      </c>
      <c r="L106" t="s">
        <v>2856</v>
      </c>
      <c r="M106" t="s">
        <v>2839</v>
      </c>
      <c r="N106" t="s">
        <v>2844</v>
      </c>
    </row>
    <row r="107" spans="1:14">
      <c r="A107">
        <v>720</v>
      </c>
      <c r="B107">
        <v>72</v>
      </c>
      <c r="C107">
        <v>648</v>
      </c>
      <c r="D107">
        <v>532.79999999999995</v>
      </c>
      <c r="E107">
        <v>115.20000000000005</v>
      </c>
      <c r="F107" s="12">
        <v>0.17777777777777784</v>
      </c>
      <c r="G107">
        <v>2025</v>
      </c>
      <c r="H107">
        <v>7</v>
      </c>
      <c r="I107" t="s">
        <v>2840</v>
      </c>
      <c r="J107" t="s">
        <v>2841</v>
      </c>
      <c r="K107" t="s">
        <v>2847</v>
      </c>
      <c r="L107" t="s">
        <v>2843</v>
      </c>
      <c r="M107" t="s">
        <v>2837</v>
      </c>
      <c r="N107" t="s">
        <v>2849</v>
      </c>
    </row>
    <row r="108" spans="1:14">
      <c r="A108">
        <v>22</v>
      </c>
      <c r="B108">
        <v>0</v>
      </c>
      <c r="C108">
        <v>22</v>
      </c>
      <c r="D108">
        <v>14.96</v>
      </c>
      <c r="E108">
        <v>7.0399999999999991</v>
      </c>
      <c r="F108" s="12">
        <v>0.31999999999999995</v>
      </c>
      <c r="G108">
        <v>2025</v>
      </c>
      <c r="H108">
        <v>2</v>
      </c>
      <c r="I108" t="s">
        <v>2861</v>
      </c>
      <c r="J108" t="s">
        <v>2851</v>
      </c>
      <c r="K108" t="s">
        <v>2847</v>
      </c>
      <c r="L108" t="s">
        <v>2848</v>
      </c>
      <c r="M108" t="s">
        <v>2838</v>
      </c>
      <c r="N108" t="s">
        <v>2844</v>
      </c>
    </row>
    <row r="109" spans="1:14">
      <c r="A109">
        <v>1800</v>
      </c>
      <c r="B109">
        <v>90</v>
      </c>
      <c r="C109">
        <v>1710</v>
      </c>
      <c r="D109">
        <v>1296</v>
      </c>
      <c r="E109">
        <v>414</v>
      </c>
      <c r="F109" s="12">
        <v>0.24210526315789474</v>
      </c>
      <c r="G109">
        <v>2025</v>
      </c>
      <c r="H109">
        <v>6</v>
      </c>
      <c r="I109" t="s">
        <v>2864</v>
      </c>
      <c r="J109" t="s">
        <v>2846</v>
      </c>
      <c r="K109" t="s">
        <v>2852</v>
      </c>
      <c r="L109" t="s">
        <v>2843</v>
      </c>
      <c r="M109" t="s">
        <v>2837</v>
      </c>
      <c r="N109" t="s">
        <v>2857</v>
      </c>
    </row>
    <row r="110" spans="1:14">
      <c r="A110">
        <v>580</v>
      </c>
      <c r="B110">
        <v>58</v>
      </c>
      <c r="C110">
        <v>522</v>
      </c>
      <c r="D110">
        <v>388.6</v>
      </c>
      <c r="E110">
        <v>133.39999999999998</v>
      </c>
      <c r="F110" s="12">
        <v>0.25555555555555554</v>
      </c>
      <c r="G110">
        <v>2025</v>
      </c>
      <c r="H110">
        <v>6</v>
      </c>
      <c r="I110" t="s">
        <v>2864</v>
      </c>
      <c r="J110" t="s">
        <v>2846</v>
      </c>
      <c r="K110" t="s">
        <v>2852</v>
      </c>
      <c r="L110" t="s">
        <v>2843</v>
      </c>
      <c r="M110" t="s">
        <v>2837</v>
      </c>
      <c r="N110" t="s">
        <v>2849</v>
      </c>
    </row>
    <row r="111" spans="1:14">
      <c r="A111">
        <v>2600</v>
      </c>
      <c r="B111">
        <v>0</v>
      </c>
      <c r="C111">
        <v>2600</v>
      </c>
      <c r="D111">
        <v>1742</v>
      </c>
      <c r="E111">
        <v>858</v>
      </c>
      <c r="F111" s="12">
        <v>0.33</v>
      </c>
      <c r="G111">
        <v>2025</v>
      </c>
      <c r="H111">
        <v>10</v>
      </c>
      <c r="I111" t="s">
        <v>2854</v>
      </c>
      <c r="J111" t="s">
        <v>2855</v>
      </c>
      <c r="K111" t="s">
        <v>2847</v>
      </c>
      <c r="L111" t="s">
        <v>2843</v>
      </c>
      <c r="M111" t="s">
        <v>2837</v>
      </c>
      <c r="N111" t="s">
        <v>2857</v>
      </c>
    </row>
    <row r="112" spans="1:14">
      <c r="A112">
        <v>35</v>
      </c>
      <c r="B112">
        <v>0</v>
      </c>
      <c r="C112">
        <v>35</v>
      </c>
      <c r="D112">
        <v>24.15</v>
      </c>
      <c r="E112">
        <v>10.850000000000001</v>
      </c>
      <c r="F112" s="12">
        <v>0.31000000000000005</v>
      </c>
      <c r="G112">
        <v>2025</v>
      </c>
      <c r="H112">
        <v>8</v>
      </c>
      <c r="I112" t="s">
        <v>2863</v>
      </c>
      <c r="J112" t="s">
        <v>2841</v>
      </c>
      <c r="K112" t="s">
        <v>2842</v>
      </c>
      <c r="L112" t="s">
        <v>2856</v>
      </c>
      <c r="M112" t="s">
        <v>2839</v>
      </c>
      <c r="N112" t="s">
        <v>2844</v>
      </c>
    </row>
    <row r="113" spans="1:14">
      <c r="A113">
        <v>240</v>
      </c>
      <c r="B113">
        <v>24</v>
      </c>
      <c r="C113">
        <v>216</v>
      </c>
      <c r="D113">
        <v>177.6</v>
      </c>
      <c r="E113">
        <v>38.400000000000006</v>
      </c>
      <c r="F113" s="12">
        <v>0.17777777777777781</v>
      </c>
      <c r="G113">
        <v>2025</v>
      </c>
      <c r="H113">
        <v>12</v>
      </c>
      <c r="I113" t="s">
        <v>2858</v>
      </c>
      <c r="J113" t="s">
        <v>2855</v>
      </c>
      <c r="K113" t="s">
        <v>2852</v>
      </c>
      <c r="L113" t="s">
        <v>2848</v>
      </c>
      <c r="M113" t="s">
        <v>2838</v>
      </c>
      <c r="N113" t="s">
        <v>2844</v>
      </c>
    </row>
    <row r="114" spans="1:14">
      <c r="A114">
        <v>420</v>
      </c>
      <c r="B114">
        <v>42</v>
      </c>
      <c r="C114">
        <v>378</v>
      </c>
      <c r="D114">
        <v>273</v>
      </c>
      <c r="E114">
        <v>105</v>
      </c>
      <c r="F114" s="12">
        <v>0.27777777777777779</v>
      </c>
      <c r="G114">
        <v>2025</v>
      </c>
      <c r="H114">
        <v>7</v>
      </c>
      <c r="I114" t="s">
        <v>2840</v>
      </c>
      <c r="J114" t="s">
        <v>2841</v>
      </c>
      <c r="K114" t="s">
        <v>2852</v>
      </c>
      <c r="L114" t="s">
        <v>2848</v>
      </c>
      <c r="M114" t="s">
        <v>2838</v>
      </c>
      <c r="N114" t="s">
        <v>2844</v>
      </c>
    </row>
    <row r="115" spans="1:14">
      <c r="A115">
        <v>175</v>
      </c>
      <c r="B115">
        <v>14</v>
      </c>
      <c r="C115">
        <v>161</v>
      </c>
      <c r="D115">
        <v>120.75</v>
      </c>
      <c r="E115">
        <v>40.25</v>
      </c>
      <c r="F115" s="12">
        <v>0.25</v>
      </c>
      <c r="G115">
        <v>2025</v>
      </c>
      <c r="H115">
        <v>4</v>
      </c>
      <c r="I115" t="s">
        <v>2865</v>
      </c>
      <c r="J115" t="s">
        <v>2846</v>
      </c>
      <c r="K115" t="s">
        <v>2847</v>
      </c>
      <c r="L115" t="s">
        <v>2848</v>
      </c>
      <c r="M115" t="s">
        <v>2838</v>
      </c>
      <c r="N115" t="s">
        <v>2844</v>
      </c>
    </row>
    <row r="116" spans="1:14">
      <c r="A116">
        <v>240</v>
      </c>
      <c r="B116">
        <v>4.8</v>
      </c>
      <c r="C116">
        <v>235.2</v>
      </c>
      <c r="D116">
        <v>146.4</v>
      </c>
      <c r="E116">
        <v>88.799999999999983</v>
      </c>
      <c r="F116" s="12">
        <v>0.37755102040816318</v>
      </c>
      <c r="G116">
        <v>2025</v>
      </c>
      <c r="H116">
        <v>6</v>
      </c>
      <c r="I116" t="s">
        <v>2864</v>
      </c>
      <c r="J116" t="s">
        <v>2846</v>
      </c>
      <c r="K116" t="s">
        <v>2860</v>
      </c>
      <c r="L116" t="s">
        <v>2848</v>
      </c>
      <c r="M116" t="s">
        <v>2838</v>
      </c>
      <c r="N116" t="s">
        <v>2844</v>
      </c>
    </row>
    <row r="117" spans="1:14">
      <c r="A117">
        <v>1560</v>
      </c>
      <c r="B117">
        <v>0</v>
      </c>
      <c r="C117">
        <v>1560</v>
      </c>
      <c r="D117">
        <v>936</v>
      </c>
      <c r="E117">
        <v>624</v>
      </c>
      <c r="F117" s="12">
        <v>0.4</v>
      </c>
      <c r="G117">
        <v>2025</v>
      </c>
      <c r="H117">
        <v>5</v>
      </c>
      <c r="I117" t="s">
        <v>2845</v>
      </c>
      <c r="J117" t="s">
        <v>2846</v>
      </c>
      <c r="K117" t="s">
        <v>2842</v>
      </c>
      <c r="L117" t="s">
        <v>2856</v>
      </c>
      <c r="M117" t="s">
        <v>2839</v>
      </c>
      <c r="N117" t="s">
        <v>2857</v>
      </c>
    </row>
    <row r="118" spans="1:14">
      <c r="A118">
        <v>350</v>
      </c>
      <c r="B118">
        <v>0</v>
      </c>
      <c r="C118">
        <v>350</v>
      </c>
      <c r="D118">
        <v>213.5</v>
      </c>
      <c r="E118">
        <v>136.5</v>
      </c>
      <c r="F118" s="12">
        <v>0.39</v>
      </c>
      <c r="G118">
        <v>2025</v>
      </c>
      <c r="H118">
        <v>12</v>
      </c>
      <c r="I118" t="s">
        <v>2858</v>
      </c>
      <c r="J118" t="s">
        <v>2855</v>
      </c>
      <c r="K118" t="s">
        <v>2852</v>
      </c>
      <c r="L118" t="s">
        <v>2856</v>
      </c>
      <c r="M118" t="s">
        <v>2839</v>
      </c>
      <c r="N118" t="s">
        <v>2844</v>
      </c>
    </row>
    <row r="119" spans="1:14">
      <c r="A119">
        <v>1040</v>
      </c>
      <c r="B119">
        <v>0</v>
      </c>
      <c r="C119">
        <v>1040</v>
      </c>
      <c r="D119">
        <v>759.2</v>
      </c>
      <c r="E119">
        <v>280.79999999999995</v>
      </c>
      <c r="F119" s="12">
        <v>0.26999999999999996</v>
      </c>
      <c r="G119">
        <v>2025</v>
      </c>
      <c r="H119">
        <v>4</v>
      </c>
      <c r="I119" t="s">
        <v>2865</v>
      </c>
      <c r="J119" t="s">
        <v>2846</v>
      </c>
      <c r="K119" t="s">
        <v>2860</v>
      </c>
      <c r="L119" t="s">
        <v>2848</v>
      </c>
      <c r="M119" t="s">
        <v>2838</v>
      </c>
      <c r="N119" t="s">
        <v>2857</v>
      </c>
    </row>
    <row r="120" spans="1:14">
      <c r="A120">
        <v>1300</v>
      </c>
      <c r="B120">
        <v>0</v>
      </c>
      <c r="C120">
        <v>1300</v>
      </c>
      <c r="D120">
        <v>949</v>
      </c>
      <c r="E120">
        <v>351</v>
      </c>
      <c r="F120" s="12">
        <v>0.27</v>
      </c>
      <c r="G120">
        <v>2025</v>
      </c>
      <c r="H120">
        <v>12</v>
      </c>
      <c r="I120" t="s">
        <v>2858</v>
      </c>
      <c r="J120" t="s">
        <v>2855</v>
      </c>
      <c r="K120" t="s">
        <v>2852</v>
      </c>
      <c r="L120" t="s">
        <v>2856</v>
      </c>
      <c r="M120" t="s">
        <v>2839</v>
      </c>
      <c r="N120" t="s">
        <v>2857</v>
      </c>
    </row>
    <row r="121" spans="1:14">
      <c r="A121">
        <v>70</v>
      </c>
      <c r="B121">
        <v>0</v>
      </c>
      <c r="C121">
        <v>70</v>
      </c>
      <c r="D121">
        <v>48.3</v>
      </c>
      <c r="E121">
        <v>21.700000000000003</v>
      </c>
      <c r="F121" s="12">
        <v>0.31000000000000005</v>
      </c>
      <c r="G121">
        <v>2025</v>
      </c>
      <c r="H121">
        <v>5</v>
      </c>
      <c r="I121" t="s">
        <v>2845</v>
      </c>
      <c r="J121" t="s">
        <v>2846</v>
      </c>
      <c r="K121" t="s">
        <v>2860</v>
      </c>
      <c r="L121" t="s">
        <v>2848</v>
      </c>
      <c r="M121" t="s">
        <v>2838</v>
      </c>
      <c r="N121" t="s">
        <v>2844</v>
      </c>
    </row>
    <row r="122" spans="1:14">
      <c r="A122">
        <v>1560</v>
      </c>
      <c r="B122">
        <v>124.8</v>
      </c>
      <c r="C122">
        <v>1435.2</v>
      </c>
      <c r="D122">
        <v>936</v>
      </c>
      <c r="E122">
        <v>499.20000000000005</v>
      </c>
      <c r="F122" s="12">
        <v>0.34782608695652178</v>
      </c>
      <c r="G122">
        <v>2025</v>
      </c>
      <c r="H122">
        <v>11</v>
      </c>
      <c r="I122" t="s">
        <v>2862</v>
      </c>
      <c r="J122" t="s">
        <v>2855</v>
      </c>
      <c r="K122" t="s">
        <v>2852</v>
      </c>
      <c r="L122" t="s">
        <v>2848</v>
      </c>
      <c r="M122" t="s">
        <v>2838</v>
      </c>
      <c r="N122" t="s">
        <v>2857</v>
      </c>
    </row>
    <row r="123" spans="1:14">
      <c r="A123">
        <v>1560</v>
      </c>
      <c r="B123">
        <v>78</v>
      </c>
      <c r="C123">
        <v>1482</v>
      </c>
      <c r="D123">
        <v>1045.1999999999998</v>
      </c>
      <c r="E123">
        <v>436.80000000000018</v>
      </c>
      <c r="F123" s="12">
        <v>0.2947368421052633</v>
      </c>
      <c r="G123">
        <v>2025</v>
      </c>
      <c r="H123">
        <v>9</v>
      </c>
      <c r="I123" t="s">
        <v>2853</v>
      </c>
      <c r="J123" t="s">
        <v>2841</v>
      </c>
      <c r="K123" t="s">
        <v>2842</v>
      </c>
      <c r="L123" t="s">
        <v>2848</v>
      </c>
      <c r="M123" t="s">
        <v>2838</v>
      </c>
      <c r="N123" t="s">
        <v>2857</v>
      </c>
    </row>
    <row r="124" spans="1:14">
      <c r="A124">
        <v>22</v>
      </c>
      <c r="B124">
        <v>0.44</v>
      </c>
      <c r="C124">
        <v>21.56</v>
      </c>
      <c r="D124">
        <v>14.96</v>
      </c>
      <c r="E124">
        <v>6.5999999999999979</v>
      </c>
      <c r="F124" s="12">
        <v>0.30612244897959173</v>
      </c>
      <c r="G124">
        <v>2025</v>
      </c>
      <c r="H124">
        <v>10</v>
      </c>
      <c r="I124" t="s">
        <v>2854</v>
      </c>
      <c r="J124" t="s">
        <v>2855</v>
      </c>
      <c r="K124" t="s">
        <v>2847</v>
      </c>
      <c r="L124" t="s">
        <v>2843</v>
      </c>
      <c r="M124" t="s">
        <v>2837</v>
      </c>
      <c r="N124" t="s">
        <v>2844</v>
      </c>
    </row>
    <row r="125" spans="1:14">
      <c r="A125">
        <v>520</v>
      </c>
      <c r="B125">
        <v>52</v>
      </c>
      <c r="C125">
        <v>468</v>
      </c>
      <c r="D125">
        <v>348.4</v>
      </c>
      <c r="E125">
        <v>119.60000000000002</v>
      </c>
      <c r="F125" s="12">
        <v>0.25555555555555559</v>
      </c>
      <c r="G125">
        <v>2025</v>
      </c>
      <c r="H125">
        <v>10</v>
      </c>
      <c r="I125" t="s">
        <v>2854</v>
      </c>
      <c r="J125" t="s">
        <v>2855</v>
      </c>
      <c r="K125" t="s">
        <v>2860</v>
      </c>
      <c r="L125" t="s">
        <v>2848</v>
      </c>
      <c r="M125" t="s">
        <v>2838</v>
      </c>
      <c r="N125" t="s">
        <v>2844</v>
      </c>
    </row>
    <row r="126" spans="1:14">
      <c r="A126">
        <v>1260</v>
      </c>
      <c r="B126">
        <v>126</v>
      </c>
      <c r="C126">
        <v>1134</v>
      </c>
      <c r="D126">
        <v>819</v>
      </c>
      <c r="E126">
        <v>315</v>
      </c>
      <c r="F126" s="12">
        <v>0.27777777777777779</v>
      </c>
      <c r="G126">
        <v>2025</v>
      </c>
      <c r="H126">
        <v>10</v>
      </c>
      <c r="I126" t="s">
        <v>2854</v>
      </c>
      <c r="J126" t="s">
        <v>2855</v>
      </c>
      <c r="K126" t="s">
        <v>2847</v>
      </c>
      <c r="L126" t="s">
        <v>2843</v>
      </c>
      <c r="M126" t="s">
        <v>2837</v>
      </c>
      <c r="N126" t="s">
        <v>2857</v>
      </c>
    </row>
    <row r="127" spans="1:14">
      <c r="A127">
        <v>1560</v>
      </c>
      <c r="B127">
        <v>0</v>
      </c>
      <c r="C127">
        <v>1560</v>
      </c>
      <c r="D127">
        <v>1045.1999999999998</v>
      </c>
      <c r="E127">
        <v>514.80000000000018</v>
      </c>
      <c r="F127" s="12">
        <v>0.33000000000000013</v>
      </c>
      <c r="G127">
        <v>2025</v>
      </c>
      <c r="H127">
        <v>11</v>
      </c>
      <c r="I127" t="s">
        <v>2862</v>
      </c>
      <c r="J127" t="s">
        <v>2855</v>
      </c>
      <c r="K127" t="s">
        <v>2842</v>
      </c>
      <c r="L127" t="s">
        <v>2843</v>
      </c>
      <c r="M127" t="s">
        <v>2837</v>
      </c>
      <c r="N127" t="s">
        <v>2857</v>
      </c>
    </row>
    <row r="128" spans="1:14">
      <c r="A128">
        <v>1050</v>
      </c>
      <c r="B128">
        <v>0</v>
      </c>
      <c r="C128">
        <v>1050</v>
      </c>
      <c r="D128">
        <v>640.5</v>
      </c>
      <c r="E128">
        <v>409.5</v>
      </c>
      <c r="F128" s="12">
        <v>0.39</v>
      </c>
      <c r="G128">
        <v>2025</v>
      </c>
      <c r="H128">
        <v>4</v>
      </c>
      <c r="I128" t="s">
        <v>2865</v>
      </c>
      <c r="J128" t="s">
        <v>2846</v>
      </c>
      <c r="K128" t="s">
        <v>2852</v>
      </c>
      <c r="L128" t="s">
        <v>2848</v>
      </c>
      <c r="M128" t="s">
        <v>2838</v>
      </c>
      <c r="N128" t="s">
        <v>2857</v>
      </c>
    </row>
    <row r="129" spans="1:14">
      <c r="A129">
        <v>1560</v>
      </c>
      <c r="B129">
        <v>78</v>
      </c>
      <c r="C129">
        <v>1482</v>
      </c>
      <c r="D129">
        <v>936</v>
      </c>
      <c r="E129">
        <v>546</v>
      </c>
      <c r="F129" s="12">
        <v>0.36842105263157893</v>
      </c>
      <c r="G129">
        <v>2025</v>
      </c>
      <c r="H129">
        <v>6</v>
      </c>
      <c r="I129" t="s">
        <v>2864</v>
      </c>
      <c r="J129" t="s">
        <v>2846</v>
      </c>
      <c r="K129" t="s">
        <v>2842</v>
      </c>
      <c r="L129" t="s">
        <v>2856</v>
      </c>
      <c r="M129" t="s">
        <v>2838</v>
      </c>
      <c r="N129" t="s">
        <v>2857</v>
      </c>
    </row>
    <row r="130" spans="1:14">
      <c r="A130">
        <v>210</v>
      </c>
      <c r="B130">
        <v>0</v>
      </c>
      <c r="C130">
        <v>210</v>
      </c>
      <c r="D130">
        <v>144.89999999999998</v>
      </c>
      <c r="E130">
        <v>65.100000000000023</v>
      </c>
      <c r="F130" s="12">
        <v>0.31000000000000011</v>
      </c>
      <c r="G130">
        <v>2025</v>
      </c>
      <c r="H130">
        <v>9</v>
      </c>
      <c r="I130" t="s">
        <v>2853</v>
      </c>
      <c r="J130" t="s">
        <v>2841</v>
      </c>
      <c r="K130" t="s">
        <v>2852</v>
      </c>
      <c r="L130" t="s">
        <v>2843</v>
      </c>
      <c r="M130" t="s">
        <v>2837</v>
      </c>
      <c r="N130" t="s">
        <v>2844</v>
      </c>
    </row>
    <row r="131" spans="1:14">
      <c r="A131">
        <v>720</v>
      </c>
      <c r="B131">
        <v>36</v>
      </c>
      <c r="C131">
        <v>684</v>
      </c>
      <c r="D131">
        <v>532.79999999999995</v>
      </c>
      <c r="E131">
        <v>151.20000000000005</v>
      </c>
      <c r="F131" s="12">
        <v>0.22105263157894744</v>
      </c>
      <c r="G131">
        <v>2025</v>
      </c>
      <c r="H131">
        <v>6</v>
      </c>
      <c r="I131" t="s">
        <v>2864</v>
      </c>
      <c r="J131" t="s">
        <v>2846</v>
      </c>
      <c r="K131" t="s">
        <v>2847</v>
      </c>
      <c r="L131" t="s">
        <v>2856</v>
      </c>
      <c r="M131" t="s">
        <v>2839</v>
      </c>
      <c r="N131" t="s">
        <v>2849</v>
      </c>
    </row>
    <row r="132" spans="1:14">
      <c r="A132">
        <v>360</v>
      </c>
      <c r="B132">
        <v>18</v>
      </c>
      <c r="C132">
        <v>342</v>
      </c>
      <c r="D132">
        <v>259.2</v>
      </c>
      <c r="E132">
        <v>82.800000000000011</v>
      </c>
      <c r="F132" s="12">
        <v>0.24210526315789477</v>
      </c>
      <c r="G132">
        <v>2025</v>
      </c>
      <c r="H132">
        <v>11</v>
      </c>
      <c r="I132" t="s">
        <v>2862</v>
      </c>
      <c r="J132" t="s">
        <v>2855</v>
      </c>
      <c r="K132" t="s">
        <v>2860</v>
      </c>
      <c r="L132" t="s">
        <v>2848</v>
      </c>
      <c r="M132" t="s">
        <v>2838</v>
      </c>
      <c r="N132" t="s">
        <v>2844</v>
      </c>
    </row>
    <row r="133" spans="1:14">
      <c r="A133">
        <v>330</v>
      </c>
      <c r="B133">
        <v>26.400000000000002</v>
      </c>
      <c r="C133">
        <v>303.60000000000002</v>
      </c>
      <c r="D133">
        <v>217.79999999999998</v>
      </c>
      <c r="E133">
        <v>85.80000000000004</v>
      </c>
      <c r="F133" s="12">
        <v>0.282608695652174</v>
      </c>
      <c r="G133">
        <v>2025</v>
      </c>
      <c r="H133">
        <v>5</v>
      </c>
      <c r="I133" t="s">
        <v>2845</v>
      </c>
      <c r="J133" t="s">
        <v>2846</v>
      </c>
      <c r="K133" t="s">
        <v>2842</v>
      </c>
      <c r="L133" t="s">
        <v>2856</v>
      </c>
      <c r="M133" t="s">
        <v>2839</v>
      </c>
      <c r="N133" t="s">
        <v>2844</v>
      </c>
    </row>
    <row r="134" spans="1:14">
      <c r="A134">
        <v>66</v>
      </c>
      <c r="B134">
        <v>5.28</v>
      </c>
      <c r="C134">
        <v>60.72</v>
      </c>
      <c r="D134">
        <v>44.88</v>
      </c>
      <c r="E134">
        <v>15.839999999999996</v>
      </c>
      <c r="F134" s="12">
        <v>0.26086956521739124</v>
      </c>
      <c r="G134">
        <v>2025</v>
      </c>
      <c r="H134">
        <v>7</v>
      </c>
      <c r="I134" t="s">
        <v>2840</v>
      </c>
      <c r="J134" t="s">
        <v>2841</v>
      </c>
      <c r="K134" t="s">
        <v>2852</v>
      </c>
      <c r="L134" t="s">
        <v>2856</v>
      </c>
      <c r="M134" t="s">
        <v>2839</v>
      </c>
      <c r="N134" t="s">
        <v>2844</v>
      </c>
    </row>
    <row r="135" spans="1:14">
      <c r="A135">
        <v>2400</v>
      </c>
      <c r="B135">
        <v>0</v>
      </c>
      <c r="C135">
        <v>2400</v>
      </c>
      <c r="D135">
        <v>1776</v>
      </c>
      <c r="E135">
        <v>624</v>
      </c>
      <c r="F135" s="12">
        <v>0.26</v>
      </c>
      <c r="G135">
        <v>2025</v>
      </c>
      <c r="H135">
        <v>1</v>
      </c>
      <c r="I135" t="s">
        <v>2850</v>
      </c>
      <c r="J135" t="s">
        <v>2851</v>
      </c>
      <c r="K135" t="s">
        <v>2842</v>
      </c>
      <c r="L135" t="s">
        <v>2856</v>
      </c>
      <c r="M135" t="s">
        <v>2839</v>
      </c>
      <c r="N135" t="s">
        <v>2857</v>
      </c>
    </row>
    <row r="136" spans="1:14">
      <c r="A136">
        <v>1040</v>
      </c>
      <c r="B136">
        <v>0</v>
      </c>
      <c r="C136">
        <v>1040</v>
      </c>
      <c r="D136">
        <v>696.8</v>
      </c>
      <c r="E136">
        <v>343.20000000000005</v>
      </c>
      <c r="F136" s="12">
        <v>0.33000000000000007</v>
      </c>
      <c r="G136">
        <v>2025</v>
      </c>
      <c r="H136">
        <v>2</v>
      </c>
      <c r="I136" t="s">
        <v>2861</v>
      </c>
      <c r="J136" t="s">
        <v>2851</v>
      </c>
      <c r="K136" t="s">
        <v>2847</v>
      </c>
      <c r="L136" t="s">
        <v>2856</v>
      </c>
      <c r="M136" t="s">
        <v>2837</v>
      </c>
      <c r="N136" t="s">
        <v>2857</v>
      </c>
    </row>
    <row r="137" spans="1:14">
      <c r="A137">
        <v>570</v>
      </c>
      <c r="B137">
        <v>57</v>
      </c>
      <c r="C137">
        <v>513</v>
      </c>
      <c r="D137">
        <v>444.59999999999997</v>
      </c>
      <c r="E137">
        <v>68.400000000000034</v>
      </c>
      <c r="F137" s="12">
        <v>0.13333333333333339</v>
      </c>
      <c r="G137">
        <v>2025</v>
      </c>
      <c r="H137">
        <v>6</v>
      </c>
      <c r="I137" t="s">
        <v>2864</v>
      </c>
      <c r="J137" t="s">
        <v>2846</v>
      </c>
      <c r="K137" t="s">
        <v>2860</v>
      </c>
      <c r="L137" t="s">
        <v>2856</v>
      </c>
      <c r="M137" t="s">
        <v>2837</v>
      </c>
      <c r="N137" t="s">
        <v>2849</v>
      </c>
    </row>
    <row r="138" spans="1:14">
      <c r="A138">
        <v>95</v>
      </c>
      <c r="B138">
        <v>0</v>
      </c>
      <c r="C138">
        <v>95</v>
      </c>
      <c r="D138">
        <v>70.3</v>
      </c>
      <c r="E138">
        <v>24.700000000000003</v>
      </c>
      <c r="F138" s="12">
        <v>0.26</v>
      </c>
      <c r="G138">
        <v>2025</v>
      </c>
      <c r="H138">
        <v>11</v>
      </c>
      <c r="I138" t="s">
        <v>2862</v>
      </c>
      <c r="J138" t="s">
        <v>2855</v>
      </c>
      <c r="K138" t="s">
        <v>2842</v>
      </c>
      <c r="L138" t="s">
        <v>2856</v>
      </c>
      <c r="M138" t="s">
        <v>2839</v>
      </c>
      <c r="N138" t="s">
        <v>2844</v>
      </c>
    </row>
    <row r="139" spans="1:14">
      <c r="A139">
        <v>1900</v>
      </c>
      <c r="B139">
        <v>95</v>
      </c>
      <c r="C139">
        <v>1805</v>
      </c>
      <c r="D139">
        <v>1482</v>
      </c>
      <c r="E139">
        <v>323</v>
      </c>
      <c r="F139" s="12">
        <v>0.17894736842105263</v>
      </c>
      <c r="G139">
        <v>2025</v>
      </c>
      <c r="H139">
        <v>12</v>
      </c>
      <c r="I139" t="s">
        <v>2858</v>
      </c>
      <c r="J139" t="s">
        <v>2855</v>
      </c>
      <c r="K139" t="s">
        <v>2847</v>
      </c>
      <c r="L139" t="s">
        <v>2843</v>
      </c>
      <c r="M139" t="s">
        <v>2837</v>
      </c>
      <c r="N139" t="s">
        <v>2857</v>
      </c>
    </row>
    <row r="140" spans="1:14">
      <c r="A140">
        <v>88</v>
      </c>
      <c r="B140">
        <v>7.04</v>
      </c>
      <c r="C140">
        <v>80.959999999999994</v>
      </c>
      <c r="D140">
        <v>59.84</v>
      </c>
      <c r="E140">
        <v>21.11999999999999</v>
      </c>
      <c r="F140" s="12">
        <v>0.26086956521739119</v>
      </c>
      <c r="G140">
        <v>2025</v>
      </c>
      <c r="H140">
        <v>9</v>
      </c>
      <c r="I140" t="s">
        <v>2853</v>
      </c>
      <c r="J140" t="s">
        <v>2841</v>
      </c>
      <c r="K140" t="s">
        <v>2860</v>
      </c>
      <c r="L140" t="s">
        <v>2843</v>
      </c>
      <c r="M140" t="s">
        <v>2837</v>
      </c>
      <c r="N140" t="s">
        <v>2844</v>
      </c>
    </row>
    <row r="141" spans="1:14">
      <c r="A141">
        <v>1050</v>
      </c>
      <c r="B141">
        <v>21</v>
      </c>
      <c r="C141">
        <v>1029</v>
      </c>
      <c r="D141">
        <v>640.5</v>
      </c>
      <c r="E141">
        <v>388.5</v>
      </c>
      <c r="F141" s="12">
        <v>0.37755102040816324</v>
      </c>
      <c r="G141">
        <v>2025</v>
      </c>
      <c r="H141">
        <v>5</v>
      </c>
      <c r="I141" t="s">
        <v>2845</v>
      </c>
      <c r="J141" t="s">
        <v>2846</v>
      </c>
      <c r="K141" t="s">
        <v>2842</v>
      </c>
      <c r="L141" t="s">
        <v>2843</v>
      </c>
      <c r="M141" t="s">
        <v>2837</v>
      </c>
      <c r="N141" t="s">
        <v>2857</v>
      </c>
    </row>
    <row r="142" spans="1:14">
      <c r="A142">
        <v>480</v>
      </c>
      <c r="B142">
        <v>24</v>
      </c>
      <c r="C142">
        <v>456</v>
      </c>
      <c r="D142">
        <v>374.4</v>
      </c>
      <c r="E142">
        <v>81.600000000000023</v>
      </c>
      <c r="F142" s="12">
        <v>0.17894736842105269</v>
      </c>
      <c r="G142">
        <v>2025</v>
      </c>
      <c r="H142">
        <v>5</v>
      </c>
      <c r="I142" t="s">
        <v>2845</v>
      </c>
      <c r="J142" t="s">
        <v>2846</v>
      </c>
      <c r="K142" t="s">
        <v>2847</v>
      </c>
      <c r="L142" t="s">
        <v>2848</v>
      </c>
      <c r="M142" t="s">
        <v>2838</v>
      </c>
      <c r="N142" t="s">
        <v>2844</v>
      </c>
    </row>
    <row r="143" spans="1:14">
      <c r="A143">
        <v>475</v>
      </c>
      <c r="B143">
        <v>38</v>
      </c>
      <c r="C143">
        <v>437</v>
      </c>
      <c r="D143">
        <v>351.5</v>
      </c>
      <c r="E143">
        <v>85.5</v>
      </c>
      <c r="F143" s="12">
        <v>0.19565217391304349</v>
      </c>
      <c r="G143">
        <v>2025</v>
      </c>
      <c r="H143">
        <v>6</v>
      </c>
      <c r="I143" t="s">
        <v>2864</v>
      </c>
      <c r="J143" t="s">
        <v>2846</v>
      </c>
      <c r="K143" t="s">
        <v>2847</v>
      </c>
      <c r="L143" t="s">
        <v>2856</v>
      </c>
      <c r="M143" t="s">
        <v>2839</v>
      </c>
      <c r="N143" t="s">
        <v>2844</v>
      </c>
    </row>
    <row r="144" spans="1:14">
      <c r="A144">
        <v>780</v>
      </c>
      <c r="B144">
        <v>0</v>
      </c>
      <c r="C144">
        <v>780</v>
      </c>
      <c r="D144">
        <v>468</v>
      </c>
      <c r="E144">
        <v>312</v>
      </c>
      <c r="F144" s="12">
        <v>0.4</v>
      </c>
      <c r="G144">
        <v>2025</v>
      </c>
      <c r="H144">
        <v>1</v>
      </c>
      <c r="I144" t="s">
        <v>2850</v>
      </c>
      <c r="J144" t="s">
        <v>2851</v>
      </c>
      <c r="K144" t="s">
        <v>2842</v>
      </c>
      <c r="L144" t="s">
        <v>2843</v>
      </c>
      <c r="M144" t="s">
        <v>2837</v>
      </c>
      <c r="N144" t="s">
        <v>2849</v>
      </c>
    </row>
    <row r="145" spans="1:14">
      <c r="A145">
        <v>130</v>
      </c>
      <c r="B145">
        <v>6.5</v>
      </c>
      <c r="C145">
        <v>123.5</v>
      </c>
      <c r="D145">
        <v>94.9</v>
      </c>
      <c r="E145">
        <v>28.599999999999994</v>
      </c>
      <c r="F145" s="12">
        <v>0.231578947368421</v>
      </c>
      <c r="G145">
        <v>2025</v>
      </c>
      <c r="H145">
        <v>3</v>
      </c>
      <c r="I145" t="s">
        <v>2859</v>
      </c>
      <c r="J145" t="s">
        <v>2851</v>
      </c>
      <c r="K145" t="s">
        <v>2860</v>
      </c>
      <c r="L145" t="s">
        <v>2856</v>
      </c>
      <c r="M145" t="s">
        <v>2839</v>
      </c>
      <c r="N145" t="s">
        <v>2844</v>
      </c>
    </row>
    <row r="146" spans="1:14">
      <c r="A146">
        <v>480</v>
      </c>
      <c r="B146">
        <v>0</v>
      </c>
      <c r="C146">
        <v>480</v>
      </c>
      <c r="D146">
        <v>292.8</v>
      </c>
      <c r="E146">
        <v>187.2</v>
      </c>
      <c r="F146" s="12">
        <v>0.38999999999999996</v>
      </c>
      <c r="G146">
        <v>2025</v>
      </c>
      <c r="H146">
        <v>10</v>
      </c>
      <c r="I146" t="s">
        <v>2854</v>
      </c>
      <c r="J146" t="s">
        <v>2855</v>
      </c>
      <c r="K146" t="s">
        <v>2842</v>
      </c>
      <c r="L146" t="s">
        <v>2856</v>
      </c>
      <c r="M146" t="s">
        <v>2839</v>
      </c>
      <c r="N146" t="s">
        <v>2844</v>
      </c>
    </row>
    <row r="147" spans="1:14">
      <c r="A147">
        <v>4200</v>
      </c>
      <c r="B147">
        <v>0</v>
      </c>
      <c r="C147">
        <v>4200</v>
      </c>
      <c r="D147">
        <v>2730</v>
      </c>
      <c r="E147">
        <v>1470</v>
      </c>
      <c r="F147" s="12">
        <v>0.35</v>
      </c>
      <c r="G147">
        <v>2025</v>
      </c>
      <c r="H147">
        <v>7</v>
      </c>
      <c r="I147" t="s">
        <v>2840</v>
      </c>
      <c r="J147" t="s">
        <v>2841</v>
      </c>
      <c r="K147" t="s">
        <v>2842</v>
      </c>
      <c r="L147" t="s">
        <v>2843</v>
      </c>
      <c r="M147" t="s">
        <v>2837</v>
      </c>
      <c r="N147" t="s">
        <v>2857</v>
      </c>
    </row>
    <row r="148" spans="1:14">
      <c r="A148">
        <v>95</v>
      </c>
      <c r="B148">
        <v>0</v>
      </c>
      <c r="C148">
        <v>95</v>
      </c>
      <c r="D148">
        <v>70.3</v>
      </c>
      <c r="E148">
        <v>24.700000000000003</v>
      </c>
      <c r="F148" s="12">
        <v>0.26</v>
      </c>
      <c r="G148">
        <v>2025</v>
      </c>
      <c r="H148">
        <v>5</v>
      </c>
      <c r="I148" t="s">
        <v>2845</v>
      </c>
      <c r="J148" t="s">
        <v>2846</v>
      </c>
      <c r="K148" t="s">
        <v>2852</v>
      </c>
      <c r="L148" t="s">
        <v>2843</v>
      </c>
      <c r="M148" t="s">
        <v>2837</v>
      </c>
      <c r="N148" t="s">
        <v>2844</v>
      </c>
    </row>
    <row r="149" spans="1:14">
      <c r="A149">
        <v>1750</v>
      </c>
      <c r="B149">
        <v>0</v>
      </c>
      <c r="C149">
        <v>1750</v>
      </c>
      <c r="D149">
        <v>1067.5</v>
      </c>
      <c r="E149">
        <v>682.5</v>
      </c>
      <c r="F149" s="12">
        <v>0.39</v>
      </c>
      <c r="G149">
        <v>2025</v>
      </c>
      <c r="H149">
        <v>11</v>
      </c>
      <c r="I149" t="s">
        <v>2862</v>
      </c>
      <c r="J149" t="s">
        <v>2855</v>
      </c>
      <c r="K149" t="s">
        <v>2842</v>
      </c>
      <c r="L149" t="s">
        <v>2848</v>
      </c>
      <c r="M149" t="s">
        <v>2838</v>
      </c>
      <c r="N149" t="s">
        <v>2857</v>
      </c>
    </row>
    <row r="150" spans="1:14">
      <c r="A150">
        <v>240</v>
      </c>
      <c r="B150">
        <v>19.2</v>
      </c>
      <c r="C150">
        <v>220.8</v>
      </c>
      <c r="D150">
        <v>177.6</v>
      </c>
      <c r="E150">
        <v>43.200000000000017</v>
      </c>
      <c r="F150" s="12">
        <v>0.19565217391304354</v>
      </c>
      <c r="G150">
        <v>2025</v>
      </c>
      <c r="H150">
        <v>2</v>
      </c>
      <c r="I150" t="s">
        <v>2861</v>
      </c>
      <c r="J150" t="s">
        <v>2851</v>
      </c>
      <c r="K150" t="s">
        <v>2842</v>
      </c>
      <c r="L150" t="s">
        <v>2856</v>
      </c>
      <c r="M150" t="s">
        <v>2839</v>
      </c>
      <c r="N150" t="s">
        <v>2844</v>
      </c>
    </row>
    <row r="151" spans="1:14">
      <c r="A151">
        <v>520</v>
      </c>
      <c r="B151">
        <v>26</v>
      </c>
      <c r="C151">
        <v>494</v>
      </c>
      <c r="D151">
        <v>348.4</v>
      </c>
      <c r="E151">
        <v>145.60000000000002</v>
      </c>
      <c r="F151" s="12">
        <v>0.29473684210526319</v>
      </c>
      <c r="G151">
        <v>2025</v>
      </c>
      <c r="H151">
        <v>4</v>
      </c>
      <c r="I151" t="s">
        <v>2865</v>
      </c>
      <c r="J151" t="s">
        <v>2846</v>
      </c>
      <c r="K151" t="s">
        <v>2860</v>
      </c>
      <c r="L151" t="s">
        <v>2843</v>
      </c>
      <c r="M151" t="s">
        <v>2837</v>
      </c>
      <c r="N151" t="s">
        <v>2844</v>
      </c>
    </row>
    <row r="152" spans="1:14">
      <c r="A152">
        <v>120</v>
      </c>
      <c r="B152">
        <v>2.4</v>
      </c>
      <c r="C152">
        <v>117.6</v>
      </c>
      <c r="D152">
        <v>73.2</v>
      </c>
      <c r="E152">
        <v>44.399999999999991</v>
      </c>
      <c r="F152" s="12">
        <v>0.37755102040816318</v>
      </c>
      <c r="G152">
        <v>2025</v>
      </c>
      <c r="H152">
        <v>12</v>
      </c>
      <c r="I152" t="s">
        <v>2858</v>
      </c>
      <c r="J152" t="s">
        <v>2855</v>
      </c>
      <c r="K152" t="s">
        <v>2842</v>
      </c>
      <c r="L152" t="s">
        <v>2848</v>
      </c>
      <c r="M152" t="s">
        <v>2838</v>
      </c>
      <c r="N152" t="s">
        <v>2844</v>
      </c>
    </row>
    <row r="153" spans="1:14">
      <c r="A153">
        <v>65</v>
      </c>
      <c r="B153">
        <v>1.3</v>
      </c>
      <c r="C153">
        <v>63.7</v>
      </c>
      <c r="D153">
        <v>47.45</v>
      </c>
      <c r="E153">
        <v>16.25</v>
      </c>
      <c r="F153" s="12">
        <v>0.25510204081632654</v>
      </c>
      <c r="G153">
        <v>2025</v>
      </c>
      <c r="H153">
        <v>5</v>
      </c>
      <c r="I153" t="s">
        <v>2845</v>
      </c>
      <c r="J153" t="s">
        <v>2846</v>
      </c>
      <c r="K153" t="s">
        <v>2860</v>
      </c>
      <c r="L153" t="s">
        <v>2848</v>
      </c>
      <c r="M153" t="s">
        <v>2838</v>
      </c>
      <c r="N153" t="s">
        <v>2844</v>
      </c>
    </row>
    <row r="154" spans="1:14">
      <c r="A154">
        <v>65</v>
      </c>
      <c r="B154">
        <v>0</v>
      </c>
      <c r="C154">
        <v>65</v>
      </c>
      <c r="D154">
        <v>47.45</v>
      </c>
      <c r="E154">
        <v>17.549999999999997</v>
      </c>
      <c r="F154" s="12">
        <v>0.26999999999999996</v>
      </c>
      <c r="G154">
        <v>2025</v>
      </c>
      <c r="H154">
        <v>12</v>
      </c>
      <c r="I154" t="s">
        <v>2858</v>
      </c>
      <c r="J154" t="s">
        <v>2855</v>
      </c>
      <c r="K154" t="s">
        <v>2847</v>
      </c>
      <c r="L154" t="s">
        <v>2856</v>
      </c>
      <c r="M154" t="s">
        <v>2839</v>
      </c>
      <c r="N154" t="s">
        <v>2844</v>
      </c>
    </row>
    <row r="155" spans="1:14">
      <c r="A155">
        <v>1040</v>
      </c>
      <c r="B155">
        <v>83.2</v>
      </c>
      <c r="C155">
        <v>956.8</v>
      </c>
      <c r="D155">
        <v>696.8</v>
      </c>
      <c r="E155">
        <v>260</v>
      </c>
      <c r="F155" s="12">
        <v>0.27173913043478259</v>
      </c>
      <c r="G155">
        <v>2025</v>
      </c>
      <c r="H155">
        <v>10</v>
      </c>
      <c r="I155" t="s">
        <v>2854</v>
      </c>
      <c r="J155" t="s">
        <v>2855</v>
      </c>
      <c r="K155" t="s">
        <v>2847</v>
      </c>
      <c r="L155" t="s">
        <v>2848</v>
      </c>
      <c r="M155" t="s">
        <v>2839</v>
      </c>
      <c r="N155" t="s">
        <v>2849</v>
      </c>
    </row>
    <row r="156" spans="1:14">
      <c r="A156">
        <v>440</v>
      </c>
      <c r="B156">
        <v>0</v>
      </c>
      <c r="C156">
        <v>440</v>
      </c>
      <c r="D156">
        <v>290.39999999999998</v>
      </c>
      <c r="E156">
        <v>149.60000000000002</v>
      </c>
      <c r="F156" s="12">
        <v>0.34</v>
      </c>
      <c r="G156">
        <v>2025</v>
      </c>
      <c r="H156">
        <v>2</v>
      </c>
      <c r="I156" t="s">
        <v>2861</v>
      </c>
      <c r="J156" t="s">
        <v>2851</v>
      </c>
      <c r="K156" t="s">
        <v>2842</v>
      </c>
      <c r="L156" t="s">
        <v>2856</v>
      </c>
      <c r="M156" t="s">
        <v>2839</v>
      </c>
      <c r="N156" t="s">
        <v>2844</v>
      </c>
    </row>
    <row r="157" spans="1:14">
      <c r="A157">
        <v>70</v>
      </c>
      <c r="B157">
        <v>3.5</v>
      </c>
      <c r="C157">
        <v>66.5</v>
      </c>
      <c r="D157">
        <v>48.3</v>
      </c>
      <c r="E157">
        <v>18.200000000000003</v>
      </c>
      <c r="F157" s="12">
        <v>0.27368421052631581</v>
      </c>
      <c r="G157">
        <v>2025</v>
      </c>
      <c r="H157">
        <v>6</v>
      </c>
      <c r="I157" t="s">
        <v>2864</v>
      </c>
      <c r="J157" t="s">
        <v>2846</v>
      </c>
      <c r="K157" t="s">
        <v>2852</v>
      </c>
      <c r="L157" t="s">
        <v>2856</v>
      </c>
      <c r="M157" t="s">
        <v>2839</v>
      </c>
      <c r="N157" t="s">
        <v>2844</v>
      </c>
    </row>
    <row r="158" spans="1:14">
      <c r="A158">
        <v>95</v>
      </c>
      <c r="B158">
        <v>0</v>
      </c>
      <c r="C158">
        <v>95</v>
      </c>
      <c r="D158">
        <v>70.3</v>
      </c>
      <c r="E158">
        <v>24.700000000000003</v>
      </c>
      <c r="F158" s="12">
        <v>0.26</v>
      </c>
      <c r="G158">
        <v>2025</v>
      </c>
      <c r="H158">
        <v>8</v>
      </c>
      <c r="I158" t="s">
        <v>2863</v>
      </c>
      <c r="J158" t="s">
        <v>2841</v>
      </c>
      <c r="K158" t="s">
        <v>2852</v>
      </c>
      <c r="L158" t="s">
        <v>2856</v>
      </c>
      <c r="M158" t="s">
        <v>2839</v>
      </c>
      <c r="N158" t="s">
        <v>2844</v>
      </c>
    </row>
    <row r="159" spans="1:14">
      <c r="A159">
        <v>22</v>
      </c>
      <c r="B159">
        <v>1.76</v>
      </c>
      <c r="C159">
        <v>20.239999999999998</v>
      </c>
      <c r="D159">
        <v>14.96</v>
      </c>
      <c r="E159">
        <v>5.2799999999999976</v>
      </c>
      <c r="F159" s="12">
        <v>0.26086956521739119</v>
      </c>
      <c r="G159">
        <v>2025</v>
      </c>
      <c r="H159">
        <v>8</v>
      </c>
      <c r="I159" t="s">
        <v>2863</v>
      </c>
      <c r="J159" t="s">
        <v>2841</v>
      </c>
      <c r="K159" t="s">
        <v>2860</v>
      </c>
      <c r="L159" t="s">
        <v>2843</v>
      </c>
      <c r="M159" t="s">
        <v>2837</v>
      </c>
      <c r="N159" t="s">
        <v>2844</v>
      </c>
    </row>
    <row r="160" spans="1:14">
      <c r="A160">
        <v>570</v>
      </c>
      <c r="B160">
        <v>0</v>
      </c>
      <c r="C160">
        <v>570</v>
      </c>
      <c r="D160">
        <v>444.59999999999997</v>
      </c>
      <c r="E160">
        <v>125.40000000000003</v>
      </c>
      <c r="F160" s="12">
        <v>0.22000000000000006</v>
      </c>
      <c r="G160">
        <v>2025</v>
      </c>
      <c r="H160">
        <v>10</v>
      </c>
      <c r="I160" t="s">
        <v>2854</v>
      </c>
      <c r="J160" t="s">
        <v>2855</v>
      </c>
      <c r="K160" t="s">
        <v>2852</v>
      </c>
      <c r="L160" t="s">
        <v>2848</v>
      </c>
      <c r="M160" t="s">
        <v>2838</v>
      </c>
      <c r="N160" t="s">
        <v>2849</v>
      </c>
    </row>
    <row r="161" spans="1:14">
      <c r="A161">
        <v>700</v>
      </c>
      <c r="B161">
        <v>35</v>
      </c>
      <c r="C161">
        <v>665</v>
      </c>
      <c r="D161">
        <v>427</v>
      </c>
      <c r="E161">
        <v>238</v>
      </c>
      <c r="F161" s="12">
        <v>0.35789473684210527</v>
      </c>
      <c r="G161">
        <v>2025</v>
      </c>
      <c r="H161">
        <v>3</v>
      </c>
      <c r="I161" t="s">
        <v>2859</v>
      </c>
      <c r="J161" t="s">
        <v>2851</v>
      </c>
      <c r="K161" t="s">
        <v>2847</v>
      </c>
      <c r="L161" t="s">
        <v>2843</v>
      </c>
      <c r="M161" t="s">
        <v>2837</v>
      </c>
      <c r="N161" t="s">
        <v>2849</v>
      </c>
    </row>
    <row r="162" spans="1:14">
      <c r="A162">
        <v>440</v>
      </c>
      <c r="B162">
        <v>0</v>
      </c>
      <c r="C162">
        <v>440</v>
      </c>
      <c r="D162">
        <v>290.39999999999998</v>
      </c>
      <c r="E162">
        <v>149.60000000000002</v>
      </c>
      <c r="F162" s="12">
        <v>0.34</v>
      </c>
      <c r="G162">
        <v>2025</v>
      </c>
      <c r="H162">
        <v>6</v>
      </c>
      <c r="I162" t="s">
        <v>2864</v>
      </c>
      <c r="J162" t="s">
        <v>2846</v>
      </c>
      <c r="K162" t="s">
        <v>2860</v>
      </c>
      <c r="L162" t="s">
        <v>2856</v>
      </c>
      <c r="M162" t="s">
        <v>2839</v>
      </c>
      <c r="N162" t="s">
        <v>2844</v>
      </c>
    </row>
    <row r="163" spans="1:14">
      <c r="A163">
        <v>350</v>
      </c>
      <c r="B163">
        <v>0</v>
      </c>
      <c r="C163">
        <v>350</v>
      </c>
      <c r="D163">
        <v>213.5</v>
      </c>
      <c r="E163">
        <v>136.5</v>
      </c>
      <c r="F163" s="12">
        <v>0.39</v>
      </c>
      <c r="G163">
        <v>2025</v>
      </c>
      <c r="H163">
        <v>11</v>
      </c>
      <c r="I163" t="s">
        <v>2862</v>
      </c>
      <c r="J163" t="s">
        <v>2855</v>
      </c>
      <c r="K163" t="s">
        <v>2860</v>
      </c>
      <c r="L163" t="s">
        <v>2848</v>
      </c>
      <c r="M163" t="s">
        <v>2838</v>
      </c>
      <c r="N163" t="s">
        <v>2844</v>
      </c>
    </row>
    <row r="164" spans="1:14">
      <c r="A164">
        <v>65</v>
      </c>
      <c r="B164">
        <v>0</v>
      </c>
      <c r="C164">
        <v>65</v>
      </c>
      <c r="D164">
        <v>47.45</v>
      </c>
      <c r="E164">
        <v>17.549999999999997</v>
      </c>
      <c r="F164" s="12">
        <v>0.26999999999999996</v>
      </c>
      <c r="G164">
        <v>2025</v>
      </c>
      <c r="H164">
        <v>1</v>
      </c>
      <c r="I164" t="s">
        <v>2850</v>
      </c>
      <c r="J164" t="s">
        <v>2851</v>
      </c>
      <c r="K164" t="s">
        <v>2852</v>
      </c>
      <c r="L164" t="s">
        <v>2848</v>
      </c>
      <c r="M164" t="s">
        <v>2838</v>
      </c>
      <c r="N164" t="s">
        <v>2844</v>
      </c>
    </row>
    <row r="165" spans="1:14">
      <c r="A165">
        <v>870</v>
      </c>
      <c r="B165">
        <v>0</v>
      </c>
      <c r="C165">
        <v>870</v>
      </c>
      <c r="D165">
        <v>582.90000000000009</v>
      </c>
      <c r="E165">
        <v>287.09999999999991</v>
      </c>
      <c r="F165" s="12">
        <v>0.3299999999999999</v>
      </c>
      <c r="G165">
        <v>2025</v>
      </c>
      <c r="H165">
        <v>5</v>
      </c>
      <c r="I165" t="s">
        <v>2845</v>
      </c>
      <c r="J165" t="s">
        <v>2846</v>
      </c>
      <c r="K165" t="s">
        <v>2852</v>
      </c>
      <c r="L165" t="s">
        <v>2848</v>
      </c>
      <c r="M165" t="s">
        <v>2838</v>
      </c>
      <c r="N165" t="s">
        <v>2849</v>
      </c>
    </row>
    <row r="166" spans="1:14">
      <c r="A166">
        <v>180</v>
      </c>
      <c r="B166">
        <v>0</v>
      </c>
      <c r="C166">
        <v>180</v>
      </c>
      <c r="D166">
        <v>129.6</v>
      </c>
      <c r="E166">
        <v>50.400000000000006</v>
      </c>
      <c r="F166" s="12">
        <v>0.28000000000000003</v>
      </c>
      <c r="G166">
        <v>2025</v>
      </c>
      <c r="H166">
        <v>2</v>
      </c>
      <c r="I166" t="s">
        <v>2861</v>
      </c>
      <c r="J166" t="s">
        <v>2851</v>
      </c>
      <c r="K166" t="s">
        <v>2860</v>
      </c>
      <c r="L166" t="s">
        <v>2843</v>
      </c>
      <c r="M166" t="s">
        <v>2837</v>
      </c>
      <c r="N166" t="s">
        <v>2844</v>
      </c>
    </row>
    <row r="167" spans="1:14">
      <c r="A167">
        <v>180</v>
      </c>
      <c r="B167">
        <v>3.6</v>
      </c>
      <c r="C167">
        <v>176.4</v>
      </c>
      <c r="D167">
        <v>129.6</v>
      </c>
      <c r="E167">
        <v>46.800000000000011</v>
      </c>
      <c r="F167" s="12">
        <v>0.26530612244897966</v>
      </c>
      <c r="G167">
        <v>2025</v>
      </c>
      <c r="H167">
        <v>5</v>
      </c>
      <c r="I167" t="s">
        <v>2845</v>
      </c>
      <c r="J167" t="s">
        <v>2846</v>
      </c>
      <c r="K167" t="s">
        <v>2842</v>
      </c>
      <c r="L167" t="s">
        <v>2856</v>
      </c>
      <c r="M167" t="s">
        <v>2839</v>
      </c>
      <c r="N167" t="s">
        <v>2844</v>
      </c>
    </row>
    <row r="168" spans="1:14">
      <c r="A168">
        <v>4800</v>
      </c>
      <c r="B168">
        <v>0</v>
      </c>
      <c r="C168">
        <v>4800</v>
      </c>
      <c r="D168">
        <v>3552</v>
      </c>
      <c r="E168">
        <v>1248</v>
      </c>
      <c r="F168" s="12">
        <v>0.26</v>
      </c>
      <c r="G168">
        <v>2025</v>
      </c>
      <c r="H168">
        <v>8</v>
      </c>
      <c r="I168" t="s">
        <v>2863</v>
      </c>
      <c r="J168" t="s">
        <v>2841</v>
      </c>
      <c r="K168" t="s">
        <v>2842</v>
      </c>
      <c r="L168" t="s">
        <v>2856</v>
      </c>
      <c r="M168" t="s">
        <v>2837</v>
      </c>
      <c r="N168" t="s">
        <v>2857</v>
      </c>
    </row>
    <row r="169" spans="1:14">
      <c r="A169">
        <v>325</v>
      </c>
      <c r="B169">
        <v>32.5</v>
      </c>
      <c r="C169">
        <v>292.5</v>
      </c>
      <c r="D169">
        <v>237.25</v>
      </c>
      <c r="E169">
        <v>55.25</v>
      </c>
      <c r="F169" s="12">
        <v>0.18888888888888888</v>
      </c>
      <c r="G169">
        <v>2025</v>
      </c>
      <c r="H169">
        <v>5</v>
      </c>
      <c r="I169" t="s">
        <v>2845</v>
      </c>
      <c r="J169" t="s">
        <v>2846</v>
      </c>
      <c r="K169" t="s">
        <v>2842</v>
      </c>
      <c r="L169" t="s">
        <v>2848</v>
      </c>
      <c r="M169" t="s">
        <v>2838</v>
      </c>
      <c r="N169" t="s">
        <v>2844</v>
      </c>
    </row>
    <row r="170" spans="1:14">
      <c r="A170">
        <v>1040</v>
      </c>
      <c r="B170">
        <v>52</v>
      </c>
      <c r="C170">
        <v>988</v>
      </c>
      <c r="D170">
        <v>696.8</v>
      </c>
      <c r="E170">
        <v>291.20000000000005</v>
      </c>
      <c r="F170" s="12">
        <v>0.29473684210526319</v>
      </c>
      <c r="G170">
        <v>2025</v>
      </c>
      <c r="H170">
        <v>9</v>
      </c>
      <c r="I170" t="s">
        <v>2853</v>
      </c>
      <c r="J170" t="s">
        <v>2841</v>
      </c>
      <c r="K170" t="s">
        <v>2852</v>
      </c>
      <c r="L170" t="s">
        <v>2856</v>
      </c>
      <c r="M170" t="s">
        <v>2837</v>
      </c>
      <c r="N170" t="s">
        <v>2849</v>
      </c>
    </row>
    <row r="171" spans="1:14">
      <c r="A171">
        <v>260</v>
      </c>
      <c r="B171">
        <v>20.8</v>
      </c>
      <c r="C171">
        <v>239.2</v>
      </c>
      <c r="D171">
        <v>189.8</v>
      </c>
      <c r="E171">
        <v>49.399999999999977</v>
      </c>
      <c r="F171" s="12">
        <v>0.2065217391304347</v>
      </c>
      <c r="G171">
        <v>2025</v>
      </c>
      <c r="H171">
        <v>10</v>
      </c>
      <c r="I171" t="s">
        <v>2854</v>
      </c>
      <c r="J171" t="s">
        <v>2855</v>
      </c>
      <c r="K171" t="s">
        <v>2842</v>
      </c>
      <c r="L171" t="s">
        <v>2843</v>
      </c>
      <c r="M171" t="s">
        <v>2837</v>
      </c>
      <c r="N171" t="s">
        <v>2844</v>
      </c>
    </row>
    <row r="172" spans="1:14">
      <c r="A172">
        <v>4200</v>
      </c>
      <c r="B172">
        <v>0</v>
      </c>
      <c r="C172">
        <v>4200</v>
      </c>
      <c r="D172">
        <v>2730</v>
      </c>
      <c r="E172">
        <v>1470</v>
      </c>
      <c r="F172" s="12">
        <v>0.35</v>
      </c>
      <c r="G172">
        <v>2025</v>
      </c>
      <c r="H172">
        <v>9</v>
      </c>
      <c r="I172" t="s">
        <v>2853</v>
      </c>
      <c r="J172" t="s">
        <v>2841</v>
      </c>
      <c r="K172" t="s">
        <v>2860</v>
      </c>
      <c r="L172" t="s">
        <v>2843</v>
      </c>
      <c r="M172" t="s">
        <v>2837</v>
      </c>
      <c r="N172" t="s">
        <v>2857</v>
      </c>
    </row>
    <row r="173" spans="1:14">
      <c r="A173">
        <v>110</v>
      </c>
      <c r="B173">
        <v>0</v>
      </c>
      <c r="C173">
        <v>110</v>
      </c>
      <c r="D173">
        <v>72.599999999999994</v>
      </c>
      <c r="E173">
        <v>37.400000000000006</v>
      </c>
      <c r="F173" s="12">
        <v>0.34</v>
      </c>
      <c r="G173">
        <v>2025</v>
      </c>
      <c r="H173">
        <v>5</v>
      </c>
      <c r="I173" t="s">
        <v>2845</v>
      </c>
      <c r="J173" t="s">
        <v>2846</v>
      </c>
      <c r="K173" t="s">
        <v>2847</v>
      </c>
      <c r="L173" t="s">
        <v>2848</v>
      </c>
      <c r="M173" t="s">
        <v>2838</v>
      </c>
      <c r="N173" t="s">
        <v>2844</v>
      </c>
    </row>
    <row r="174" spans="1:14">
      <c r="A174">
        <v>48</v>
      </c>
      <c r="B174">
        <v>4.8000000000000007</v>
      </c>
      <c r="C174">
        <v>43.2</v>
      </c>
      <c r="D174">
        <v>37.44</v>
      </c>
      <c r="E174">
        <v>5.7600000000000051</v>
      </c>
      <c r="F174" s="12">
        <v>0.13333333333333344</v>
      </c>
      <c r="G174">
        <v>2025</v>
      </c>
      <c r="H174">
        <v>9</v>
      </c>
      <c r="I174" t="s">
        <v>2853</v>
      </c>
      <c r="J174" t="s">
        <v>2841</v>
      </c>
      <c r="K174" t="s">
        <v>2860</v>
      </c>
      <c r="L174" t="s">
        <v>2843</v>
      </c>
      <c r="M174" t="s">
        <v>2837</v>
      </c>
      <c r="N174" t="s">
        <v>2844</v>
      </c>
    </row>
    <row r="175" spans="1:14">
      <c r="A175">
        <v>1560</v>
      </c>
      <c r="B175">
        <v>0</v>
      </c>
      <c r="C175">
        <v>1560</v>
      </c>
      <c r="D175">
        <v>1045.1999999999998</v>
      </c>
      <c r="E175">
        <v>514.80000000000018</v>
      </c>
      <c r="F175" s="12">
        <v>0.33000000000000013</v>
      </c>
      <c r="G175">
        <v>2025</v>
      </c>
      <c r="H175">
        <v>1</v>
      </c>
      <c r="I175" t="s">
        <v>2850</v>
      </c>
      <c r="J175" t="s">
        <v>2851</v>
      </c>
      <c r="K175" t="s">
        <v>2852</v>
      </c>
      <c r="L175" t="s">
        <v>2848</v>
      </c>
      <c r="M175" t="s">
        <v>2838</v>
      </c>
      <c r="N175" t="s">
        <v>2857</v>
      </c>
    </row>
    <row r="176" spans="1:14">
      <c r="A176">
        <v>780</v>
      </c>
      <c r="B176">
        <v>0</v>
      </c>
      <c r="C176">
        <v>780</v>
      </c>
      <c r="D176">
        <v>569.40000000000009</v>
      </c>
      <c r="E176">
        <v>210.59999999999991</v>
      </c>
      <c r="F176" s="12">
        <v>0.26999999999999991</v>
      </c>
      <c r="G176">
        <v>2025</v>
      </c>
      <c r="H176">
        <v>1</v>
      </c>
      <c r="I176" t="s">
        <v>2850</v>
      </c>
      <c r="J176" t="s">
        <v>2851</v>
      </c>
      <c r="K176" t="s">
        <v>2860</v>
      </c>
      <c r="L176" t="s">
        <v>2856</v>
      </c>
      <c r="M176" t="s">
        <v>2839</v>
      </c>
      <c r="N176" t="s">
        <v>2849</v>
      </c>
    </row>
    <row r="177" spans="1:14">
      <c r="A177">
        <v>1800</v>
      </c>
      <c r="B177">
        <v>90</v>
      </c>
      <c r="C177">
        <v>1710</v>
      </c>
      <c r="D177">
        <v>1296</v>
      </c>
      <c r="E177">
        <v>414</v>
      </c>
      <c r="F177" s="12">
        <v>0.24210526315789474</v>
      </c>
      <c r="G177">
        <v>2025</v>
      </c>
      <c r="H177">
        <v>2</v>
      </c>
      <c r="I177" t="s">
        <v>2861</v>
      </c>
      <c r="J177" t="s">
        <v>2851</v>
      </c>
      <c r="K177" t="s">
        <v>2847</v>
      </c>
      <c r="L177" t="s">
        <v>2848</v>
      </c>
      <c r="M177" t="s">
        <v>2838</v>
      </c>
      <c r="N177" t="s">
        <v>2857</v>
      </c>
    </row>
    <row r="178" spans="1:14">
      <c r="A178">
        <v>380</v>
      </c>
      <c r="B178">
        <v>38</v>
      </c>
      <c r="C178">
        <v>342</v>
      </c>
      <c r="D178">
        <v>281.2</v>
      </c>
      <c r="E178">
        <v>60.800000000000011</v>
      </c>
      <c r="F178" s="12">
        <v>0.17777777777777781</v>
      </c>
      <c r="G178">
        <v>2025</v>
      </c>
      <c r="H178">
        <v>11</v>
      </c>
      <c r="I178" t="s">
        <v>2862</v>
      </c>
      <c r="J178" t="s">
        <v>2855</v>
      </c>
      <c r="K178" t="s">
        <v>2860</v>
      </c>
      <c r="L178" t="s">
        <v>2848</v>
      </c>
      <c r="M178" t="s">
        <v>2839</v>
      </c>
      <c r="N178" t="s">
        <v>2844</v>
      </c>
    </row>
    <row r="179" spans="1:14">
      <c r="A179">
        <v>570</v>
      </c>
      <c r="B179">
        <v>57</v>
      </c>
      <c r="C179">
        <v>513</v>
      </c>
      <c r="D179">
        <v>444.59999999999997</v>
      </c>
      <c r="E179">
        <v>68.400000000000034</v>
      </c>
      <c r="F179" s="12">
        <v>0.13333333333333339</v>
      </c>
      <c r="G179">
        <v>2025</v>
      </c>
      <c r="H179">
        <v>10</v>
      </c>
      <c r="I179" t="s">
        <v>2854</v>
      </c>
      <c r="J179" t="s">
        <v>2855</v>
      </c>
      <c r="K179" t="s">
        <v>2847</v>
      </c>
      <c r="L179" t="s">
        <v>2856</v>
      </c>
      <c r="M179" t="s">
        <v>2839</v>
      </c>
      <c r="N179" t="s">
        <v>2849</v>
      </c>
    </row>
    <row r="180" spans="1:14">
      <c r="A180">
        <v>22</v>
      </c>
      <c r="B180">
        <v>0</v>
      </c>
      <c r="C180">
        <v>22</v>
      </c>
      <c r="D180">
        <v>14.96</v>
      </c>
      <c r="E180">
        <v>7.0399999999999991</v>
      </c>
      <c r="F180" s="12">
        <v>0.31999999999999995</v>
      </c>
      <c r="G180">
        <v>2025</v>
      </c>
      <c r="H180">
        <v>8</v>
      </c>
      <c r="I180" t="s">
        <v>2863</v>
      </c>
      <c r="J180" t="s">
        <v>2841</v>
      </c>
      <c r="K180" t="s">
        <v>2842</v>
      </c>
      <c r="L180" t="s">
        <v>2843</v>
      </c>
      <c r="M180" t="s">
        <v>2837</v>
      </c>
      <c r="N180" t="s">
        <v>2844</v>
      </c>
    </row>
    <row r="181" spans="1:14">
      <c r="A181">
        <v>520</v>
      </c>
      <c r="B181">
        <v>10.4</v>
      </c>
      <c r="C181">
        <v>509.6</v>
      </c>
      <c r="D181">
        <v>379.6</v>
      </c>
      <c r="E181">
        <v>130</v>
      </c>
      <c r="F181" s="12">
        <v>0.25510204081632654</v>
      </c>
      <c r="G181">
        <v>2025</v>
      </c>
      <c r="H181">
        <v>8</v>
      </c>
      <c r="I181" t="s">
        <v>2863</v>
      </c>
      <c r="J181" t="s">
        <v>2841</v>
      </c>
      <c r="K181" t="s">
        <v>2847</v>
      </c>
      <c r="L181" t="s">
        <v>2843</v>
      </c>
      <c r="M181" t="s">
        <v>2837</v>
      </c>
      <c r="N181" t="s">
        <v>2849</v>
      </c>
    </row>
    <row r="182" spans="1:14">
      <c r="A182">
        <v>380</v>
      </c>
      <c r="B182">
        <v>30.400000000000002</v>
      </c>
      <c r="C182">
        <v>349.6</v>
      </c>
      <c r="D182">
        <v>296.39999999999998</v>
      </c>
      <c r="E182">
        <v>53.200000000000045</v>
      </c>
      <c r="F182" s="12">
        <v>0.15217391304347838</v>
      </c>
      <c r="G182">
        <v>2025</v>
      </c>
      <c r="H182">
        <v>10</v>
      </c>
      <c r="I182" t="s">
        <v>2854</v>
      </c>
      <c r="J182" t="s">
        <v>2855</v>
      </c>
      <c r="K182" t="s">
        <v>2847</v>
      </c>
      <c r="L182" t="s">
        <v>2856</v>
      </c>
      <c r="M182" t="s">
        <v>2839</v>
      </c>
      <c r="N182" t="s">
        <v>2844</v>
      </c>
    </row>
    <row r="183" spans="1:14">
      <c r="A183">
        <v>380</v>
      </c>
      <c r="B183">
        <v>30.400000000000002</v>
      </c>
      <c r="C183">
        <v>349.6</v>
      </c>
      <c r="D183">
        <v>281.2</v>
      </c>
      <c r="E183">
        <v>68.400000000000034</v>
      </c>
      <c r="F183" s="12">
        <v>0.19565217391304357</v>
      </c>
      <c r="G183">
        <v>2025</v>
      </c>
      <c r="H183">
        <v>4</v>
      </c>
      <c r="I183" t="s">
        <v>2865</v>
      </c>
      <c r="J183" t="s">
        <v>2846</v>
      </c>
      <c r="K183" t="s">
        <v>2852</v>
      </c>
      <c r="L183" t="s">
        <v>2848</v>
      </c>
      <c r="M183" t="s">
        <v>2838</v>
      </c>
      <c r="N183" t="s">
        <v>2844</v>
      </c>
    </row>
    <row r="184" spans="1:14">
      <c r="A184">
        <v>650</v>
      </c>
      <c r="B184">
        <v>0</v>
      </c>
      <c r="C184">
        <v>650</v>
      </c>
      <c r="D184">
        <v>474.5</v>
      </c>
      <c r="E184">
        <v>175.5</v>
      </c>
      <c r="F184" s="12">
        <v>0.27</v>
      </c>
      <c r="G184">
        <v>2025</v>
      </c>
      <c r="H184">
        <v>11</v>
      </c>
      <c r="I184" t="s">
        <v>2862</v>
      </c>
      <c r="J184" t="s">
        <v>2855</v>
      </c>
      <c r="K184" t="s">
        <v>2860</v>
      </c>
      <c r="L184" t="s">
        <v>2848</v>
      </c>
      <c r="M184" t="s">
        <v>2839</v>
      </c>
      <c r="N184" t="s">
        <v>2849</v>
      </c>
    </row>
    <row r="185" spans="1:14">
      <c r="A185">
        <v>520</v>
      </c>
      <c r="B185">
        <v>0</v>
      </c>
      <c r="C185">
        <v>520</v>
      </c>
      <c r="D185">
        <v>348.4</v>
      </c>
      <c r="E185">
        <v>171.60000000000002</v>
      </c>
      <c r="F185" s="12">
        <v>0.33000000000000007</v>
      </c>
      <c r="G185">
        <v>2025</v>
      </c>
      <c r="H185">
        <v>1</v>
      </c>
      <c r="I185" t="s">
        <v>2850</v>
      </c>
      <c r="J185" t="s">
        <v>2851</v>
      </c>
      <c r="K185" t="s">
        <v>2842</v>
      </c>
      <c r="L185" t="s">
        <v>2843</v>
      </c>
      <c r="M185" t="s">
        <v>2837</v>
      </c>
      <c r="N185" t="s">
        <v>2849</v>
      </c>
    </row>
    <row r="186" spans="1:14">
      <c r="A186">
        <v>22</v>
      </c>
      <c r="B186">
        <v>0</v>
      </c>
      <c r="C186">
        <v>22</v>
      </c>
      <c r="D186">
        <v>14.96</v>
      </c>
      <c r="E186">
        <v>7.0399999999999991</v>
      </c>
      <c r="F186" s="12">
        <v>0.31999999999999995</v>
      </c>
      <c r="G186">
        <v>2025</v>
      </c>
      <c r="H186">
        <v>11</v>
      </c>
      <c r="I186" t="s">
        <v>2862</v>
      </c>
      <c r="J186" t="s">
        <v>2855</v>
      </c>
      <c r="K186" t="s">
        <v>2847</v>
      </c>
      <c r="L186" t="s">
        <v>2843</v>
      </c>
      <c r="M186" t="s">
        <v>2839</v>
      </c>
      <c r="N186" t="s">
        <v>2844</v>
      </c>
    </row>
    <row r="187" spans="1:14">
      <c r="A187">
        <v>3120</v>
      </c>
      <c r="B187">
        <v>62.4</v>
      </c>
      <c r="C187">
        <v>3057.6</v>
      </c>
      <c r="D187">
        <v>1872</v>
      </c>
      <c r="E187">
        <v>1185.5999999999999</v>
      </c>
      <c r="F187" s="12">
        <v>0.38775510204081631</v>
      </c>
      <c r="G187">
        <v>2025</v>
      </c>
      <c r="H187">
        <v>9</v>
      </c>
      <c r="I187" t="s">
        <v>2853</v>
      </c>
      <c r="J187" t="s">
        <v>2841</v>
      </c>
      <c r="K187" t="s">
        <v>2852</v>
      </c>
      <c r="L187" t="s">
        <v>2848</v>
      </c>
      <c r="M187" t="s">
        <v>2838</v>
      </c>
      <c r="N187" t="s">
        <v>2857</v>
      </c>
    </row>
    <row r="188" spans="1:14">
      <c r="A188">
        <v>780</v>
      </c>
      <c r="B188">
        <v>62.4</v>
      </c>
      <c r="C188">
        <v>717.6</v>
      </c>
      <c r="D188">
        <v>569.40000000000009</v>
      </c>
      <c r="E188">
        <v>148.19999999999993</v>
      </c>
      <c r="F188" s="12">
        <v>0.20652173913043467</v>
      </c>
      <c r="G188">
        <v>2025</v>
      </c>
      <c r="H188">
        <v>10</v>
      </c>
      <c r="I188" t="s">
        <v>2854</v>
      </c>
      <c r="J188" t="s">
        <v>2855</v>
      </c>
      <c r="K188" t="s">
        <v>2852</v>
      </c>
      <c r="L188" t="s">
        <v>2856</v>
      </c>
      <c r="M188" t="s">
        <v>2838</v>
      </c>
      <c r="N188" t="s">
        <v>2849</v>
      </c>
    </row>
    <row r="189" spans="1:14">
      <c r="A189">
        <v>1040</v>
      </c>
      <c r="B189">
        <v>104</v>
      </c>
      <c r="C189">
        <v>936</v>
      </c>
      <c r="D189">
        <v>696.8</v>
      </c>
      <c r="E189">
        <v>239.20000000000005</v>
      </c>
      <c r="F189" s="12">
        <v>0.25555555555555559</v>
      </c>
      <c r="G189">
        <v>2025</v>
      </c>
      <c r="H189">
        <v>2</v>
      </c>
      <c r="I189" t="s">
        <v>2861</v>
      </c>
      <c r="J189" t="s">
        <v>2851</v>
      </c>
      <c r="K189" t="s">
        <v>2852</v>
      </c>
      <c r="L189" t="s">
        <v>2848</v>
      </c>
      <c r="M189" t="s">
        <v>2838</v>
      </c>
      <c r="N189" t="s">
        <v>2849</v>
      </c>
    </row>
    <row r="190" spans="1:14">
      <c r="A190">
        <v>120</v>
      </c>
      <c r="B190">
        <v>9.6</v>
      </c>
      <c r="C190">
        <v>110.4</v>
      </c>
      <c r="D190">
        <v>73.2</v>
      </c>
      <c r="E190">
        <v>37.200000000000003</v>
      </c>
      <c r="F190" s="12">
        <v>0.33695652173913043</v>
      </c>
      <c r="G190">
        <v>2025</v>
      </c>
      <c r="H190">
        <v>7</v>
      </c>
      <c r="I190" t="s">
        <v>2840</v>
      </c>
      <c r="J190" t="s">
        <v>2841</v>
      </c>
      <c r="K190" t="s">
        <v>2860</v>
      </c>
      <c r="L190" t="s">
        <v>2848</v>
      </c>
      <c r="M190" t="s">
        <v>2838</v>
      </c>
      <c r="N190" t="s">
        <v>2844</v>
      </c>
    </row>
    <row r="191" spans="1:14">
      <c r="A191">
        <v>520</v>
      </c>
      <c r="B191">
        <v>0</v>
      </c>
      <c r="C191">
        <v>520</v>
      </c>
      <c r="D191">
        <v>348.4</v>
      </c>
      <c r="E191">
        <v>171.60000000000002</v>
      </c>
      <c r="F191" s="12">
        <v>0.33000000000000007</v>
      </c>
      <c r="G191">
        <v>2025</v>
      </c>
      <c r="H191">
        <v>2</v>
      </c>
      <c r="I191" t="s">
        <v>2861</v>
      </c>
      <c r="J191" t="s">
        <v>2851</v>
      </c>
      <c r="K191" t="s">
        <v>2842</v>
      </c>
      <c r="L191" t="s">
        <v>2856</v>
      </c>
      <c r="M191" t="s">
        <v>2839</v>
      </c>
      <c r="N191" t="s">
        <v>2849</v>
      </c>
    </row>
    <row r="192" spans="1:14">
      <c r="A192">
        <v>2600</v>
      </c>
      <c r="B192">
        <v>130</v>
      </c>
      <c r="C192">
        <v>2470</v>
      </c>
      <c r="D192">
        <v>1742</v>
      </c>
      <c r="E192">
        <v>728</v>
      </c>
      <c r="F192" s="12">
        <v>0.29473684210526313</v>
      </c>
      <c r="G192">
        <v>2025</v>
      </c>
      <c r="H192">
        <v>2</v>
      </c>
      <c r="I192" t="s">
        <v>2861</v>
      </c>
      <c r="J192" t="s">
        <v>2851</v>
      </c>
      <c r="K192" t="s">
        <v>2847</v>
      </c>
      <c r="L192" t="s">
        <v>2856</v>
      </c>
      <c r="M192" t="s">
        <v>2837</v>
      </c>
      <c r="N192" t="s">
        <v>2857</v>
      </c>
    </row>
    <row r="193" spans="1:14">
      <c r="A193">
        <v>240</v>
      </c>
      <c r="B193">
        <v>19.2</v>
      </c>
      <c r="C193">
        <v>220.8</v>
      </c>
      <c r="D193">
        <v>177.6</v>
      </c>
      <c r="E193">
        <v>43.200000000000017</v>
      </c>
      <c r="F193" s="12">
        <v>0.19565217391304354</v>
      </c>
      <c r="G193">
        <v>2025</v>
      </c>
      <c r="H193">
        <v>8</v>
      </c>
      <c r="I193" t="s">
        <v>2863</v>
      </c>
      <c r="J193" t="s">
        <v>2841</v>
      </c>
      <c r="K193" t="s">
        <v>2842</v>
      </c>
      <c r="L193" t="s">
        <v>2856</v>
      </c>
      <c r="M193" t="s">
        <v>2839</v>
      </c>
      <c r="N193" t="s">
        <v>2844</v>
      </c>
    </row>
    <row r="194" spans="1:14">
      <c r="A194">
        <v>540</v>
      </c>
      <c r="B194">
        <v>0</v>
      </c>
      <c r="C194">
        <v>540</v>
      </c>
      <c r="D194">
        <v>388.79999999999995</v>
      </c>
      <c r="E194">
        <v>151.20000000000005</v>
      </c>
      <c r="F194" s="12">
        <v>0.28000000000000008</v>
      </c>
      <c r="G194">
        <v>2025</v>
      </c>
      <c r="H194">
        <v>9</v>
      </c>
      <c r="I194" t="s">
        <v>2853</v>
      </c>
      <c r="J194" t="s">
        <v>2841</v>
      </c>
      <c r="K194" t="s">
        <v>2842</v>
      </c>
      <c r="L194" t="s">
        <v>2843</v>
      </c>
      <c r="M194" t="s">
        <v>2839</v>
      </c>
      <c r="N194" t="s">
        <v>2849</v>
      </c>
    </row>
    <row r="195" spans="1:14">
      <c r="A195">
        <v>520</v>
      </c>
      <c r="B195">
        <v>52</v>
      </c>
      <c r="C195">
        <v>468</v>
      </c>
      <c r="D195">
        <v>379.6</v>
      </c>
      <c r="E195">
        <v>88.399999999999977</v>
      </c>
      <c r="F195" s="12">
        <v>0.18888888888888883</v>
      </c>
      <c r="G195">
        <v>2025</v>
      </c>
      <c r="H195">
        <v>7</v>
      </c>
      <c r="I195" t="s">
        <v>2840</v>
      </c>
      <c r="J195" t="s">
        <v>2841</v>
      </c>
      <c r="K195" t="s">
        <v>2842</v>
      </c>
      <c r="L195" t="s">
        <v>2856</v>
      </c>
      <c r="M195" t="s">
        <v>2837</v>
      </c>
      <c r="N195" t="s">
        <v>2844</v>
      </c>
    </row>
    <row r="196" spans="1:14">
      <c r="A196">
        <v>130</v>
      </c>
      <c r="B196">
        <v>0</v>
      </c>
      <c r="C196">
        <v>130</v>
      </c>
      <c r="D196">
        <v>94.9</v>
      </c>
      <c r="E196">
        <v>35.099999999999994</v>
      </c>
      <c r="F196" s="12">
        <v>0.26999999999999996</v>
      </c>
      <c r="G196">
        <v>2025</v>
      </c>
      <c r="H196">
        <v>2</v>
      </c>
      <c r="I196" t="s">
        <v>2861</v>
      </c>
      <c r="J196" t="s">
        <v>2851</v>
      </c>
      <c r="K196" t="s">
        <v>2860</v>
      </c>
      <c r="L196" t="s">
        <v>2848</v>
      </c>
      <c r="M196" t="s">
        <v>2839</v>
      </c>
      <c r="N196" t="s">
        <v>2844</v>
      </c>
    </row>
    <row r="197" spans="1:14">
      <c r="A197">
        <v>720</v>
      </c>
      <c r="B197">
        <v>14.4</v>
      </c>
      <c r="C197">
        <v>705.6</v>
      </c>
      <c r="D197">
        <v>532.79999999999995</v>
      </c>
      <c r="E197">
        <v>172.80000000000007</v>
      </c>
      <c r="F197" s="12">
        <v>0.24489795918367355</v>
      </c>
      <c r="G197">
        <v>2025</v>
      </c>
      <c r="H197">
        <v>9</v>
      </c>
      <c r="I197" t="s">
        <v>2853</v>
      </c>
      <c r="J197" t="s">
        <v>2841</v>
      </c>
      <c r="K197" t="s">
        <v>2852</v>
      </c>
      <c r="L197" t="s">
        <v>2843</v>
      </c>
      <c r="M197" t="s">
        <v>2837</v>
      </c>
      <c r="N197" t="s">
        <v>2849</v>
      </c>
    </row>
    <row r="198" spans="1:14">
      <c r="A198">
        <v>330</v>
      </c>
      <c r="B198">
        <v>6.6000000000000005</v>
      </c>
      <c r="C198">
        <v>323.39999999999998</v>
      </c>
      <c r="D198">
        <v>217.79999999999998</v>
      </c>
      <c r="E198">
        <v>105.6</v>
      </c>
      <c r="F198" s="12">
        <v>0.32653061224489799</v>
      </c>
      <c r="G198">
        <v>2025</v>
      </c>
      <c r="H198">
        <v>9</v>
      </c>
      <c r="I198" t="s">
        <v>2853</v>
      </c>
      <c r="J198" t="s">
        <v>2841</v>
      </c>
      <c r="K198" t="s">
        <v>2860</v>
      </c>
      <c r="L198" t="s">
        <v>2856</v>
      </c>
      <c r="M198" t="s">
        <v>2837</v>
      </c>
      <c r="N198" t="s">
        <v>2844</v>
      </c>
    </row>
    <row r="199" spans="1:14">
      <c r="A199">
        <v>35</v>
      </c>
      <c r="B199">
        <v>3.5</v>
      </c>
      <c r="C199">
        <v>31.5</v>
      </c>
      <c r="D199">
        <v>24.15</v>
      </c>
      <c r="E199">
        <v>7.3500000000000014</v>
      </c>
      <c r="F199" s="12">
        <v>0.23333333333333336</v>
      </c>
      <c r="G199">
        <v>2025</v>
      </c>
      <c r="H199">
        <v>7</v>
      </c>
      <c r="I199" t="s">
        <v>2840</v>
      </c>
      <c r="J199" t="s">
        <v>2841</v>
      </c>
      <c r="K199" t="s">
        <v>2842</v>
      </c>
      <c r="L199" t="s">
        <v>2843</v>
      </c>
      <c r="M199" t="s">
        <v>2837</v>
      </c>
      <c r="N199" t="s">
        <v>2844</v>
      </c>
    </row>
    <row r="200" spans="1:14">
      <c r="A200">
        <v>520</v>
      </c>
      <c r="B200">
        <v>52</v>
      </c>
      <c r="C200">
        <v>468</v>
      </c>
      <c r="D200">
        <v>379.6</v>
      </c>
      <c r="E200">
        <v>88.399999999999977</v>
      </c>
      <c r="F200" s="12">
        <v>0.18888888888888883</v>
      </c>
      <c r="G200">
        <v>2025</v>
      </c>
      <c r="H200">
        <v>6</v>
      </c>
      <c r="I200" t="s">
        <v>2864</v>
      </c>
      <c r="J200" t="s">
        <v>2846</v>
      </c>
      <c r="K200" t="s">
        <v>2852</v>
      </c>
      <c r="L200" t="s">
        <v>2856</v>
      </c>
      <c r="M200" t="s">
        <v>2838</v>
      </c>
      <c r="N200" t="s">
        <v>2844</v>
      </c>
    </row>
    <row r="201" spans="1:14">
      <c r="A201">
        <v>220</v>
      </c>
      <c r="B201">
        <v>17.600000000000001</v>
      </c>
      <c r="C201">
        <v>202.4</v>
      </c>
      <c r="D201">
        <v>145.19999999999999</v>
      </c>
      <c r="E201">
        <v>57.200000000000017</v>
      </c>
      <c r="F201" s="12">
        <v>0.282608695652174</v>
      </c>
      <c r="G201">
        <v>2025</v>
      </c>
      <c r="H201">
        <v>8</v>
      </c>
      <c r="I201" t="s">
        <v>2863</v>
      </c>
      <c r="J201" t="s">
        <v>2841</v>
      </c>
      <c r="K201" t="s">
        <v>2860</v>
      </c>
      <c r="L201" t="s">
        <v>2843</v>
      </c>
      <c r="M201" t="s">
        <v>2837</v>
      </c>
      <c r="N201" t="s">
        <v>2844</v>
      </c>
    </row>
    <row r="202" spans="1:14">
      <c r="A202">
        <v>840</v>
      </c>
      <c r="B202">
        <v>0</v>
      </c>
      <c r="C202">
        <v>840</v>
      </c>
      <c r="D202">
        <v>546</v>
      </c>
      <c r="E202">
        <v>294</v>
      </c>
      <c r="F202" s="12">
        <v>0.35</v>
      </c>
      <c r="G202">
        <v>2025</v>
      </c>
      <c r="H202">
        <v>3</v>
      </c>
      <c r="I202" t="s">
        <v>2859</v>
      </c>
      <c r="J202" t="s">
        <v>2851</v>
      </c>
      <c r="K202" t="s">
        <v>2860</v>
      </c>
      <c r="L202" t="s">
        <v>2843</v>
      </c>
      <c r="M202" t="s">
        <v>2837</v>
      </c>
      <c r="N202" t="s">
        <v>2849</v>
      </c>
    </row>
    <row r="203" spans="1:14">
      <c r="A203">
        <v>1040</v>
      </c>
      <c r="B203">
        <v>83.2</v>
      </c>
      <c r="C203">
        <v>956.8</v>
      </c>
      <c r="D203">
        <v>759.2</v>
      </c>
      <c r="E203">
        <v>197.59999999999991</v>
      </c>
      <c r="F203" s="12">
        <v>0.2065217391304347</v>
      </c>
      <c r="G203">
        <v>2025</v>
      </c>
      <c r="H203">
        <v>3</v>
      </c>
      <c r="I203" t="s">
        <v>2859</v>
      </c>
      <c r="J203" t="s">
        <v>2851</v>
      </c>
      <c r="K203" t="s">
        <v>2860</v>
      </c>
      <c r="L203" t="s">
        <v>2848</v>
      </c>
      <c r="M203" t="s">
        <v>2838</v>
      </c>
      <c r="N203" t="s">
        <v>2849</v>
      </c>
    </row>
    <row r="204" spans="1:14">
      <c r="A204">
        <v>48</v>
      </c>
      <c r="B204">
        <v>3.84</v>
      </c>
      <c r="C204">
        <v>44.16</v>
      </c>
      <c r="D204">
        <v>37.44</v>
      </c>
      <c r="E204">
        <v>6.7199999999999989</v>
      </c>
      <c r="F204" s="12">
        <v>0.15217391304347824</v>
      </c>
      <c r="G204">
        <v>2025</v>
      </c>
      <c r="H204">
        <v>2</v>
      </c>
      <c r="I204" t="s">
        <v>2861</v>
      </c>
      <c r="J204" t="s">
        <v>2851</v>
      </c>
      <c r="K204" t="s">
        <v>2847</v>
      </c>
      <c r="L204" t="s">
        <v>2843</v>
      </c>
      <c r="M204" t="s">
        <v>2837</v>
      </c>
      <c r="N204" t="s">
        <v>2844</v>
      </c>
    </row>
    <row r="205" spans="1:14">
      <c r="A205">
        <v>145</v>
      </c>
      <c r="B205">
        <v>0</v>
      </c>
      <c r="C205">
        <v>145</v>
      </c>
      <c r="D205">
        <v>97.15</v>
      </c>
      <c r="E205">
        <v>47.849999999999994</v>
      </c>
      <c r="F205" s="12">
        <v>0.32999999999999996</v>
      </c>
      <c r="G205">
        <v>2025</v>
      </c>
      <c r="H205">
        <v>1</v>
      </c>
      <c r="I205" t="s">
        <v>2850</v>
      </c>
      <c r="J205" t="s">
        <v>2851</v>
      </c>
      <c r="K205" t="s">
        <v>2860</v>
      </c>
      <c r="L205" t="s">
        <v>2848</v>
      </c>
      <c r="M205" t="s">
        <v>2838</v>
      </c>
      <c r="N205" t="s">
        <v>2844</v>
      </c>
    </row>
    <row r="206" spans="1:14">
      <c r="A206">
        <v>840</v>
      </c>
      <c r="B206">
        <v>16.8</v>
      </c>
      <c r="C206">
        <v>823.2</v>
      </c>
      <c r="D206">
        <v>546</v>
      </c>
      <c r="E206">
        <v>277.20000000000005</v>
      </c>
      <c r="F206" s="12">
        <v>0.33673469387755106</v>
      </c>
      <c r="G206">
        <v>2025</v>
      </c>
      <c r="H206">
        <v>11</v>
      </c>
      <c r="I206" t="s">
        <v>2862</v>
      </c>
      <c r="J206" t="s">
        <v>2855</v>
      </c>
      <c r="K206" t="s">
        <v>2847</v>
      </c>
      <c r="L206" t="s">
        <v>2843</v>
      </c>
      <c r="M206" t="s">
        <v>2837</v>
      </c>
      <c r="N206" t="s">
        <v>2849</v>
      </c>
    </row>
    <row r="207" spans="1:14">
      <c r="A207">
        <v>65</v>
      </c>
      <c r="B207">
        <v>0</v>
      </c>
      <c r="C207">
        <v>65</v>
      </c>
      <c r="D207">
        <v>47.45</v>
      </c>
      <c r="E207">
        <v>17.549999999999997</v>
      </c>
      <c r="F207" s="12">
        <v>0.26999999999999996</v>
      </c>
      <c r="G207">
        <v>2025</v>
      </c>
      <c r="H207">
        <v>2</v>
      </c>
      <c r="I207" t="s">
        <v>2861</v>
      </c>
      <c r="J207" t="s">
        <v>2851</v>
      </c>
      <c r="K207" t="s">
        <v>2847</v>
      </c>
      <c r="L207" t="s">
        <v>2843</v>
      </c>
      <c r="M207" t="s">
        <v>2839</v>
      </c>
      <c r="N207" t="s">
        <v>2844</v>
      </c>
    </row>
    <row r="208" spans="1:14">
      <c r="A208">
        <v>190</v>
      </c>
      <c r="B208">
        <v>0</v>
      </c>
      <c r="C208">
        <v>190</v>
      </c>
      <c r="D208">
        <v>148.19999999999999</v>
      </c>
      <c r="E208">
        <v>41.800000000000011</v>
      </c>
      <c r="F208" s="12">
        <v>0.22000000000000006</v>
      </c>
      <c r="G208">
        <v>2025</v>
      </c>
      <c r="H208">
        <v>2</v>
      </c>
      <c r="I208" t="s">
        <v>2861</v>
      </c>
      <c r="J208" t="s">
        <v>2851</v>
      </c>
      <c r="K208" t="s">
        <v>2842</v>
      </c>
      <c r="L208" t="s">
        <v>2848</v>
      </c>
      <c r="M208" t="s">
        <v>2838</v>
      </c>
      <c r="N208" t="s">
        <v>2844</v>
      </c>
    </row>
    <row r="209" spans="1:14">
      <c r="A209">
        <v>3500</v>
      </c>
      <c r="B209">
        <v>175</v>
      </c>
      <c r="C209">
        <v>3325</v>
      </c>
      <c r="D209">
        <v>2135</v>
      </c>
      <c r="E209">
        <v>1190</v>
      </c>
      <c r="F209" s="12">
        <v>0.35789473684210527</v>
      </c>
      <c r="G209">
        <v>2025</v>
      </c>
      <c r="H209">
        <v>2</v>
      </c>
      <c r="I209" t="s">
        <v>2861</v>
      </c>
      <c r="J209" t="s">
        <v>2851</v>
      </c>
      <c r="K209" t="s">
        <v>2847</v>
      </c>
      <c r="L209" t="s">
        <v>2856</v>
      </c>
      <c r="M209" t="s">
        <v>2839</v>
      </c>
      <c r="N209" t="s">
        <v>2857</v>
      </c>
    </row>
    <row r="210" spans="1:14">
      <c r="A210">
        <v>3500</v>
      </c>
      <c r="B210">
        <v>0</v>
      </c>
      <c r="C210">
        <v>3500</v>
      </c>
      <c r="D210">
        <v>2135</v>
      </c>
      <c r="E210">
        <v>1365</v>
      </c>
      <c r="F210" s="12">
        <v>0.39</v>
      </c>
      <c r="G210">
        <v>2025</v>
      </c>
      <c r="H210">
        <v>2</v>
      </c>
      <c r="I210" t="s">
        <v>2861</v>
      </c>
      <c r="J210" t="s">
        <v>2851</v>
      </c>
      <c r="K210" t="s">
        <v>2860</v>
      </c>
      <c r="L210" t="s">
        <v>2848</v>
      </c>
      <c r="M210" t="s">
        <v>2838</v>
      </c>
      <c r="N210" t="s">
        <v>2857</v>
      </c>
    </row>
    <row r="211" spans="1:14">
      <c r="A211">
        <v>580</v>
      </c>
      <c r="B211">
        <v>0</v>
      </c>
      <c r="C211">
        <v>580</v>
      </c>
      <c r="D211">
        <v>388.6</v>
      </c>
      <c r="E211">
        <v>191.39999999999998</v>
      </c>
      <c r="F211" s="12">
        <v>0.32999999999999996</v>
      </c>
      <c r="G211">
        <v>2025</v>
      </c>
      <c r="H211">
        <v>7</v>
      </c>
      <c r="I211" t="s">
        <v>2840</v>
      </c>
      <c r="J211" t="s">
        <v>2841</v>
      </c>
      <c r="K211" t="s">
        <v>2852</v>
      </c>
      <c r="L211" t="s">
        <v>2843</v>
      </c>
      <c r="M211" t="s">
        <v>2837</v>
      </c>
      <c r="N211" t="s">
        <v>2849</v>
      </c>
    </row>
    <row r="212" spans="1:14">
      <c r="A212">
        <v>520</v>
      </c>
      <c r="B212">
        <v>52</v>
      </c>
      <c r="C212">
        <v>468</v>
      </c>
      <c r="D212">
        <v>348.4</v>
      </c>
      <c r="E212">
        <v>119.60000000000002</v>
      </c>
      <c r="F212" s="12">
        <v>0.25555555555555559</v>
      </c>
      <c r="G212">
        <v>2025</v>
      </c>
      <c r="H212">
        <v>3</v>
      </c>
      <c r="I212" t="s">
        <v>2859</v>
      </c>
      <c r="J212" t="s">
        <v>2851</v>
      </c>
      <c r="K212" t="s">
        <v>2860</v>
      </c>
      <c r="L212" t="s">
        <v>2848</v>
      </c>
      <c r="M212" t="s">
        <v>2839</v>
      </c>
      <c r="N212" t="s">
        <v>2844</v>
      </c>
    </row>
    <row r="213" spans="1:14">
      <c r="A213">
        <v>2900</v>
      </c>
      <c r="B213">
        <v>145</v>
      </c>
      <c r="C213">
        <v>2755</v>
      </c>
      <c r="D213">
        <v>1943</v>
      </c>
      <c r="E213">
        <v>812</v>
      </c>
      <c r="F213" s="12">
        <v>0.29473684210526313</v>
      </c>
      <c r="G213">
        <v>2025</v>
      </c>
      <c r="H213">
        <v>3</v>
      </c>
      <c r="I213" t="s">
        <v>2859</v>
      </c>
      <c r="J213" t="s">
        <v>2851</v>
      </c>
      <c r="K213" t="s">
        <v>2842</v>
      </c>
      <c r="L213" t="s">
        <v>2856</v>
      </c>
      <c r="M213" t="s">
        <v>2839</v>
      </c>
      <c r="N213" t="s">
        <v>2857</v>
      </c>
    </row>
    <row r="214" spans="1:14">
      <c r="A214">
        <v>1200</v>
      </c>
      <c r="B214">
        <v>24</v>
      </c>
      <c r="C214">
        <v>1176</v>
      </c>
      <c r="D214">
        <v>888</v>
      </c>
      <c r="E214">
        <v>288</v>
      </c>
      <c r="F214" s="12">
        <v>0.24489795918367346</v>
      </c>
      <c r="G214">
        <v>2025</v>
      </c>
      <c r="H214">
        <v>11</v>
      </c>
      <c r="I214" t="s">
        <v>2862</v>
      </c>
      <c r="J214" t="s">
        <v>2855</v>
      </c>
      <c r="K214" t="s">
        <v>2847</v>
      </c>
      <c r="L214" t="s">
        <v>2856</v>
      </c>
      <c r="M214" t="s">
        <v>2839</v>
      </c>
      <c r="N214" t="s">
        <v>2857</v>
      </c>
    </row>
    <row r="215" spans="1:14">
      <c r="A215">
        <v>35</v>
      </c>
      <c r="B215">
        <v>0</v>
      </c>
      <c r="C215">
        <v>35</v>
      </c>
      <c r="D215">
        <v>24.15</v>
      </c>
      <c r="E215">
        <v>10.850000000000001</v>
      </c>
      <c r="F215" s="12">
        <v>0.31000000000000005</v>
      </c>
      <c r="G215">
        <v>2025</v>
      </c>
      <c r="H215">
        <v>11</v>
      </c>
      <c r="I215" t="s">
        <v>2862</v>
      </c>
      <c r="J215" t="s">
        <v>2855</v>
      </c>
      <c r="K215" t="s">
        <v>2842</v>
      </c>
      <c r="L215" t="s">
        <v>2856</v>
      </c>
      <c r="M215" t="s">
        <v>2839</v>
      </c>
      <c r="N215" t="s">
        <v>2844</v>
      </c>
    </row>
    <row r="216" spans="1:14">
      <c r="A216">
        <v>520</v>
      </c>
      <c r="B216">
        <v>10.4</v>
      </c>
      <c r="C216">
        <v>509.6</v>
      </c>
      <c r="D216">
        <v>379.6</v>
      </c>
      <c r="E216">
        <v>130</v>
      </c>
      <c r="F216" s="12">
        <v>0.25510204081632654</v>
      </c>
      <c r="G216">
        <v>2025</v>
      </c>
      <c r="H216">
        <v>2</v>
      </c>
      <c r="I216" t="s">
        <v>2861</v>
      </c>
      <c r="J216" t="s">
        <v>2851</v>
      </c>
      <c r="K216" t="s">
        <v>2852</v>
      </c>
      <c r="L216" t="s">
        <v>2848</v>
      </c>
      <c r="M216" t="s">
        <v>2838</v>
      </c>
      <c r="N216" t="s">
        <v>2849</v>
      </c>
    </row>
    <row r="217" spans="1:14">
      <c r="A217">
        <v>380</v>
      </c>
      <c r="B217">
        <v>0</v>
      </c>
      <c r="C217">
        <v>380</v>
      </c>
      <c r="D217">
        <v>296.39999999999998</v>
      </c>
      <c r="E217">
        <v>83.600000000000023</v>
      </c>
      <c r="F217" s="12">
        <v>0.22000000000000006</v>
      </c>
      <c r="G217">
        <v>2025</v>
      </c>
      <c r="H217">
        <v>10</v>
      </c>
      <c r="I217" t="s">
        <v>2854</v>
      </c>
      <c r="J217" t="s">
        <v>2855</v>
      </c>
      <c r="K217" t="s">
        <v>2847</v>
      </c>
      <c r="L217" t="s">
        <v>2856</v>
      </c>
      <c r="M217" t="s">
        <v>2837</v>
      </c>
      <c r="N217" t="s">
        <v>2844</v>
      </c>
    </row>
    <row r="218" spans="1:14">
      <c r="A218">
        <v>700</v>
      </c>
      <c r="B218">
        <v>70</v>
      </c>
      <c r="C218">
        <v>630</v>
      </c>
      <c r="D218">
        <v>427</v>
      </c>
      <c r="E218">
        <v>203</v>
      </c>
      <c r="F218" s="12">
        <v>0.32222222222222224</v>
      </c>
      <c r="G218">
        <v>2025</v>
      </c>
      <c r="H218">
        <v>5</v>
      </c>
      <c r="I218" t="s">
        <v>2845</v>
      </c>
      <c r="J218" t="s">
        <v>2846</v>
      </c>
      <c r="K218" t="s">
        <v>2842</v>
      </c>
      <c r="L218" t="s">
        <v>2856</v>
      </c>
      <c r="M218" t="s">
        <v>2837</v>
      </c>
      <c r="N218" t="s">
        <v>2849</v>
      </c>
    </row>
    <row r="219" spans="1:14">
      <c r="A219">
        <v>480</v>
      </c>
      <c r="B219">
        <v>9.6</v>
      </c>
      <c r="C219">
        <v>470.4</v>
      </c>
      <c r="D219">
        <v>355.2</v>
      </c>
      <c r="E219">
        <v>115.19999999999999</v>
      </c>
      <c r="F219" s="12">
        <v>0.24489795918367346</v>
      </c>
      <c r="G219">
        <v>2025</v>
      </c>
      <c r="H219">
        <v>12</v>
      </c>
      <c r="I219" t="s">
        <v>2858</v>
      </c>
      <c r="J219" t="s">
        <v>2855</v>
      </c>
      <c r="K219" t="s">
        <v>2852</v>
      </c>
      <c r="L219" t="s">
        <v>2856</v>
      </c>
      <c r="M219" t="s">
        <v>2837</v>
      </c>
      <c r="N219" t="s">
        <v>2844</v>
      </c>
    </row>
    <row r="220" spans="1:14">
      <c r="A220">
        <v>350</v>
      </c>
      <c r="B220">
        <v>35</v>
      </c>
      <c r="C220">
        <v>315</v>
      </c>
      <c r="D220">
        <v>213.5</v>
      </c>
      <c r="E220">
        <v>101.5</v>
      </c>
      <c r="F220" s="12">
        <v>0.32222222222222224</v>
      </c>
      <c r="G220">
        <v>2025</v>
      </c>
      <c r="H220">
        <v>10</v>
      </c>
      <c r="I220" t="s">
        <v>2854</v>
      </c>
      <c r="J220" t="s">
        <v>2855</v>
      </c>
      <c r="K220" t="s">
        <v>2860</v>
      </c>
      <c r="L220" t="s">
        <v>2848</v>
      </c>
      <c r="M220" t="s">
        <v>2839</v>
      </c>
      <c r="N220" t="s">
        <v>2844</v>
      </c>
    </row>
    <row r="221" spans="1:14">
      <c r="A221">
        <v>550</v>
      </c>
      <c r="B221">
        <v>44</v>
      </c>
      <c r="C221">
        <v>506</v>
      </c>
      <c r="D221">
        <v>363</v>
      </c>
      <c r="E221">
        <v>143</v>
      </c>
      <c r="F221" s="12">
        <v>0.28260869565217389</v>
      </c>
      <c r="G221">
        <v>2025</v>
      </c>
      <c r="H221">
        <v>7</v>
      </c>
      <c r="I221" t="s">
        <v>2840</v>
      </c>
      <c r="J221" t="s">
        <v>2841</v>
      </c>
      <c r="K221" t="s">
        <v>2842</v>
      </c>
      <c r="L221" t="s">
        <v>2856</v>
      </c>
      <c r="M221" t="s">
        <v>2839</v>
      </c>
      <c r="N221" t="s">
        <v>2849</v>
      </c>
    </row>
    <row r="222" spans="1:14">
      <c r="A222">
        <v>192</v>
      </c>
      <c r="B222">
        <v>3.84</v>
      </c>
      <c r="C222">
        <v>188.16</v>
      </c>
      <c r="D222">
        <v>149.76</v>
      </c>
      <c r="E222">
        <v>38.400000000000006</v>
      </c>
      <c r="F222" s="12">
        <v>0.20408163265306126</v>
      </c>
      <c r="G222">
        <v>2025</v>
      </c>
      <c r="H222">
        <v>4</v>
      </c>
      <c r="I222" t="s">
        <v>2865</v>
      </c>
      <c r="J222" t="s">
        <v>2846</v>
      </c>
      <c r="K222" t="s">
        <v>2847</v>
      </c>
      <c r="L222" t="s">
        <v>2856</v>
      </c>
      <c r="M222" t="s">
        <v>2839</v>
      </c>
      <c r="N222" t="s">
        <v>2844</v>
      </c>
    </row>
    <row r="223" spans="1:14">
      <c r="A223">
        <v>1560</v>
      </c>
      <c r="B223">
        <v>124.8</v>
      </c>
      <c r="C223">
        <v>1435.2</v>
      </c>
      <c r="D223">
        <v>936</v>
      </c>
      <c r="E223">
        <v>499.20000000000005</v>
      </c>
      <c r="F223" s="12">
        <v>0.34782608695652178</v>
      </c>
      <c r="G223">
        <v>2025</v>
      </c>
      <c r="H223">
        <v>11</v>
      </c>
      <c r="I223" t="s">
        <v>2862</v>
      </c>
      <c r="J223" t="s">
        <v>2855</v>
      </c>
      <c r="K223" t="s">
        <v>2847</v>
      </c>
      <c r="L223" t="s">
        <v>2848</v>
      </c>
      <c r="M223" t="s">
        <v>2838</v>
      </c>
      <c r="N223" t="s">
        <v>2857</v>
      </c>
    </row>
    <row r="224" spans="1:14">
      <c r="A224">
        <v>350</v>
      </c>
      <c r="B224">
        <v>0</v>
      </c>
      <c r="C224">
        <v>350</v>
      </c>
      <c r="D224">
        <v>213.5</v>
      </c>
      <c r="E224">
        <v>136.5</v>
      </c>
      <c r="F224" s="12">
        <v>0.39</v>
      </c>
      <c r="G224">
        <v>2025</v>
      </c>
      <c r="H224">
        <v>8</v>
      </c>
      <c r="I224" t="s">
        <v>2863</v>
      </c>
      <c r="J224" t="s">
        <v>2841</v>
      </c>
      <c r="K224" t="s">
        <v>2847</v>
      </c>
      <c r="L224" t="s">
        <v>2848</v>
      </c>
      <c r="M224" t="s">
        <v>2838</v>
      </c>
      <c r="N224" t="s">
        <v>2844</v>
      </c>
    </row>
    <row r="225" spans="1:14">
      <c r="A225">
        <v>3500</v>
      </c>
      <c r="B225">
        <v>0</v>
      </c>
      <c r="C225">
        <v>3500</v>
      </c>
      <c r="D225">
        <v>2135</v>
      </c>
      <c r="E225">
        <v>1365</v>
      </c>
      <c r="F225" s="12">
        <v>0.39</v>
      </c>
      <c r="G225">
        <v>2025</v>
      </c>
      <c r="H225">
        <v>8</v>
      </c>
      <c r="I225" t="s">
        <v>2863</v>
      </c>
      <c r="J225" t="s">
        <v>2841</v>
      </c>
      <c r="K225" t="s">
        <v>2852</v>
      </c>
      <c r="L225" t="s">
        <v>2848</v>
      </c>
      <c r="M225" t="s">
        <v>2838</v>
      </c>
      <c r="N225" t="s">
        <v>2857</v>
      </c>
    </row>
    <row r="226" spans="1:14">
      <c r="A226">
        <v>65</v>
      </c>
      <c r="B226">
        <v>0</v>
      </c>
      <c r="C226">
        <v>65</v>
      </c>
      <c r="D226">
        <v>47.45</v>
      </c>
      <c r="E226">
        <v>17.549999999999997</v>
      </c>
      <c r="F226" s="12">
        <v>0.26999999999999996</v>
      </c>
      <c r="G226">
        <v>2025</v>
      </c>
      <c r="H226">
        <v>11</v>
      </c>
      <c r="I226" t="s">
        <v>2862</v>
      </c>
      <c r="J226" t="s">
        <v>2855</v>
      </c>
      <c r="K226" t="s">
        <v>2852</v>
      </c>
      <c r="L226" t="s">
        <v>2856</v>
      </c>
      <c r="M226" t="s">
        <v>2839</v>
      </c>
      <c r="N226" t="s">
        <v>2844</v>
      </c>
    </row>
    <row r="227" spans="1:14">
      <c r="A227">
        <v>285</v>
      </c>
      <c r="B227">
        <v>22.8</v>
      </c>
      <c r="C227">
        <v>262.2</v>
      </c>
      <c r="D227">
        <v>210.89999999999998</v>
      </c>
      <c r="E227">
        <v>51.300000000000011</v>
      </c>
      <c r="F227" s="12">
        <v>0.19565217391304354</v>
      </c>
      <c r="G227">
        <v>2025</v>
      </c>
      <c r="H227">
        <v>8</v>
      </c>
      <c r="I227" t="s">
        <v>2863</v>
      </c>
      <c r="J227" t="s">
        <v>2841</v>
      </c>
      <c r="K227" t="s">
        <v>2860</v>
      </c>
      <c r="L227" t="s">
        <v>2843</v>
      </c>
      <c r="M227" t="s">
        <v>2837</v>
      </c>
      <c r="N227" t="s">
        <v>2844</v>
      </c>
    </row>
    <row r="228" spans="1:14">
      <c r="A228">
        <v>780</v>
      </c>
      <c r="B228">
        <v>0</v>
      </c>
      <c r="C228">
        <v>780</v>
      </c>
      <c r="D228">
        <v>468</v>
      </c>
      <c r="E228">
        <v>312</v>
      </c>
      <c r="F228" s="12">
        <v>0.4</v>
      </c>
      <c r="G228">
        <v>2025</v>
      </c>
      <c r="H228">
        <v>6</v>
      </c>
      <c r="I228" t="s">
        <v>2864</v>
      </c>
      <c r="J228" t="s">
        <v>2846</v>
      </c>
      <c r="K228" t="s">
        <v>2842</v>
      </c>
      <c r="L228" t="s">
        <v>2848</v>
      </c>
      <c r="M228" t="s">
        <v>2839</v>
      </c>
      <c r="N228" t="s">
        <v>2849</v>
      </c>
    </row>
    <row r="229" spans="1:14">
      <c r="A229">
        <v>570</v>
      </c>
      <c r="B229">
        <v>57</v>
      </c>
      <c r="C229">
        <v>513</v>
      </c>
      <c r="D229">
        <v>444.59999999999997</v>
      </c>
      <c r="E229">
        <v>68.400000000000034</v>
      </c>
      <c r="F229" s="12">
        <v>0.13333333333333339</v>
      </c>
      <c r="G229">
        <v>2025</v>
      </c>
      <c r="H229">
        <v>12</v>
      </c>
      <c r="I229" t="s">
        <v>2858</v>
      </c>
      <c r="J229" t="s">
        <v>2855</v>
      </c>
      <c r="K229" t="s">
        <v>2852</v>
      </c>
      <c r="L229" t="s">
        <v>2848</v>
      </c>
      <c r="M229" t="s">
        <v>2838</v>
      </c>
      <c r="N229" t="s">
        <v>2849</v>
      </c>
    </row>
    <row r="230" spans="1:14">
      <c r="A230">
        <v>15600</v>
      </c>
      <c r="B230">
        <v>1248</v>
      </c>
      <c r="C230">
        <v>14352</v>
      </c>
      <c r="D230">
        <v>9360</v>
      </c>
      <c r="E230">
        <v>4992</v>
      </c>
      <c r="F230" s="12">
        <v>0.34782608695652173</v>
      </c>
      <c r="G230">
        <v>2025</v>
      </c>
      <c r="H230">
        <v>12</v>
      </c>
      <c r="I230" t="s">
        <v>2858</v>
      </c>
      <c r="J230" t="s">
        <v>2855</v>
      </c>
      <c r="K230" t="s">
        <v>2842</v>
      </c>
      <c r="L230" t="s">
        <v>2843</v>
      </c>
      <c r="M230" t="s">
        <v>2837</v>
      </c>
      <c r="N230" t="s">
        <v>2857</v>
      </c>
    </row>
    <row r="231" spans="1:14">
      <c r="A231">
        <v>260</v>
      </c>
      <c r="B231">
        <v>20.8</v>
      </c>
      <c r="C231">
        <v>239.2</v>
      </c>
      <c r="D231">
        <v>189.8</v>
      </c>
      <c r="E231">
        <v>49.399999999999977</v>
      </c>
      <c r="F231" s="12">
        <v>0.2065217391304347</v>
      </c>
      <c r="G231">
        <v>2025</v>
      </c>
      <c r="H231">
        <v>6</v>
      </c>
      <c r="I231" t="s">
        <v>2864</v>
      </c>
      <c r="J231" t="s">
        <v>2846</v>
      </c>
      <c r="K231" t="s">
        <v>2842</v>
      </c>
      <c r="L231" t="s">
        <v>2856</v>
      </c>
      <c r="M231" t="s">
        <v>2838</v>
      </c>
      <c r="N231" t="s">
        <v>2844</v>
      </c>
    </row>
    <row r="232" spans="1:14">
      <c r="A232">
        <v>144</v>
      </c>
      <c r="B232">
        <v>7.2</v>
      </c>
      <c r="C232">
        <v>136.80000000000001</v>
      </c>
      <c r="D232">
        <v>112.32</v>
      </c>
      <c r="E232">
        <v>24.480000000000018</v>
      </c>
      <c r="F232" s="12">
        <v>0.17894736842105274</v>
      </c>
      <c r="G232">
        <v>2025</v>
      </c>
      <c r="H232">
        <v>8</v>
      </c>
      <c r="I232" t="s">
        <v>2863</v>
      </c>
      <c r="J232" t="s">
        <v>2841</v>
      </c>
      <c r="K232" t="s">
        <v>2847</v>
      </c>
      <c r="L232" t="s">
        <v>2848</v>
      </c>
      <c r="M232" t="s">
        <v>2838</v>
      </c>
      <c r="N232" t="s">
        <v>2844</v>
      </c>
    </row>
    <row r="233" spans="1:14">
      <c r="A233">
        <v>195</v>
      </c>
      <c r="B233">
        <v>0</v>
      </c>
      <c r="C233">
        <v>195</v>
      </c>
      <c r="D233">
        <v>142.35000000000002</v>
      </c>
      <c r="E233">
        <v>52.649999999999977</v>
      </c>
      <c r="F233" s="12">
        <v>0.26999999999999991</v>
      </c>
      <c r="G233">
        <v>2025</v>
      </c>
      <c r="H233">
        <v>3</v>
      </c>
      <c r="I233" t="s">
        <v>2859</v>
      </c>
      <c r="J233" t="s">
        <v>2851</v>
      </c>
      <c r="K233" t="s">
        <v>2852</v>
      </c>
      <c r="L233" t="s">
        <v>2856</v>
      </c>
      <c r="M233" t="s">
        <v>2838</v>
      </c>
      <c r="N233" t="s">
        <v>2844</v>
      </c>
    </row>
    <row r="234" spans="1:14">
      <c r="A234">
        <v>120</v>
      </c>
      <c r="B234">
        <v>0</v>
      </c>
      <c r="C234">
        <v>120</v>
      </c>
      <c r="D234">
        <v>73.2</v>
      </c>
      <c r="E234">
        <v>46.8</v>
      </c>
      <c r="F234" s="12">
        <v>0.38999999999999996</v>
      </c>
      <c r="G234">
        <v>2025</v>
      </c>
      <c r="H234">
        <v>7</v>
      </c>
      <c r="I234" t="s">
        <v>2840</v>
      </c>
      <c r="J234" t="s">
        <v>2841</v>
      </c>
      <c r="K234" t="s">
        <v>2842</v>
      </c>
      <c r="L234" t="s">
        <v>2856</v>
      </c>
      <c r="M234" t="s">
        <v>2839</v>
      </c>
      <c r="N234" t="s">
        <v>2844</v>
      </c>
    </row>
    <row r="235" spans="1:14">
      <c r="A235">
        <v>325</v>
      </c>
      <c r="B235">
        <v>6.5</v>
      </c>
      <c r="C235">
        <v>318.5</v>
      </c>
      <c r="D235">
        <v>237.25</v>
      </c>
      <c r="E235">
        <v>81.25</v>
      </c>
      <c r="F235" s="12">
        <v>0.25510204081632654</v>
      </c>
      <c r="G235">
        <v>2025</v>
      </c>
      <c r="H235">
        <v>6</v>
      </c>
      <c r="I235" t="s">
        <v>2864</v>
      </c>
      <c r="J235" t="s">
        <v>2846</v>
      </c>
      <c r="K235" t="s">
        <v>2847</v>
      </c>
      <c r="L235" t="s">
        <v>2843</v>
      </c>
      <c r="M235" t="s">
        <v>2837</v>
      </c>
      <c r="N235" t="s">
        <v>2844</v>
      </c>
    </row>
    <row r="236" spans="1:14">
      <c r="A236">
        <v>144</v>
      </c>
      <c r="B236">
        <v>0</v>
      </c>
      <c r="C236">
        <v>144</v>
      </c>
      <c r="D236">
        <v>112.32</v>
      </c>
      <c r="E236">
        <v>31.680000000000007</v>
      </c>
      <c r="F236" s="12">
        <v>0.22000000000000006</v>
      </c>
      <c r="G236">
        <v>2025</v>
      </c>
      <c r="H236">
        <v>4</v>
      </c>
      <c r="I236" t="s">
        <v>2865</v>
      </c>
      <c r="J236" t="s">
        <v>2846</v>
      </c>
      <c r="K236" t="s">
        <v>2860</v>
      </c>
      <c r="L236" t="s">
        <v>2848</v>
      </c>
      <c r="M236" t="s">
        <v>2838</v>
      </c>
      <c r="N236" t="s">
        <v>2844</v>
      </c>
    </row>
    <row r="237" spans="1:14">
      <c r="A237">
        <v>95</v>
      </c>
      <c r="B237">
        <v>0</v>
      </c>
      <c r="C237">
        <v>95</v>
      </c>
      <c r="D237">
        <v>70.3</v>
      </c>
      <c r="E237">
        <v>24.700000000000003</v>
      </c>
      <c r="F237" s="12">
        <v>0.26</v>
      </c>
      <c r="G237">
        <v>2025</v>
      </c>
      <c r="H237">
        <v>2</v>
      </c>
      <c r="I237" t="s">
        <v>2861</v>
      </c>
      <c r="J237" t="s">
        <v>2851</v>
      </c>
      <c r="K237" t="s">
        <v>2847</v>
      </c>
      <c r="L237" t="s">
        <v>2866</v>
      </c>
      <c r="M237" t="s">
        <v>2838</v>
      </c>
      <c r="N237" t="s">
        <v>2844</v>
      </c>
    </row>
    <row r="238" spans="1:14">
      <c r="A238">
        <v>144</v>
      </c>
      <c r="B238">
        <v>14.4</v>
      </c>
      <c r="C238">
        <v>129.6</v>
      </c>
      <c r="D238">
        <v>112.32</v>
      </c>
      <c r="E238">
        <v>17.28</v>
      </c>
      <c r="F238" s="12">
        <v>0.13333333333333336</v>
      </c>
      <c r="G238">
        <v>2025</v>
      </c>
      <c r="H238">
        <v>1</v>
      </c>
      <c r="I238" t="s">
        <v>2850</v>
      </c>
      <c r="J238" t="s">
        <v>2851</v>
      </c>
      <c r="K238" t="s">
        <v>2860</v>
      </c>
      <c r="L238" t="s">
        <v>2848</v>
      </c>
      <c r="M238" t="s">
        <v>2839</v>
      </c>
      <c r="N238" t="s">
        <v>2844</v>
      </c>
    </row>
    <row r="239" spans="1:14">
      <c r="A239">
        <v>1100</v>
      </c>
      <c r="B239">
        <v>0</v>
      </c>
      <c r="C239">
        <v>1100</v>
      </c>
      <c r="D239">
        <v>726</v>
      </c>
      <c r="E239">
        <v>374</v>
      </c>
      <c r="F239" s="12">
        <v>0.34</v>
      </c>
      <c r="G239">
        <v>2025</v>
      </c>
      <c r="H239">
        <v>8</v>
      </c>
      <c r="I239" t="s">
        <v>2863</v>
      </c>
      <c r="J239" t="s">
        <v>2841</v>
      </c>
      <c r="K239" t="s">
        <v>2842</v>
      </c>
      <c r="L239" t="s">
        <v>2843</v>
      </c>
      <c r="M239" t="s">
        <v>2837</v>
      </c>
      <c r="N239" t="s">
        <v>2857</v>
      </c>
    </row>
    <row r="240" spans="1:14">
      <c r="A240">
        <v>240</v>
      </c>
      <c r="B240">
        <v>0</v>
      </c>
      <c r="C240">
        <v>240</v>
      </c>
      <c r="D240">
        <v>146.4</v>
      </c>
      <c r="E240">
        <v>93.6</v>
      </c>
      <c r="F240" s="12">
        <v>0.38999999999999996</v>
      </c>
      <c r="G240">
        <v>2025</v>
      </c>
      <c r="H240">
        <v>4</v>
      </c>
      <c r="I240" t="s">
        <v>2865</v>
      </c>
      <c r="J240" t="s">
        <v>2846</v>
      </c>
      <c r="K240" t="s">
        <v>2842</v>
      </c>
      <c r="L240" t="s">
        <v>2848</v>
      </c>
      <c r="M240" t="s">
        <v>2838</v>
      </c>
      <c r="N240" t="s">
        <v>2844</v>
      </c>
    </row>
    <row r="241" spans="1:14">
      <c r="A241">
        <v>35</v>
      </c>
      <c r="B241">
        <v>0</v>
      </c>
      <c r="C241">
        <v>35</v>
      </c>
      <c r="D241">
        <v>24.15</v>
      </c>
      <c r="E241">
        <v>10.850000000000001</v>
      </c>
      <c r="F241" s="12">
        <v>0.31000000000000005</v>
      </c>
      <c r="G241">
        <v>2025</v>
      </c>
      <c r="H241">
        <v>8</v>
      </c>
      <c r="I241" t="s">
        <v>2863</v>
      </c>
      <c r="J241" t="s">
        <v>2841</v>
      </c>
      <c r="K241" t="s">
        <v>2852</v>
      </c>
      <c r="L241" t="s">
        <v>2856</v>
      </c>
      <c r="M241" t="s">
        <v>2839</v>
      </c>
      <c r="N241" t="s">
        <v>2844</v>
      </c>
    </row>
    <row r="242" spans="1:14">
      <c r="A242">
        <v>4800</v>
      </c>
      <c r="B242">
        <v>0</v>
      </c>
      <c r="C242">
        <v>4800</v>
      </c>
      <c r="D242">
        <v>3552</v>
      </c>
      <c r="E242">
        <v>1248</v>
      </c>
      <c r="F242" s="12">
        <v>0.26</v>
      </c>
      <c r="G242">
        <v>2025</v>
      </c>
      <c r="H242">
        <v>10</v>
      </c>
      <c r="I242" t="s">
        <v>2854</v>
      </c>
      <c r="J242" t="s">
        <v>2855</v>
      </c>
      <c r="K242" t="s">
        <v>2860</v>
      </c>
      <c r="L242" t="s">
        <v>2848</v>
      </c>
      <c r="M242" t="s">
        <v>2838</v>
      </c>
      <c r="N242" t="s">
        <v>2857</v>
      </c>
    </row>
    <row r="243" spans="1:14">
      <c r="A243">
        <v>700</v>
      </c>
      <c r="B243">
        <v>56</v>
      </c>
      <c r="C243">
        <v>644</v>
      </c>
      <c r="D243">
        <v>427</v>
      </c>
      <c r="E243">
        <v>217</v>
      </c>
      <c r="F243" s="12">
        <v>0.33695652173913043</v>
      </c>
      <c r="G243">
        <v>2025</v>
      </c>
      <c r="H243">
        <v>11</v>
      </c>
      <c r="I243" t="s">
        <v>2862</v>
      </c>
      <c r="J243" t="s">
        <v>2855</v>
      </c>
      <c r="K243" t="s">
        <v>2860</v>
      </c>
      <c r="L243" t="s">
        <v>2843</v>
      </c>
      <c r="M243" t="s">
        <v>2837</v>
      </c>
      <c r="N243" t="s">
        <v>2849</v>
      </c>
    </row>
    <row r="244" spans="1:14">
      <c r="A244">
        <v>760</v>
      </c>
      <c r="B244">
        <v>0</v>
      </c>
      <c r="C244">
        <v>760</v>
      </c>
      <c r="D244">
        <v>592.79999999999995</v>
      </c>
      <c r="E244">
        <v>167.20000000000005</v>
      </c>
      <c r="F244" s="12">
        <v>0.22000000000000006</v>
      </c>
      <c r="G244">
        <v>2025</v>
      </c>
      <c r="H244">
        <v>2</v>
      </c>
      <c r="I244" t="s">
        <v>2861</v>
      </c>
      <c r="J244" t="s">
        <v>2851</v>
      </c>
      <c r="K244" t="s">
        <v>2847</v>
      </c>
      <c r="L244" t="s">
        <v>2848</v>
      </c>
      <c r="M244" t="s">
        <v>2838</v>
      </c>
      <c r="N244" t="s">
        <v>2849</v>
      </c>
    </row>
    <row r="245" spans="1:14">
      <c r="A245">
        <v>22</v>
      </c>
      <c r="B245">
        <v>0</v>
      </c>
      <c r="C245">
        <v>22</v>
      </c>
      <c r="D245">
        <v>14.96</v>
      </c>
      <c r="E245">
        <v>7.0399999999999991</v>
      </c>
      <c r="F245" s="12">
        <v>0.31999999999999995</v>
      </c>
      <c r="G245">
        <v>2025</v>
      </c>
      <c r="H245">
        <v>6</v>
      </c>
      <c r="I245" t="s">
        <v>2864</v>
      </c>
      <c r="J245" t="s">
        <v>2846</v>
      </c>
      <c r="K245" t="s">
        <v>2860</v>
      </c>
      <c r="L245" t="s">
        <v>2856</v>
      </c>
      <c r="M245" t="s">
        <v>2837</v>
      </c>
      <c r="N245" t="s">
        <v>2844</v>
      </c>
    </row>
    <row r="246" spans="1:14">
      <c r="A246">
        <v>380</v>
      </c>
      <c r="B246">
        <v>19</v>
      </c>
      <c r="C246">
        <v>361</v>
      </c>
      <c r="D246">
        <v>296.39999999999998</v>
      </c>
      <c r="E246">
        <v>64.600000000000023</v>
      </c>
      <c r="F246" s="12">
        <v>0.17894736842105269</v>
      </c>
      <c r="G246">
        <v>2025</v>
      </c>
      <c r="H246">
        <v>4</v>
      </c>
      <c r="I246" t="s">
        <v>2865</v>
      </c>
      <c r="J246" t="s">
        <v>2846</v>
      </c>
      <c r="K246" t="s">
        <v>2860</v>
      </c>
      <c r="L246" t="s">
        <v>2848</v>
      </c>
      <c r="M246" t="s">
        <v>2838</v>
      </c>
      <c r="N246" t="s">
        <v>2844</v>
      </c>
    </row>
    <row r="247" spans="1:14">
      <c r="A247">
        <v>132</v>
      </c>
      <c r="B247">
        <v>10.56</v>
      </c>
      <c r="C247">
        <v>121.44</v>
      </c>
      <c r="D247">
        <v>89.76</v>
      </c>
      <c r="E247">
        <v>31.679999999999993</v>
      </c>
      <c r="F247" s="12">
        <v>0.26086956521739124</v>
      </c>
      <c r="G247">
        <v>2025</v>
      </c>
      <c r="H247">
        <v>2</v>
      </c>
      <c r="I247" t="s">
        <v>2861</v>
      </c>
      <c r="J247" t="s">
        <v>2851</v>
      </c>
      <c r="K247" t="s">
        <v>2852</v>
      </c>
      <c r="L247" t="s">
        <v>2856</v>
      </c>
      <c r="M247" t="s">
        <v>2839</v>
      </c>
      <c r="N247" t="s">
        <v>2844</v>
      </c>
    </row>
    <row r="248" spans="1:14">
      <c r="A248">
        <v>520</v>
      </c>
      <c r="B248">
        <v>0</v>
      </c>
      <c r="C248">
        <v>520</v>
      </c>
      <c r="D248">
        <v>348.4</v>
      </c>
      <c r="E248">
        <v>171.60000000000002</v>
      </c>
      <c r="F248" s="12">
        <v>0.33000000000000007</v>
      </c>
      <c r="G248">
        <v>2025</v>
      </c>
      <c r="H248">
        <v>11</v>
      </c>
      <c r="I248" t="s">
        <v>2862</v>
      </c>
      <c r="J248" t="s">
        <v>2855</v>
      </c>
      <c r="K248" t="s">
        <v>2847</v>
      </c>
      <c r="L248" t="s">
        <v>2848</v>
      </c>
      <c r="M248" t="s">
        <v>2838</v>
      </c>
      <c r="N248" t="s">
        <v>2849</v>
      </c>
    </row>
    <row r="249" spans="1:14">
      <c r="A249">
        <v>65</v>
      </c>
      <c r="B249">
        <v>5.2</v>
      </c>
      <c r="C249">
        <v>59.8</v>
      </c>
      <c r="D249">
        <v>47.45</v>
      </c>
      <c r="E249">
        <v>12.349999999999994</v>
      </c>
      <c r="F249" s="12">
        <v>0.2065217391304347</v>
      </c>
      <c r="G249">
        <v>2025</v>
      </c>
      <c r="H249">
        <v>11</v>
      </c>
      <c r="I249" t="s">
        <v>2862</v>
      </c>
      <c r="J249" t="s">
        <v>2855</v>
      </c>
      <c r="K249" t="s">
        <v>2842</v>
      </c>
      <c r="L249" t="s">
        <v>2856</v>
      </c>
      <c r="M249" t="s">
        <v>2839</v>
      </c>
      <c r="N249" t="s">
        <v>2844</v>
      </c>
    </row>
    <row r="250" spans="1:14">
      <c r="A250">
        <v>48</v>
      </c>
      <c r="B250">
        <v>0</v>
      </c>
      <c r="C250">
        <v>48</v>
      </c>
      <c r="D250">
        <v>37.44</v>
      </c>
      <c r="E250">
        <v>10.560000000000002</v>
      </c>
      <c r="F250" s="12">
        <v>0.22000000000000006</v>
      </c>
      <c r="G250">
        <v>2025</v>
      </c>
      <c r="H250">
        <v>6</v>
      </c>
      <c r="I250" t="s">
        <v>2864</v>
      </c>
      <c r="J250" t="s">
        <v>2846</v>
      </c>
      <c r="K250" t="s">
        <v>2842</v>
      </c>
      <c r="L250" t="s">
        <v>2856</v>
      </c>
      <c r="M250" t="s">
        <v>2838</v>
      </c>
      <c r="N250" t="s">
        <v>2844</v>
      </c>
    </row>
    <row r="251" spans="1:14">
      <c r="A251">
        <v>240</v>
      </c>
      <c r="B251">
        <v>0</v>
      </c>
      <c r="C251">
        <v>240</v>
      </c>
      <c r="D251">
        <v>146.4</v>
      </c>
      <c r="E251">
        <v>93.6</v>
      </c>
      <c r="F251" s="12">
        <v>0.38999999999999996</v>
      </c>
      <c r="G251">
        <v>2025</v>
      </c>
      <c r="H251">
        <v>9</v>
      </c>
      <c r="I251" t="s">
        <v>2853</v>
      </c>
      <c r="J251" t="s">
        <v>2841</v>
      </c>
      <c r="K251" t="s">
        <v>2842</v>
      </c>
      <c r="L251" t="s">
        <v>2848</v>
      </c>
      <c r="M251" t="s">
        <v>2838</v>
      </c>
      <c r="N251" t="s">
        <v>2844</v>
      </c>
    </row>
    <row r="252" spans="1:14">
      <c r="A252">
        <v>145</v>
      </c>
      <c r="B252">
        <v>11.6</v>
      </c>
      <c r="C252">
        <v>133.4</v>
      </c>
      <c r="D252">
        <v>97.15</v>
      </c>
      <c r="E252">
        <v>36.25</v>
      </c>
      <c r="F252" s="12">
        <v>0.27173913043478259</v>
      </c>
      <c r="G252">
        <v>2025</v>
      </c>
      <c r="H252">
        <v>3</v>
      </c>
      <c r="I252" t="s">
        <v>2859</v>
      </c>
      <c r="J252" t="s">
        <v>2851</v>
      </c>
      <c r="K252" t="s">
        <v>2842</v>
      </c>
      <c r="L252" t="s">
        <v>2856</v>
      </c>
      <c r="M252" t="s">
        <v>2839</v>
      </c>
      <c r="N252" t="s">
        <v>2844</v>
      </c>
    </row>
    <row r="253" spans="1:14">
      <c r="A253">
        <v>435</v>
      </c>
      <c r="B253">
        <v>0</v>
      </c>
      <c r="C253">
        <v>435</v>
      </c>
      <c r="D253">
        <v>291.45000000000005</v>
      </c>
      <c r="E253">
        <v>143.54999999999995</v>
      </c>
      <c r="F253" s="12">
        <v>0.3299999999999999</v>
      </c>
      <c r="G253">
        <v>2025</v>
      </c>
      <c r="H253">
        <v>12</v>
      </c>
      <c r="I253" t="s">
        <v>2858</v>
      </c>
      <c r="J253" t="s">
        <v>2855</v>
      </c>
      <c r="K253" t="s">
        <v>2847</v>
      </c>
      <c r="L253" t="s">
        <v>2848</v>
      </c>
      <c r="M253" t="s">
        <v>2838</v>
      </c>
      <c r="N253" t="s">
        <v>2844</v>
      </c>
    </row>
    <row r="254" spans="1:14">
      <c r="A254">
        <v>950</v>
      </c>
      <c r="B254">
        <v>19</v>
      </c>
      <c r="C254">
        <v>931</v>
      </c>
      <c r="D254">
        <v>703</v>
      </c>
      <c r="E254">
        <v>228</v>
      </c>
      <c r="F254" s="12">
        <v>0.24489795918367346</v>
      </c>
      <c r="G254">
        <v>2025</v>
      </c>
      <c r="H254">
        <v>4</v>
      </c>
      <c r="I254" t="s">
        <v>2865</v>
      </c>
      <c r="J254" t="s">
        <v>2846</v>
      </c>
      <c r="K254" t="s">
        <v>2847</v>
      </c>
      <c r="L254" t="s">
        <v>2848</v>
      </c>
      <c r="M254" t="s">
        <v>2839</v>
      </c>
      <c r="N254" t="s">
        <v>2849</v>
      </c>
    </row>
    <row r="255" spans="1:14">
      <c r="A255">
        <v>66</v>
      </c>
      <c r="B255">
        <v>1.32</v>
      </c>
      <c r="C255">
        <v>64.680000000000007</v>
      </c>
      <c r="D255">
        <v>44.88</v>
      </c>
      <c r="E255">
        <v>19.800000000000004</v>
      </c>
      <c r="F255" s="12">
        <v>0.30612244897959184</v>
      </c>
      <c r="G255">
        <v>2025</v>
      </c>
      <c r="H255">
        <v>2</v>
      </c>
      <c r="I255" t="s">
        <v>2861</v>
      </c>
      <c r="J255" t="s">
        <v>2851</v>
      </c>
      <c r="K255" t="s">
        <v>2860</v>
      </c>
      <c r="L255" t="s">
        <v>2843</v>
      </c>
      <c r="M255" t="s">
        <v>2837</v>
      </c>
      <c r="N255" t="s">
        <v>2844</v>
      </c>
    </row>
    <row r="256" spans="1:14">
      <c r="A256">
        <v>7800</v>
      </c>
      <c r="B256">
        <v>0</v>
      </c>
      <c r="C256">
        <v>7800</v>
      </c>
      <c r="D256">
        <v>4680</v>
      </c>
      <c r="E256">
        <v>3120</v>
      </c>
      <c r="F256" s="12">
        <v>0.4</v>
      </c>
      <c r="G256">
        <v>2025</v>
      </c>
      <c r="H256">
        <v>1</v>
      </c>
      <c r="I256" t="s">
        <v>2850</v>
      </c>
      <c r="J256" t="s">
        <v>2851</v>
      </c>
      <c r="K256" t="s">
        <v>2842</v>
      </c>
      <c r="L256" t="s">
        <v>2866</v>
      </c>
      <c r="M256" t="s">
        <v>2838</v>
      </c>
      <c r="N256" t="s">
        <v>2857</v>
      </c>
    </row>
    <row r="257" spans="1:14">
      <c r="A257">
        <v>180</v>
      </c>
      <c r="B257">
        <v>0</v>
      </c>
      <c r="C257">
        <v>180</v>
      </c>
      <c r="D257">
        <v>129.6</v>
      </c>
      <c r="E257">
        <v>50.400000000000006</v>
      </c>
      <c r="F257" s="12">
        <v>0.28000000000000003</v>
      </c>
      <c r="G257">
        <v>2025</v>
      </c>
      <c r="H257">
        <v>2</v>
      </c>
      <c r="I257" t="s">
        <v>2861</v>
      </c>
      <c r="J257" t="s">
        <v>2851</v>
      </c>
      <c r="K257" t="s">
        <v>2842</v>
      </c>
      <c r="L257" t="s">
        <v>2848</v>
      </c>
      <c r="M257" t="s">
        <v>2838</v>
      </c>
      <c r="N257" t="s">
        <v>2844</v>
      </c>
    </row>
    <row r="258" spans="1:14">
      <c r="A258">
        <v>70</v>
      </c>
      <c r="B258">
        <v>0</v>
      </c>
      <c r="C258">
        <v>70</v>
      </c>
      <c r="D258">
        <v>48.3</v>
      </c>
      <c r="E258">
        <v>21.700000000000003</v>
      </c>
      <c r="F258" s="12">
        <v>0.31000000000000005</v>
      </c>
      <c r="G258">
        <v>2025</v>
      </c>
      <c r="H258">
        <v>12</v>
      </c>
      <c r="I258" t="s">
        <v>2858</v>
      </c>
      <c r="J258" t="s">
        <v>2855</v>
      </c>
      <c r="K258" t="s">
        <v>2860</v>
      </c>
      <c r="L258" t="s">
        <v>2843</v>
      </c>
      <c r="M258" t="s">
        <v>2837</v>
      </c>
      <c r="N258" t="s">
        <v>2844</v>
      </c>
    </row>
    <row r="259" spans="1:14">
      <c r="A259">
        <v>360</v>
      </c>
      <c r="B259">
        <v>0</v>
      </c>
      <c r="C259">
        <v>360</v>
      </c>
      <c r="D259">
        <v>219.60000000000002</v>
      </c>
      <c r="E259">
        <v>140.39999999999998</v>
      </c>
      <c r="F259" s="12">
        <v>0.38999999999999996</v>
      </c>
      <c r="G259">
        <v>2025</v>
      </c>
      <c r="H259">
        <v>8</v>
      </c>
      <c r="I259" t="s">
        <v>2863</v>
      </c>
      <c r="J259" t="s">
        <v>2841</v>
      </c>
      <c r="K259" t="s">
        <v>2842</v>
      </c>
      <c r="L259" t="s">
        <v>2843</v>
      </c>
      <c r="M259" t="s">
        <v>2837</v>
      </c>
      <c r="N259" t="s">
        <v>2844</v>
      </c>
    </row>
    <row r="260" spans="1:14">
      <c r="A260">
        <v>95</v>
      </c>
      <c r="B260">
        <v>0</v>
      </c>
      <c r="C260">
        <v>95</v>
      </c>
      <c r="D260">
        <v>70.3</v>
      </c>
      <c r="E260">
        <v>24.700000000000003</v>
      </c>
      <c r="F260" s="12">
        <v>0.26</v>
      </c>
      <c r="G260">
        <v>2025</v>
      </c>
      <c r="H260">
        <v>4</v>
      </c>
      <c r="I260" t="s">
        <v>2865</v>
      </c>
      <c r="J260" t="s">
        <v>2846</v>
      </c>
      <c r="K260" t="s">
        <v>2852</v>
      </c>
      <c r="L260" t="s">
        <v>2856</v>
      </c>
      <c r="M260" t="s">
        <v>2839</v>
      </c>
      <c r="N260" t="s">
        <v>2844</v>
      </c>
    </row>
    <row r="261" spans="1:14">
      <c r="A261">
        <v>65</v>
      </c>
      <c r="B261">
        <v>0</v>
      </c>
      <c r="C261">
        <v>65</v>
      </c>
      <c r="D261">
        <v>47.45</v>
      </c>
      <c r="E261">
        <v>17.549999999999997</v>
      </c>
      <c r="F261" s="12">
        <v>0.26999999999999996</v>
      </c>
      <c r="G261">
        <v>2025</v>
      </c>
      <c r="H261">
        <v>6</v>
      </c>
      <c r="I261" t="s">
        <v>2864</v>
      </c>
      <c r="J261" t="s">
        <v>2846</v>
      </c>
      <c r="K261" t="s">
        <v>2842</v>
      </c>
      <c r="L261" t="s">
        <v>2866</v>
      </c>
      <c r="M261" t="s">
        <v>2838</v>
      </c>
      <c r="N261" t="s">
        <v>2844</v>
      </c>
    </row>
    <row r="262" spans="1:14">
      <c r="A262">
        <v>65</v>
      </c>
      <c r="B262">
        <v>0</v>
      </c>
      <c r="C262">
        <v>65</v>
      </c>
      <c r="D262">
        <v>47.45</v>
      </c>
      <c r="E262">
        <v>17.549999999999997</v>
      </c>
      <c r="F262" s="12">
        <v>0.26999999999999996</v>
      </c>
      <c r="G262">
        <v>2025</v>
      </c>
      <c r="H262">
        <v>8</v>
      </c>
      <c r="I262" t="s">
        <v>2863</v>
      </c>
      <c r="J262" t="s">
        <v>2841</v>
      </c>
      <c r="K262" t="s">
        <v>2847</v>
      </c>
      <c r="L262" t="s">
        <v>2843</v>
      </c>
      <c r="M262" t="s">
        <v>2837</v>
      </c>
      <c r="N262" t="s">
        <v>2844</v>
      </c>
    </row>
    <row r="263" spans="1:14">
      <c r="A263">
        <v>1900</v>
      </c>
      <c r="B263">
        <v>38</v>
      </c>
      <c r="C263">
        <v>1862</v>
      </c>
      <c r="D263">
        <v>1406</v>
      </c>
      <c r="E263">
        <v>456</v>
      </c>
      <c r="F263" s="12">
        <v>0.24489795918367346</v>
      </c>
      <c r="G263">
        <v>2025</v>
      </c>
      <c r="H263">
        <v>10</v>
      </c>
      <c r="I263" t="s">
        <v>2854</v>
      </c>
      <c r="J263" t="s">
        <v>2855</v>
      </c>
      <c r="K263" t="s">
        <v>2847</v>
      </c>
      <c r="L263" t="s">
        <v>2856</v>
      </c>
      <c r="M263" t="s">
        <v>2839</v>
      </c>
      <c r="N263" t="s">
        <v>2857</v>
      </c>
    </row>
    <row r="264" spans="1:14">
      <c r="A264">
        <v>350</v>
      </c>
      <c r="B264">
        <v>28</v>
      </c>
      <c r="C264">
        <v>322</v>
      </c>
      <c r="D264">
        <v>213.5</v>
      </c>
      <c r="E264">
        <v>108.5</v>
      </c>
      <c r="F264" s="12">
        <v>0.33695652173913043</v>
      </c>
      <c r="G264">
        <v>2025</v>
      </c>
      <c r="H264">
        <v>9</v>
      </c>
      <c r="I264" t="s">
        <v>2853</v>
      </c>
      <c r="J264" t="s">
        <v>2841</v>
      </c>
      <c r="K264" t="s">
        <v>2842</v>
      </c>
      <c r="L264" t="s">
        <v>2843</v>
      </c>
      <c r="M264" t="s">
        <v>2837</v>
      </c>
      <c r="N264" t="s">
        <v>2844</v>
      </c>
    </row>
    <row r="265" spans="1:14">
      <c r="A265">
        <v>260</v>
      </c>
      <c r="B265">
        <v>5.2</v>
      </c>
      <c r="C265">
        <v>254.8</v>
      </c>
      <c r="D265">
        <v>189.8</v>
      </c>
      <c r="E265">
        <v>65</v>
      </c>
      <c r="F265" s="12">
        <v>0.25510204081632654</v>
      </c>
      <c r="G265">
        <v>2025</v>
      </c>
      <c r="H265">
        <v>6</v>
      </c>
      <c r="I265" t="s">
        <v>2864</v>
      </c>
      <c r="J265" t="s">
        <v>2846</v>
      </c>
      <c r="K265" t="s">
        <v>2842</v>
      </c>
      <c r="L265" t="s">
        <v>2856</v>
      </c>
      <c r="M265" t="s">
        <v>2839</v>
      </c>
      <c r="N265" t="s">
        <v>2844</v>
      </c>
    </row>
    <row r="266" spans="1:14">
      <c r="A266">
        <v>1260</v>
      </c>
      <c r="B266">
        <v>25.2</v>
      </c>
      <c r="C266">
        <v>1234.8</v>
      </c>
      <c r="D266">
        <v>819</v>
      </c>
      <c r="E266">
        <v>415.79999999999995</v>
      </c>
      <c r="F266" s="12">
        <v>0.33673469387755101</v>
      </c>
      <c r="G266">
        <v>2025</v>
      </c>
      <c r="H266">
        <v>6</v>
      </c>
      <c r="I266" t="s">
        <v>2864</v>
      </c>
      <c r="J266" t="s">
        <v>2846</v>
      </c>
      <c r="K266" t="s">
        <v>2860</v>
      </c>
      <c r="L266" t="s">
        <v>2856</v>
      </c>
      <c r="M266" t="s">
        <v>2839</v>
      </c>
      <c r="N266" t="s">
        <v>2857</v>
      </c>
    </row>
    <row r="267" spans="1:14">
      <c r="A267">
        <v>180</v>
      </c>
      <c r="B267">
        <v>0</v>
      </c>
      <c r="C267">
        <v>180</v>
      </c>
      <c r="D267">
        <v>129.6</v>
      </c>
      <c r="E267">
        <v>50.400000000000006</v>
      </c>
      <c r="F267" s="12">
        <v>0.28000000000000003</v>
      </c>
      <c r="G267">
        <v>2025</v>
      </c>
      <c r="H267">
        <v>4</v>
      </c>
      <c r="I267" t="s">
        <v>2865</v>
      </c>
      <c r="J267" t="s">
        <v>2846</v>
      </c>
      <c r="K267" t="s">
        <v>2852</v>
      </c>
      <c r="L267" t="s">
        <v>2856</v>
      </c>
      <c r="M267" t="s">
        <v>2839</v>
      </c>
      <c r="N267" t="s">
        <v>2844</v>
      </c>
    </row>
    <row r="268" spans="1:14">
      <c r="A268">
        <v>65</v>
      </c>
      <c r="B268">
        <v>6.5</v>
      </c>
      <c r="C268">
        <v>58.5</v>
      </c>
      <c r="D268">
        <v>47.45</v>
      </c>
      <c r="E268">
        <v>11.049999999999997</v>
      </c>
      <c r="F268" s="12">
        <v>0.18888888888888883</v>
      </c>
      <c r="G268">
        <v>2025</v>
      </c>
      <c r="H268">
        <v>2</v>
      </c>
      <c r="I268" t="s">
        <v>2861</v>
      </c>
      <c r="J268" t="s">
        <v>2851</v>
      </c>
      <c r="K268" t="s">
        <v>2842</v>
      </c>
      <c r="L268" t="s">
        <v>2843</v>
      </c>
      <c r="M268" t="s">
        <v>2837</v>
      </c>
      <c r="N268" t="s">
        <v>2844</v>
      </c>
    </row>
    <row r="269" spans="1:14">
      <c r="A269">
        <v>350</v>
      </c>
      <c r="B269">
        <v>0</v>
      </c>
      <c r="C269">
        <v>350</v>
      </c>
      <c r="D269">
        <v>213.5</v>
      </c>
      <c r="E269">
        <v>136.5</v>
      </c>
      <c r="F269" s="12">
        <v>0.39</v>
      </c>
      <c r="G269">
        <v>2025</v>
      </c>
      <c r="H269">
        <v>1</v>
      </c>
      <c r="I269" t="s">
        <v>2850</v>
      </c>
      <c r="J269" t="s">
        <v>2851</v>
      </c>
      <c r="K269" t="s">
        <v>2847</v>
      </c>
      <c r="L269" t="s">
        <v>2848</v>
      </c>
      <c r="M269" t="s">
        <v>2838</v>
      </c>
      <c r="N269" t="s">
        <v>2844</v>
      </c>
    </row>
    <row r="270" spans="1:14">
      <c r="A270">
        <v>66</v>
      </c>
      <c r="B270">
        <v>0</v>
      </c>
      <c r="C270">
        <v>66</v>
      </c>
      <c r="D270">
        <v>44.88</v>
      </c>
      <c r="E270">
        <v>21.119999999999997</v>
      </c>
      <c r="F270" s="12">
        <v>0.31999999999999995</v>
      </c>
      <c r="G270">
        <v>2025</v>
      </c>
      <c r="H270">
        <v>3</v>
      </c>
      <c r="I270" t="s">
        <v>2859</v>
      </c>
      <c r="J270" t="s">
        <v>2851</v>
      </c>
      <c r="K270" t="s">
        <v>2860</v>
      </c>
      <c r="L270" t="s">
        <v>2856</v>
      </c>
      <c r="M270" t="s">
        <v>2837</v>
      </c>
      <c r="N270" t="s">
        <v>2844</v>
      </c>
    </row>
    <row r="271" spans="1:14">
      <c r="A271">
        <v>195</v>
      </c>
      <c r="B271">
        <v>0</v>
      </c>
      <c r="C271">
        <v>195</v>
      </c>
      <c r="D271">
        <v>142.35000000000002</v>
      </c>
      <c r="E271">
        <v>52.649999999999977</v>
      </c>
      <c r="F271" s="12">
        <v>0.26999999999999991</v>
      </c>
      <c r="G271">
        <v>2025</v>
      </c>
      <c r="H271">
        <v>3</v>
      </c>
      <c r="I271" t="s">
        <v>2859</v>
      </c>
      <c r="J271" t="s">
        <v>2851</v>
      </c>
      <c r="K271" t="s">
        <v>2847</v>
      </c>
      <c r="L271" t="s">
        <v>2848</v>
      </c>
      <c r="M271" t="s">
        <v>2838</v>
      </c>
      <c r="N271" t="s">
        <v>2844</v>
      </c>
    </row>
    <row r="272" spans="1:14">
      <c r="A272">
        <v>240</v>
      </c>
      <c r="B272">
        <v>0</v>
      </c>
      <c r="C272">
        <v>240</v>
      </c>
      <c r="D272">
        <v>177.6</v>
      </c>
      <c r="E272">
        <v>62.400000000000006</v>
      </c>
      <c r="F272" s="12">
        <v>0.26</v>
      </c>
      <c r="G272">
        <v>2025</v>
      </c>
      <c r="H272">
        <v>2</v>
      </c>
      <c r="I272" t="s">
        <v>2861</v>
      </c>
      <c r="J272" t="s">
        <v>2851</v>
      </c>
      <c r="K272" t="s">
        <v>2860</v>
      </c>
      <c r="L272" t="s">
        <v>2843</v>
      </c>
      <c r="M272" t="s">
        <v>2837</v>
      </c>
      <c r="N272" t="s">
        <v>2844</v>
      </c>
    </row>
    <row r="273" spans="1:14">
      <c r="A273">
        <v>145</v>
      </c>
      <c r="B273">
        <v>0</v>
      </c>
      <c r="C273">
        <v>145</v>
      </c>
      <c r="D273">
        <v>97.15</v>
      </c>
      <c r="E273">
        <v>47.849999999999994</v>
      </c>
      <c r="F273" s="12">
        <v>0.32999999999999996</v>
      </c>
      <c r="G273">
        <v>2025</v>
      </c>
      <c r="H273">
        <v>9</v>
      </c>
      <c r="I273" t="s">
        <v>2853</v>
      </c>
      <c r="J273" t="s">
        <v>2841</v>
      </c>
      <c r="K273" t="s">
        <v>2842</v>
      </c>
      <c r="L273" t="s">
        <v>2856</v>
      </c>
      <c r="M273" t="s">
        <v>2839</v>
      </c>
      <c r="N273" t="s">
        <v>2844</v>
      </c>
    </row>
    <row r="274" spans="1:14">
      <c r="A274">
        <v>145</v>
      </c>
      <c r="B274">
        <v>7.25</v>
      </c>
      <c r="C274">
        <v>137.75</v>
      </c>
      <c r="D274">
        <v>97.15</v>
      </c>
      <c r="E274">
        <v>40.599999999999994</v>
      </c>
      <c r="F274" s="12">
        <v>0.29473684210526313</v>
      </c>
      <c r="G274">
        <v>2025</v>
      </c>
      <c r="H274">
        <v>6</v>
      </c>
      <c r="I274" t="s">
        <v>2864</v>
      </c>
      <c r="J274" t="s">
        <v>2846</v>
      </c>
      <c r="K274" t="s">
        <v>2852</v>
      </c>
      <c r="L274" t="s">
        <v>2848</v>
      </c>
      <c r="M274" t="s">
        <v>2838</v>
      </c>
      <c r="N274" t="s">
        <v>2844</v>
      </c>
    </row>
    <row r="275" spans="1:14">
      <c r="A275">
        <v>48</v>
      </c>
      <c r="B275">
        <v>0</v>
      </c>
      <c r="C275">
        <v>48</v>
      </c>
      <c r="D275">
        <v>37.44</v>
      </c>
      <c r="E275">
        <v>10.560000000000002</v>
      </c>
      <c r="F275" s="12">
        <v>0.22000000000000006</v>
      </c>
      <c r="G275">
        <v>2025</v>
      </c>
      <c r="H275">
        <v>7</v>
      </c>
      <c r="I275" t="s">
        <v>2840</v>
      </c>
      <c r="J275" t="s">
        <v>2841</v>
      </c>
      <c r="K275" t="s">
        <v>2852</v>
      </c>
      <c r="L275" t="s">
        <v>2856</v>
      </c>
      <c r="M275" t="s">
        <v>2837</v>
      </c>
      <c r="N275" t="s">
        <v>2844</v>
      </c>
    </row>
    <row r="276" spans="1:14">
      <c r="A276">
        <v>2080</v>
      </c>
      <c r="B276">
        <v>0</v>
      </c>
      <c r="C276">
        <v>2080</v>
      </c>
      <c r="D276">
        <v>1393.6</v>
      </c>
      <c r="E276">
        <v>686.40000000000009</v>
      </c>
      <c r="F276" s="12">
        <v>0.33000000000000007</v>
      </c>
      <c r="G276">
        <v>2025</v>
      </c>
      <c r="H276">
        <v>2</v>
      </c>
      <c r="I276" t="s">
        <v>2861</v>
      </c>
      <c r="J276" t="s">
        <v>2851</v>
      </c>
      <c r="K276" t="s">
        <v>2842</v>
      </c>
      <c r="L276" t="s">
        <v>2848</v>
      </c>
      <c r="M276" t="s">
        <v>2838</v>
      </c>
      <c r="N276" t="s">
        <v>2857</v>
      </c>
    </row>
    <row r="277" spans="1:14">
      <c r="A277">
        <v>66</v>
      </c>
      <c r="B277">
        <v>0</v>
      </c>
      <c r="C277">
        <v>66</v>
      </c>
      <c r="D277">
        <v>44.88</v>
      </c>
      <c r="E277">
        <v>21.119999999999997</v>
      </c>
      <c r="F277" s="12">
        <v>0.31999999999999995</v>
      </c>
      <c r="G277">
        <v>2025</v>
      </c>
      <c r="H277">
        <v>12</v>
      </c>
      <c r="I277" t="s">
        <v>2858</v>
      </c>
      <c r="J277" t="s">
        <v>2855</v>
      </c>
      <c r="K277" t="s">
        <v>2860</v>
      </c>
      <c r="L277" t="s">
        <v>2843</v>
      </c>
      <c r="M277" t="s">
        <v>2837</v>
      </c>
      <c r="N277" t="s">
        <v>2844</v>
      </c>
    </row>
    <row r="278" spans="1:14">
      <c r="A278">
        <v>360</v>
      </c>
      <c r="B278">
        <v>7.2</v>
      </c>
      <c r="C278">
        <v>352.8</v>
      </c>
      <c r="D278">
        <v>259.2</v>
      </c>
      <c r="E278">
        <v>93.600000000000023</v>
      </c>
      <c r="F278" s="12">
        <v>0.26530612244897966</v>
      </c>
      <c r="G278">
        <v>2025</v>
      </c>
      <c r="H278">
        <v>3</v>
      </c>
      <c r="I278" t="s">
        <v>2859</v>
      </c>
      <c r="J278" t="s">
        <v>2851</v>
      </c>
      <c r="K278" t="s">
        <v>2852</v>
      </c>
      <c r="L278" t="s">
        <v>2843</v>
      </c>
      <c r="M278" t="s">
        <v>2837</v>
      </c>
      <c r="N278" t="s">
        <v>2844</v>
      </c>
    </row>
    <row r="279" spans="1:14">
      <c r="A279">
        <v>360</v>
      </c>
      <c r="B279">
        <v>7.2</v>
      </c>
      <c r="C279">
        <v>352.8</v>
      </c>
      <c r="D279">
        <v>259.2</v>
      </c>
      <c r="E279">
        <v>93.600000000000023</v>
      </c>
      <c r="F279" s="12">
        <v>0.26530612244897966</v>
      </c>
      <c r="G279">
        <v>2025</v>
      </c>
      <c r="H279">
        <v>11</v>
      </c>
      <c r="I279" t="s">
        <v>2862</v>
      </c>
      <c r="J279" t="s">
        <v>2855</v>
      </c>
      <c r="K279" t="s">
        <v>2852</v>
      </c>
      <c r="L279" t="s">
        <v>2848</v>
      </c>
      <c r="M279" t="s">
        <v>2838</v>
      </c>
      <c r="N279" t="s">
        <v>2844</v>
      </c>
    </row>
    <row r="280" spans="1:14">
      <c r="A280">
        <v>380</v>
      </c>
      <c r="B280">
        <v>7.6000000000000005</v>
      </c>
      <c r="C280">
        <v>372.4</v>
      </c>
      <c r="D280">
        <v>296.39999999999998</v>
      </c>
      <c r="E280">
        <v>76</v>
      </c>
      <c r="F280" s="12">
        <v>0.20408163265306123</v>
      </c>
      <c r="G280">
        <v>2025</v>
      </c>
      <c r="H280">
        <v>11</v>
      </c>
      <c r="I280" t="s">
        <v>2862</v>
      </c>
      <c r="J280" t="s">
        <v>2855</v>
      </c>
      <c r="K280" t="s">
        <v>2842</v>
      </c>
      <c r="L280" t="s">
        <v>2856</v>
      </c>
      <c r="M280" t="s">
        <v>2839</v>
      </c>
      <c r="N280" t="s">
        <v>2844</v>
      </c>
    </row>
    <row r="281" spans="1:14">
      <c r="A281">
        <v>2600</v>
      </c>
      <c r="B281">
        <v>130</v>
      </c>
      <c r="C281">
        <v>2470</v>
      </c>
      <c r="D281">
        <v>1742</v>
      </c>
      <c r="E281">
        <v>728</v>
      </c>
      <c r="F281" s="12">
        <v>0.29473684210526313</v>
      </c>
      <c r="G281">
        <v>2025</v>
      </c>
      <c r="H281">
        <v>1</v>
      </c>
      <c r="I281" t="s">
        <v>2850</v>
      </c>
      <c r="J281" t="s">
        <v>2851</v>
      </c>
      <c r="K281" t="s">
        <v>2852</v>
      </c>
      <c r="L281" t="s">
        <v>2848</v>
      </c>
      <c r="M281" t="s">
        <v>2838</v>
      </c>
      <c r="N281" t="s">
        <v>2857</v>
      </c>
    </row>
    <row r="282" spans="1:14">
      <c r="A282">
        <v>1560</v>
      </c>
      <c r="B282">
        <v>31.2</v>
      </c>
      <c r="C282">
        <v>1528.8</v>
      </c>
      <c r="D282">
        <v>1045.1999999999998</v>
      </c>
      <c r="E282">
        <v>483.60000000000014</v>
      </c>
      <c r="F282" s="12">
        <v>0.31632653061224497</v>
      </c>
      <c r="G282">
        <v>2025</v>
      </c>
      <c r="H282">
        <v>11</v>
      </c>
      <c r="I282" t="s">
        <v>2862</v>
      </c>
      <c r="J282" t="s">
        <v>2855</v>
      </c>
      <c r="K282" t="s">
        <v>2842</v>
      </c>
      <c r="L282" t="s">
        <v>2848</v>
      </c>
      <c r="M282" t="s">
        <v>2838</v>
      </c>
      <c r="N282" t="s">
        <v>2857</v>
      </c>
    </row>
    <row r="283" spans="1:14">
      <c r="A283">
        <v>88</v>
      </c>
      <c r="B283">
        <v>0</v>
      </c>
      <c r="C283">
        <v>88</v>
      </c>
      <c r="D283">
        <v>59.84</v>
      </c>
      <c r="E283">
        <v>28.159999999999997</v>
      </c>
      <c r="F283" s="12">
        <v>0.31999999999999995</v>
      </c>
      <c r="G283">
        <v>2025</v>
      </c>
      <c r="H283">
        <v>3</v>
      </c>
      <c r="I283" t="s">
        <v>2859</v>
      </c>
      <c r="J283" t="s">
        <v>2851</v>
      </c>
      <c r="K283" t="s">
        <v>2842</v>
      </c>
      <c r="L283" t="s">
        <v>2856</v>
      </c>
      <c r="M283" t="s">
        <v>2839</v>
      </c>
      <c r="N283" t="s">
        <v>2844</v>
      </c>
    </row>
    <row r="284" spans="1:14">
      <c r="A284">
        <v>720</v>
      </c>
      <c r="B284">
        <v>36</v>
      </c>
      <c r="C284">
        <v>684</v>
      </c>
      <c r="D284">
        <v>439.20000000000005</v>
      </c>
      <c r="E284">
        <v>244.79999999999995</v>
      </c>
      <c r="F284" s="12">
        <v>0.35789473684210521</v>
      </c>
      <c r="G284">
        <v>2025</v>
      </c>
      <c r="H284">
        <v>9</v>
      </c>
      <c r="I284" t="s">
        <v>2853</v>
      </c>
      <c r="J284" t="s">
        <v>2841</v>
      </c>
      <c r="K284" t="s">
        <v>2860</v>
      </c>
      <c r="L284" t="s">
        <v>2848</v>
      </c>
      <c r="M284" t="s">
        <v>2838</v>
      </c>
      <c r="N284" t="s">
        <v>2849</v>
      </c>
    </row>
    <row r="285" spans="1:14">
      <c r="A285">
        <v>190</v>
      </c>
      <c r="B285">
        <v>0</v>
      </c>
      <c r="C285">
        <v>190</v>
      </c>
      <c r="D285">
        <v>148.19999999999999</v>
      </c>
      <c r="E285">
        <v>41.800000000000011</v>
      </c>
      <c r="F285" s="12">
        <v>0.22000000000000006</v>
      </c>
      <c r="G285">
        <v>2025</v>
      </c>
      <c r="H285">
        <v>2</v>
      </c>
      <c r="I285" t="s">
        <v>2861</v>
      </c>
      <c r="J285" t="s">
        <v>2851</v>
      </c>
      <c r="K285" t="s">
        <v>2852</v>
      </c>
      <c r="L285" t="s">
        <v>2856</v>
      </c>
      <c r="M285" t="s">
        <v>2838</v>
      </c>
      <c r="N285" t="s">
        <v>2844</v>
      </c>
    </row>
    <row r="286" spans="1:14">
      <c r="A286">
        <v>420</v>
      </c>
      <c r="B286">
        <v>0</v>
      </c>
      <c r="C286">
        <v>420</v>
      </c>
      <c r="D286">
        <v>273</v>
      </c>
      <c r="E286">
        <v>147</v>
      </c>
      <c r="F286" s="12">
        <v>0.35</v>
      </c>
      <c r="G286">
        <v>2025</v>
      </c>
      <c r="H286">
        <v>1</v>
      </c>
      <c r="I286" t="s">
        <v>2850</v>
      </c>
      <c r="J286" t="s">
        <v>2851</v>
      </c>
      <c r="K286" t="s">
        <v>2860</v>
      </c>
      <c r="L286" t="s">
        <v>2843</v>
      </c>
      <c r="M286" t="s">
        <v>2837</v>
      </c>
      <c r="N286" t="s">
        <v>2844</v>
      </c>
    </row>
    <row r="287" spans="1:14">
      <c r="A287">
        <v>360</v>
      </c>
      <c r="B287">
        <v>0</v>
      </c>
      <c r="C287">
        <v>360</v>
      </c>
      <c r="D287">
        <v>259.2</v>
      </c>
      <c r="E287">
        <v>100.80000000000001</v>
      </c>
      <c r="F287" s="12">
        <v>0.28000000000000003</v>
      </c>
      <c r="G287">
        <v>2025</v>
      </c>
      <c r="H287">
        <v>1</v>
      </c>
      <c r="I287" t="s">
        <v>2850</v>
      </c>
      <c r="J287" t="s">
        <v>2851</v>
      </c>
      <c r="K287" t="s">
        <v>2842</v>
      </c>
      <c r="L287" t="s">
        <v>2843</v>
      </c>
      <c r="M287" t="s">
        <v>2837</v>
      </c>
      <c r="N287" t="s">
        <v>2844</v>
      </c>
    </row>
    <row r="288" spans="1:14">
      <c r="A288">
        <v>95</v>
      </c>
      <c r="B288">
        <v>0</v>
      </c>
      <c r="C288">
        <v>95</v>
      </c>
      <c r="D288">
        <v>70.3</v>
      </c>
      <c r="E288">
        <v>24.700000000000003</v>
      </c>
      <c r="F288" s="12">
        <v>0.26</v>
      </c>
      <c r="G288">
        <v>2025</v>
      </c>
      <c r="H288">
        <v>9</v>
      </c>
      <c r="I288" t="s">
        <v>2853</v>
      </c>
      <c r="J288" t="s">
        <v>2841</v>
      </c>
      <c r="K288" t="s">
        <v>2852</v>
      </c>
      <c r="L288" t="s">
        <v>2848</v>
      </c>
      <c r="M288" t="s">
        <v>2838</v>
      </c>
      <c r="N288" t="s">
        <v>2844</v>
      </c>
    </row>
    <row r="289" spans="1:14">
      <c r="A289">
        <v>960</v>
      </c>
      <c r="B289">
        <v>0</v>
      </c>
      <c r="C289">
        <v>960</v>
      </c>
      <c r="D289">
        <v>748.8</v>
      </c>
      <c r="E289">
        <v>211.20000000000005</v>
      </c>
      <c r="F289" s="12">
        <v>0.22000000000000006</v>
      </c>
      <c r="G289">
        <v>2025</v>
      </c>
      <c r="H289">
        <v>6</v>
      </c>
      <c r="I289" t="s">
        <v>2864</v>
      </c>
      <c r="J289" t="s">
        <v>2846</v>
      </c>
      <c r="K289" t="s">
        <v>2860</v>
      </c>
      <c r="L289" t="s">
        <v>2843</v>
      </c>
      <c r="M289" t="s">
        <v>2839</v>
      </c>
      <c r="N289" t="s">
        <v>2849</v>
      </c>
    </row>
    <row r="290" spans="1:14">
      <c r="A290">
        <v>240</v>
      </c>
      <c r="B290">
        <v>12</v>
      </c>
      <c r="C290">
        <v>228</v>
      </c>
      <c r="D290">
        <v>146.4</v>
      </c>
      <c r="E290">
        <v>81.599999999999994</v>
      </c>
      <c r="F290" s="12">
        <v>0.35789473684210527</v>
      </c>
      <c r="G290">
        <v>2025</v>
      </c>
      <c r="H290">
        <v>12</v>
      </c>
      <c r="I290" t="s">
        <v>2858</v>
      </c>
      <c r="J290" t="s">
        <v>2855</v>
      </c>
      <c r="K290" t="s">
        <v>2842</v>
      </c>
      <c r="L290" t="s">
        <v>2848</v>
      </c>
      <c r="M290" t="s">
        <v>2839</v>
      </c>
      <c r="N290" t="s">
        <v>2844</v>
      </c>
    </row>
    <row r="291" spans="1:14">
      <c r="A291">
        <v>360</v>
      </c>
      <c r="B291">
        <v>0</v>
      </c>
      <c r="C291">
        <v>360</v>
      </c>
      <c r="D291">
        <v>219.60000000000002</v>
      </c>
      <c r="E291">
        <v>140.39999999999998</v>
      </c>
      <c r="F291" s="12">
        <v>0.38999999999999996</v>
      </c>
      <c r="G291">
        <v>2025</v>
      </c>
      <c r="H291">
        <v>4</v>
      </c>
      <c r="I291" t="s">
        <v>2865</v>
      </c>
      <c r="J291" t="s">
        <v>2846</v>
      </c>
      <c r="K291" t="s">
        <v>2860</v>
      </c>
      <c r="L291" t="s">
        <v>2848</v>
      </c>
      <c r="M291" t="s">
        <v>2839</v>
      </c>
      <c r="N291" t="s">
        <v>2844</v>
      </c>
    </row>
    <row r="292" spans="1:14">
      <c r="A292">
        <v>380</v>
      </c>
      <c r="B292">
        <v>0</v>
      </c>
      <c r="C292">
        <v>380</v>
      </c>
      <c r="D292">
        <v>296.39999999999998</v>
      </c>
      <c r="E292">
        <v>83.600000000000023</v>
      </c>
      <c r="F292" s="12">
        <v>0.22000000000000006</v>
      </c>
      <c r="G292">
        <v>2025</v>
      </c>
      <c r="H292">
        <v>12</v>
      </c>
      <c r="I292" t="s">
        <v>2858</v>
      </c>
      <c r="J292" t="s">
        <v>2855</v>
      </c>
      <c r="K292" t="s">
        <v>2860</v>
      </c>
      <c r="L292" t="s">
        <v>2843</v>
      </c>
      <c r="M292" t="s">
        <v>2837</v>
      </c>
      <c r="N292" t="s">
        <v>2844</v>
      </c>
    </row>
    <row r="293" spans="1:14">
      <c r="A293">
        <v>285</v>
      </c>
      <c r="B293">
        <v>0</v>
      </c>
      <c r="C293">
        <v>285</v>
      </c>
      <c r="D293">
        <v>210.89999999999998</v>
      </c>
      <c r="E293">
        <v>74.100000000000023</v>
      </c>
      <c r="F293" s="12">
        <v>0.26000000000000006</v>
      </c>
      <c r="G293">
        <v>2025</v>
      </c>
      <c r="H293">
        <v>10</v>
      </c>
      <c r="I293" t="s">
        <v>2854</v>
      </c>
      <c r="J293" t="s">
        <v>2855</v>
      </c>
      <c r="K293" t="s">
        <v>2852</v>
      </c>
      <c r="L293" t="s">
        <v>2856</v>
      </c>
      <c r="M293" t="s">
        <v>2839</v>
      </c>
      <c r="N293" t="s">
        <v>2844</v>
      </c>
    </row>
    <row r="294" spans="1:14">
      <c r="A294">
        <v>360</v>
      </c>
      <c r="B294">
        <v>28.8</v>
      </c>
      <c r="C294">
        <v>331.2</v>
      </c>
      <c r="D294">
        <v>259.2</v>
      </c>
      <c r="E294">
        <v>72</v>
      </c>
      <c r="F294" s="12">
        <v>0.21739130434782608</v>
      </c>
      <c r="G294">
        <v>2025</v>
      </c>
      <c r="H294">
        <v>1</v>
      </c>
      <c r="I294" t="s">
        <v>2850</v>
      </c>
      <c r="J294" t="s">
        <v>2851</v>
      </c>
      <c r="K294" t="s">
        <v>2842</v>
      </c>
      <c r="L294" t="s">
        <v>2856</v>
      </c>
      <c r="M294" t="s">
        <v>2839</v>
      </c>
      <c r="N294" t="s">
        <v>2844</v>
      </c>
    </row>
    <row r="295" spans="1:14">
      <c r="A295">
        <v>190</v>
      </c>
      <c r="B295">
        <v>0</v>
      </c>
      <c r="C295">
        <v>190</v>
      </c>
      <c r="D295">
        <v>140.6</v>
      </c>
      <c r="E295">
        <v>49.400000000000006</v>
      </c>
      <c r="F295" s="12">
        <v>0.26</v>
      </c>
      <c r="G295">
        <v>2025</v>
      </c>
      <c r="H295">
        <v>3</v>
      </c>
      <c r="I295" t="s">
        <v>2859</v>
      </c>
      <c r="J295" t="s">
        <v>2851</v>
      </c>
      <c r="K295" t="s">
        <v>2852</v>
      </c>
      <c r="L295" t="s">
        <v>2848</v>
      </c>
      <c r="M295" t="s">
        <v>2838</v>
      </c>
      <c r="N295" t="s">
        <v>2844</v>
      </c>
    </row>
    <row r="296" spans="1:14">
      <c r="A296">
        <v>240</v>
      </c>
      <c r="B296">
        <v>0</v>
      </c>
      <c r="C296">
        <v>240</v>
      </c>
      <c r="D296">
        <v>187.2</v>
      </c>
      <c r="E296">
        <v>52.800000000000011</v>
      </c>
      <c r="F296" s="12">
        <v>0.22000000000000006</v>
      </c>
      <c r="G296">
        <v>2025</v>
      </c>
      <c r="H296">
        <v>5</v>
      </c>
      <c r="I296" t="s">
        <v>2845</v>
      </c>
      <c r="J296" t="s">
        <v>2846</v>
      </c>
      <c r="K296" t="s">
        <v>2860</v>
      </c>
      <c r="L296" t="s">
        <v>2856</v>
      </c>
      <c r="M296" t="s">
        <v>2839</v>
      </c>
      <c r="N296" t="s">
        <v>2844</v>
      </c>
    </row>
    <row r="297" spans="1:14">
      <c r="A297">
        <v>65</v>
      </c>
      <c r="B297">
        <v>0</v>
      </c>
      <c r="C297">
        <v>65</v>
      </c>
      <c r="D297">
        <v>47.45</v>
      </c>
      <c r="E297">
        <v>17.549999999999997</v>
      </c>
      <c r="F297" s="12">
        <v>0.26999999999999996</v>
      </c>
      <c r="G297">
        <v>2025</v>
      </c>
      <c r="H297">
        <v>1</v>
      </c>
      <c r="I297" t="s">
        <v>2850</v>
      </c>
      <c r="J297" t="s">
        <v>2851</v>
      </c>
      <c r="K297" t="s">
        <v>2847</v>
      </c>
      <c r="L297" t="s">
        <v>2848</v>
      </c>
      <c r="M297" t="s">
        <v>2838</v>
      </c>
      <c r="N297" t="s">
        <v>2844</v>
      </c>
    </row>
    <row r="298" spans="1:14">
      <c r="A298">
        <v>260</v>
      </c>
      <c r="B298">
        <v>20.8</v>
      </c>
      <c r="C298">
        <v>239.2</v>
      </c>
      <c r="D298">
        <v>189.8</v>
      </c>
      <c r="E298">
        <v>49.399999999999977</v>
      </c>
      <c r="F298" s="12">
        <v>0.2065217391304347</v>
      </c>
      <c r="G298">
        <v>2025</v>
      </c>
      <c r="H298">
        <v>5</v>
      </c>
      <c r="I298" t="s">
        <v>2845</v>
      </c>
      <c r="J298" t="s">
        <v>2846</v>
      </c>
      <c r="K298" t="s">
        <v>2860</v>
      </c>
      <c r="L298" t="s">
        <v>2856</v>
      </c>
      <c r="M298" t="s">
        <v>2839</v>
      </c>
      <c r="N298" t="s">
        <v>2844</v>
      </c>
    </row>
    <row r="299" spans="1:14">
      <c r="A299">
        <v>570</v>
      </c>
      <c r="B299">
        <v>0</v>
      </c>
      <c r="C299">
        <v>570</v>
      </c>
      <c r="D299">
        <v>421.79999999999995</v>
      </c>
      <c r="E299">
        <v>148.20000000000005</v>
      </c>
      <c r="F299" s="12">
        <v>0.26000000000000006</v>
      </c>
      <c r="G299">
        <v>2025</v>
      </c>
      <c r="H299">
        <v>8</v>
      </c>
      <c r="I299" t="s">
        <v>2863</v>
      </c>
      <c r="J299" t="s">
        <v>2841</v>
      </c>
      <c r="K299" t="s">
        <v>2842</v>
      </c>
      <c r="L299" t="s">
        <v>2856</v>
      </c>
      <c r="M299" t="s">
        <v>2837</v>
      </c>
      <c r="N299" t="s">
        <v>2849</v>
      </c>
    </row>
    <row r="300" spans="1:14">
      <c r="A300">
        <v>22</v>
      </c>
      <c r="B300">
        <v>0.44</v>
      </c>
      <c r="C300">
        <v>21.56</v>
      </c>
      <c r="D300">
        <v>14.96</v>
      </c>
      <c r="E300">
        <v>6.5999999999999979</v>
      </c>
      <c r="F300" s="12">
        <v>0.30612244897959173</v>
      </c>
      <c r="G300">
        <v>2025</v>
      </c>
      <c r="H300">
        <v>6</v>
      </c>
      <c r="I300" t="s">
        <v>2864</v>
      </c>
      <c r="J300" t="s">
        <v>2846</v>
      </c>
      <c r="K300" t="s">
        <v>2842</v>
      </c>
      <c r="L300" t="s">
        <v>2843</v>
      </c>
      <c r="M300" t="s">
        <v>2837</v>
      </c>
      <c r="N300" t="s">
        <v>2844</v>
      </c>
    </row>
    <row r="301" spans="1:14">
      <c r="A301">
        <v>435</v>
      </c>
      <c r="B301">
        <v>0</v>
      </c>
      <c r="C301">
        <v>435</v>
      </c>
      <c r="D301">
        <v>291.45000000000005</v>
      </c>
      <c r="E301">
        <v>143.54999999999995</v>
      </c>
      <c r="F301" s="12">
        <v>0.3299999999999999</v>
      </c>
      <c r="G301">
        <v>2025</v>
      </c>
      <c r="H301">
        <v>8</v>
      </c>
      <c r="I301" t="s">
        <v>2863</v>
      </c>
      <c r="J301" t="s">
        <v>2841</v>
      </c>
      <c r="K301" t="s">
        <v>2860</v>
      </c>
      <c r="L301" t="s">
        <v>2856</v>
      </c>
      <c r="M301" t="s">
        <v>2839</v>
      </c>
      <c r="N301" t="s">
        <v>2844</v>
      </c>
    </row>
    <row r="302" spans="1:14">
      <c r="A302">
        <v>190</v>
      </c>
      <c r="B302">
        <v>9.5</v>
      </c>
      <c r="C302">
        <v>180.5</v>
      </c>
      <c r="D302">
        <v>148.19999999999999</v>
      </c>
      <c r="E302">
        <v>32.300000000000011</v>
      </c>
      <c r="F302" s="12">
        <v>0.17894736842105269</v>
      </c>
      <c r="G302">
        <v>2025</v>
      </c>
      <c r="H302">
        <v>8</v>
      </c>
      <c r="I302" t="s">
        <v>2863</v>
      </c>
      <c r="J302" t="s">
        <v>2841</v>
      </c>
      <c r="K302" t="s">
        <v>2860</v>
      </c>
      <c r="L302" t="s">
        <v>2856</v>
      </c>
      <c r="M302" t="s">
        <v>2839</v>
      </c>
      <c r="N302" t="s">
        <v>2844</v>
      </c>
    </row>
    <row r="303" spans="1:14">
      <c r="A303">
        <v>360</v>
      </c>
      <c r="B303">
        <v>7.2</v>
      </c>
      <c r="C303">
        <v>352.8</v>
      </c>
      <c r="D303">
        <v>259.2</v>
      </c>
      <c r="E303">
        <v>93.600000000000023</v>
      </c>
      <c r="F303" s="12">
        <v>0.26530612244897966</v>
      </c>
      <c r="G303">
        <v>2025</v>
      </c>
      <c r="H303">
        <v>8</v>
      </c>
      <c r="I303" t="s">
        <v>2863</v>
      </c>
      <c r="J303" t="s">
        <v>2841</v>
      </c>
      <c r="K303" t="s">
        <v>2852</v>
      </c>
      <c r="L303" t="s">
        <v>2848</v>
      </c>
      <c r="M303" t="s">
        <v>2838</v>
      </c>
      <c r="N303" t="s">
        <v>2844</v>
      </c>
    </row>
    <row r="304" spans="1:14">
      <c r="A304">
        <v>195</v>
      </c>
      <c r="B304">
        <v>0</v>
      </c>
      <c r="C304">
        <v>195</v>
      </c>
      <c r="D304">
        <v>142.35000000000002</v>
      </c>
      <c r="E304">
        <v>52.649999999999977</v>
      </c>
      <c r="F304" s="12">
        <v>0.26999999999999991</v>
      </c>
      <c r="G304">
        <v>2025</v>
      </c>
      <c r="H304">
        <v>3</v>
      </c>
      <c r="I304" t="s">
        <v>2859</v>
      </c>
      <c r="J304" t="s">
        <v>2851</v>
      </c>
      <c r="K304" t="s">
        <v>2847</v>
      </c>
      <c r="L304" t="s">
        <v>2848</v>
      </c>
      <c r="M304" t="s">
        <v>2838</v>
      </c>
      <c r="N304" t="s">
        <v>2844</v>
      </c>
    </row>
    <row r="305" spans="1:14">
      <c r="A305">
        <v>1300</v>
      </c>
      <c r="B305">
        <v>0</v>
      </c>
      <c r="C305">
        <v>1300</v>
      </c>
      <c r="D305">
        <v>949</v>
      </c>
      <c r="E305">
        <v>351</v>
      </c>
      <c r="F305" s="12">
        <v>0.27</v>
      </c>
      <c r="G305">
        <v>2025</v>
      </c>
      <c r="H305">
        <v>10</v>
      </c>
      <c r="I305" t="s">
        <v>2854</v>
      </c>
      <c r="J305" t="s">
        <v>2855</v>
      </c>
      <c r="K305" t="s">
        <v>2852</v>
      </c>
      <c r="L305" t="s">
        <v>2848</v>
      </c>
      <c r="M305" t="s">
        <v>2838</v>
      </c>
      <c r="N305" t="s">
        <v>2857</v>
      </c>
    </row>
    <row r="306" spans="1:14">
      <c r="A306">
        <v>48</v>
      </c>
      <c r="B306">
        <v>0</v>
      </c>
      <c r="C306">
        <v>48</v>
      </c>
      <c r="D306">
        <v>37.44</v>
      </c>
      <c r="E306">
        <v>10.560000000000002</v>
      </c>
      <c r="F306" s="12">
        <v>0.22000000000000006</v>
      </c>
      <c r="G306">
        <v>2025</v>
      </c>
      <c r="H306">
        <v>1</v>
      </c>
      <c r="I306" t="s">
        <v>2850</v>
      </c>
      <c r="J306" t="s">
        <v>2851</v>
      </c>
      <c r="K306" t="s">
        <v>2860</v>
      </c>
      <c r="L306" t="s">
        <v>2848</v>
      </c>
      <c r="M306" t="s">
        <v>2838</v>
      </c>
      <c r="N306" t="s">
        <v>2844</v>
      </c>
    </row>
    <row r="307" spans="1:14">
      <c r="A307">
        <v>475</v>
      </c>
      <c r="B307">
        <v>0</v>
      </c>
      <c r="C307">
        <v>475</v>
      </c>
      <c r="D307">
        <v>351.5</v>
      </c>
      <c r="E307">
        <v>123.5</v>
      </c>
      <c r="F307" s="12">
        <v>0.26</v>
      </c>
      <c r="G307">
        <v>2025</v>
      </c>
      <c r="H307">
        <v>6</v>
      </c>
      <c r="I307" t="s">
        <v>2864</v>
      </c>
      <c r="J307" t="s">
        <v>2846</v>
      </c>
      <c r="K307" t="s">
        <v>2852</v>
      </c>
      <c r="L307" t="s">
        <v>2848</v>
      </c>
      <c r="M307" t="s">
        <v>2838</v>
      </c>
      <c r="N307" t="s">
        <v>2844</v>
      </c>
    </row>
    <row r="308" spans="1:14">
      <c r="A308">
        <v>260</v>
      </c>
      <c r="B308">
        <v>20.8</v>
      </c>
      <c r="C308">
        <v>239.2</v>
      </c>
      <c r="D308">
        <v>189.8</v>
      </c>
      <c r="E308">
        <v>49.399999999999977</v>
      </c>
      <c r="F308" s="12">
        <v>0.2065217391304347</v>
      </c>
      <c r="G308">
        <v>2025</v>
      </c>
      <c r="H308">
        <v>9</v>
      </c>
      <c r="I308" t="s">
        <v>2853</v>
      </c>
      <c r="J308" t="s">
        <v>2841</v>
      </c>
      <c r="K308" t="s">
        <v>2860</v>
      </c>
      <c r="L308" t="s">
        <v>2856</v>
      </c>
      <c r="M308" t="s">
        <v>2837</v>
      </c>
      <c r="N308" t="s">
        <v>2844</v>
      </c>
    </row>
    <row r="309" spans="1:14">
      <c r="A309">
        <v>120</v>
      </c>
      <c r="B309">
        <v>0</v>
      </c>
      <c r="C309">
        <v>120</v>
      </c>
      <c r="D309">
        <v>73.2</v>
      </c>
      <c r="E309">
        <v>46.8</v>
      </c>
      <c r="F309" s="12">
        <v>0.38999999999999996</v>
      </c>
      <c r="G309">
        <v>2025</v>
      </c>
      <c r="H309">
        <v>12</v>
      </c>
      <c r="I309" t="s">
        <v>2858</v>
      </c>
      <c r="J309" t="s">
        <v>2855</v>
      </c>
      <c r="K309" t="s">
        <v>2860</v>
      </c>
      <c r="L309" t="s">
        <v>2848</v>
      </c>
      <c r="M309" t="s">
        <v>2838</v>
      </c>
      <c r="N309" t="s">
        <v>2844</v>
      </c>
    </row>
    <row r="310" spans="1:14">
      <c r="A310">
        <v>1040</v>
      </c>
      <c r="B310">
        <v>104</v>
      </c>
      <c r="C310">
        <v>936</v>
      </c>
      <c r="D310">
        <v>696.8</v>
      </c>
      <c r="E310">
        <v>239.20000000000005</v>
      </c>
      <c r="F310" s="12">
        <v>0.25555555555555559</v>
      </c>
      <c r="G310">
        <v>2025</v>
      </c>
      <c r="H310">
        <v>2</v>
      </c>
      <c r="I310" t="s">
        <v>2861</v>
      </c>
      <c r="J310" t="s">
        <v>2851</v>
      </c>
      <c r="K310" t="s">
        <v>2847</v>
      </c>
      <c r="L310" t="s">
        <v>2848</v>
      </c>
      <c r="M310" t="s">
        <v>2838</v>
      </c>
      <c r="N310" t="s">
        <v>2849</v>
      </c>
    </row>
    <row r="311" spans="1:14">
      <c r="A311">
        <v>475</v>
      </c>
      <c r="B311">
        <v>47.5</v>
      </c>
      <c r="C311">
        <v>427.5</v>
      </c>
      <c r="D311">
        <v>351.5</v>
      </c>
      <c r="E311">
        <v>76</v>
      </c>
      <c r="F311" s="12">
        <v>0.17777777777777778</v>
      </c>
      <c r="G311">
        <v>2025</v>
      </c>
      <c r="H311">
        <v>4</v>
      </c>
      <c r="I311" t="s">
        <v>2865</v>
      </c>
      <c r="J311" t="s">
        <v>2846</v>
      </c>
      <c r="K311" t="s">
        <v>2860</v>
      </c>
      <c r="L311" t="s">
        <v>2866</v>
      </c>
      <c r="M311" t="s">
        <v>2838</v>
      </c>
      <c r="N311" t="s">
        <v>2844</v>
      </c>
    </row>
    <row r="312" spans="1:14">
      <c r="A312">
        <v>520</v>
      </c>
      <c r="B312">
        <v>0</v>
      </c>
      <c r="C312">
        <v>520</v>
      </c>
      <c r="D312">
        <v>348.4</v>
      </c>
      <c r="E312">
        <v>171.60000000000002</v>
      </c>
      <c r="F312" s="12">
        <v>0.33000000000000007</v>
      </c>
      <c r="G312">
        <v>2025</v>
      </c>
      <c r="H312">
        <v>11</v>
      </c>
      <c r="I312" t="s">
        <v>2862</v>
      </c>
      <c r="J312" t="s">
        <v>2855</v>
      </c>
      <c r="K312" t="s">
        <v>2842</v>
      </c>
      <c r="L312" t="s">
        <v>2848</v>
      </c>
      <c r="M312" t="s">
        <v>2838</v>
      </c>
      <c r="N312" t="s">
        <v>2849</v>
      </c>
    </row>
    <row r="313" spans="1:14">
      <c r="A313">
        <v>1260</v>
      </c>
      <c r="B313">
        <v>63</v>
      </c>
      <c r="C313">
        <v>1197</v>
      </c>
      <c r="D313">
        <v>819</v>
      </c>
      <c r="E313">
        <v>378</v>
      </c>
      <c r="F313" s="12">
        <v>0.31578947368421051</v>
      </c>
      <c r="G313">
        <v>2025</v>
      </c>
      <c r="H313">
        <v>5</v>
      </c>
      <c r="I313" t="s">
        <v>2845</v>
      </c>
      <c r="J313" t="s">
        <v>2846</v>
      </c>
      <c r="K313" t="s">
        <v>2847</v>
      </c>
      <c r="L313" t="s">
        <v>2856</v>
      </c>
      <c r="M313" t="s">
        <v>2839</v>
      </c>
      <c r="N313" t="s">
        <v>2857</v>
      </c>
    </row>
    <row r="314" spans="1:14">
      <c r="A314">
        <v>220</v>
      </c>
      <c r="B314">
        <v>22</v>
      </c>
      <c r="C314">
        <v>198</v>
      </c>
      <c r="D314">
        <v>145.19999999999999</v>
      </c>
      <c r="E314">
        <v>52.800000000000011</v>
      </c>
      <c r="F314" s="12">
        <v>0.26666666666666672</v>
      </c>
      <c r="G314">
        <v>2025</v>
      </c>
      <c r="H314">
        <v>2</v>
      </c>
      <c r="I314" t="s">
        <v>2861</v>
      </c>
      <c r="J314" t="s">
        <v>2851</v>
      </c>
      <c r="K314" t="s">
        <v>2852</v>
      </c>
      <c r="L314" t="s">
        <v>2843</v>
      </c>
      <c r="M314" t="s">
        <v>2837</v>
      </c>
      <c r="N314" t="s">
        <v>2844</v>
      </c>
    </row>
    <row r="315" spans="1:14">
      <c r="A315">
        <v>48</v>
      </c>
      <c r="B315">
        <v>0</v>
      </c>
      <c r="C315">
        <v>48</v>
      </c>
      <c r="D315">
        <v>37.44</v>
      </c>
      <c r="E315">
        <v>10.560000000000002</v>
      </c>
      <c r="F315" s="12">
        <v>0.22000000000000006</v>
      </c>
      <c r="G315">
        <v>2025</v>
      </c>
      <c r="H315">
        <v>7</v>
      </c>
      <c r="I315" t="s">
        <v>2840</v>
      </c>
      <c r="J315" t="s">
        <v>2841</v>
      </c>
      <c r="K315" t="s">
        <v>2847</v>
      </c>
      <c r="L315" t="s">
        <v>2843</v>
      </c>
      <c r="M315" t="s">
        <v>2837</v>
      </c>
      <c r="N315" t="s">
        <v>2844</v>
      </c>
    </row>
    <row r="316" spans="1:14">
      <c r="A316">
        <v>1750</v>
      </c>
      <c r="B316">
        <v>35</v>
      </c>
      <c r="C316">
        <v>1715</v>
      </c>
      <c r="D316">
        <v>1067.5</v>
      </c>
      <c r="E316">
        <v>647.5</v>
      </c>
      <c r="F316" s="12">
        <v>0.37755102040816324</v>
      </c>
      <c r="G316">
        <v>2025</v>
      </c>
      <c r="H316">
        <v>8</v>
      </c>
      <c r="I316" t="s">
        <v>2863</v>
      </c>
      <c r="J316" t="s">
        <v>2841</v>
      </c>
      <c r="K316" t="s">
        <v>2852</v>
      </c>
      <c r="L316" t="s">
        <v>2856</v>
      </c>
      <c r="M316" t="s">
        <v>2839</v>
      </c>
      <c r="N316" t="s">
        <v>2857</v>
      </c>
    </row>
    <row r="317" spans="1:14">
      <c r="A317">
        <v>180</v>
      </c>
      <c r="B317">
        <v>14.4</v>
      </c>
      <c r="C317">
        <v>165.6</v>
      </c>
      <c r="D317">
        <v>129.6</v>
      </c>
      <c r="E317">
        <v>36</v>
      </c>
      <c r="F317" s="12">
        <v>0.21739130434782608</v>
      </c>
      <c r="G317">
        <v>2025</v>
      </c>
      <c r="H317">
        <v>9</v>
      </c>
      <c r="I317" t="s">
        <v>2853</v>
      </c>
      <c r="J317" t="s">
        <v>2841</v>
      </c>
      <c r="K317" t="s">
        <v>2842</v>
      </c>
      <c r="L317" t="s">
        <v>2848</v>
      </c>
      <c r="M317" t="s">
        <v>2838</v>
      </c>
      <c r="N317" t="s">
        <v>2844</v>
      </c>
    </row>
    <row r="318" spans="1:14">
      <c r="A318">
        <v>520</v>
      </c>
      <c r="B318">
        <v>41.6</v>
      </c>
      <c r="C318">
        <v>478.4</v>
      </c>
      <c r="D318">
        <v>379.6</v>
      </c>
      <c r="E318">
        <v>98.799999999999955</v>
      </c>
      <c r="F318" s="12">
        <v>0.2065217391304347</v>
      </c>
      <c r="G318">
        <v>2025</v>
      </c>
      <c r="H318">
        <v>10</v>
      </c>
      <c r="I318" t="s">
        <v>2854</v>
      </c>
      <c r="J318" t="s">
        <v>2855</v>
      </c>
      <c r="K318" t="s">
        <v>2860</v>
      </c>
      <c r="L318" t="s">
        <v>2843</v>
      </c>
      <c r="M318" t="s">
        <v>2837</v>
      </c>
      <c r="N318" t="s">
        <v>2844</v>
      </c>
    </row>
    <row r="319" spans="1:14">
      <c r="A319">
        <v>220</v>
      </c>
      <c r="B319">
        <v>4.4000000000000004</v>
      </c>
      <c r="C319">
        <v>215.6</v>
      </c>
      <c r="D319">
        <v>145.19999999999999</v>
      </c>
      <c r="E319">
        <v>70.400000000000006</v>
      </c>
      <c r="F319" s="12">
        <v>0.32653061224489799</v>
      </c>
      <c r="G319">
        <v>2025</v>
      </c>
      <c r="H319">
        <v>11</v>
      </c>
      <c r="I319" t="s">
        <v>2862</v>
      </c>
      <c r="J319" t="s">
        <v>2855</v>
      </c>
      <c r="K319" t="s">
        <v>2860</v>
      </c>
      <c r="L319" t="s">
        <v>2848</v>
      </c>
      <c r="M319" t="s">
        <v>2838</v>
      </c>
      <c r="N319" t="s">
        <v>2844</v>
      </c>
    </row>
    <row r="320" spans="1:14">
      <c r="A320">
        <v>66</v>
      </c>
      <c r="B320">
        <v>3.3000000000000003</v>
      </c>
      <c r="C320">
        <v>62.7</v>
      </c>
      <c r="D320">
        <v>44.88</v>
      </c>
      <c r="E320">
        <v>17.82</v>
      </c>
      <c r="F320" s="12">
        <v>0.28421052631578947</v>
      </c>
      <c r="G320">
        <v>2025</v>
      </c>
      <c r="H320">
        <v>6</v>
      </c>
      <c r="I320" t="s">
        <v>2864</v>
      </c>
      <c r="J320" t="s">
        <v>2846</v>
      </c>
      <c r="K320" t="s">
        <v>2847</v>
      </c>
      <c r="L320" t="s">
        <v>2848</v>
      </c>
      <c r="M320" t="s">
        <v>2838</v>
      </c>
      <c r="N320" t="s">
        <v>2844</v>
      </c>
    </row>
    <row r="321" spans="1:14">
      <c r="A321">
        <v>780</v>
      </c>
      <c r="B321">
        <v>62.4</v>
      </c>
      <c r="C321">
        <v>717.6</v>
      </c>
      <c r="D321">
        <v>468</v>
      </c>
      <c r="E321">
        <v>249.60000000000002</v>
      </c>
      <c r="F321" s="12">
        <v>0.34782608695652178</v>
      </c>
      <c r="G321">
        <v>2025</v>
      </c>
      <c r="H321">
        <v>3</v>
      </c>
      <c r="I321" t="s">
        <v>2859</v>
      </c>
      <c r="J321" t="s">
        <v>2851</v>
      </c>
      <c r="K321" t="s">
        <v>2860</v>
      </c>
      <c r="L321" t="s">
        <v>2856</v>
      </c>
      <c r="M321" t="s">
        <v>2839</v>
      </c>
      <c r="N321" t="s">
        <v>2849</v>
      </c>
    </row>
    <row r="322" spans="1:14">
      <c r="A322">
        <v>240</v>
      </c>
      <c r="B322">
        <v>0</v>
      </c>
      <c r="C322">
        <v>240</v>
      </c>
      <c r="D322">
        <v>177.6</v>
      </c>
      <c r="E322">
        <v>62.400000000000006</v>
      </c>
      <c r="F322" s="12">
        <v>0.26</v>
      </c>
      <c r="G322">
        <v>2025</v>
      </c>
      <c r="H322">
        <v>5</v>
      </c>
      <c r="I322" t="s">
        <v>2845</v>
      </c>
      <c r="J322" t="s">
        <v>2846</v>
      </c>
      <c r="K322" t="s">
        <v>2842</v>
      </c>
      <c r="L322" t="s">
        <v>2848</v>
      </c>
      <c r="M322" t="s">
        <v>2838</v>
      </c>
      <c r="N322" t="s">
        <v>2844</v>
      </c>
    </row>
    <row r="323" spans="1:14">
      <c r="A323">
        <v>780</v>
      </c>
      <c r="B323">
        <v>78</v>
      </c>
      <c r="C323">
        <v>702</v>
      </c>
      <c r="D323">
        <v>468</v>
      </c>
      <c r="E323">
        <v>234</v>
      </c>
      <c r="F323" s="12">
        <v>0.33333333333333331</v>
      </c>
      <c r="G323">
        <v>2025</v>
      </c>
      <c r="H323">
        <v>5</v>
      </c>
      <c r="I323" t="s">
        <v>2845</v>
      </c>
      <c r="J323" t="s">
        <v>2846</v>
      </c>
      <c r="K323" t="s">
        <v>2860</v>
      </c>
      <c r="L323" t="s">
        <v>2848</v>
      </c>
      <c r="M323" t="s">
        <v>2838</v>
      </c>
      <c r="N323" t="s">
        <v>2849</v>
      </c>
    </row>
    <row r="324" spans="1:14">
      <c r="A324">
        <v>435</v>
      </c>
      <c r="B324">
        <v>0</v>
      </c>
      <c r="C324">
        <v>435</v>
      </c>
      <c r="D324">
        <v>291.45000000000005</v>
      </c>
      <c r="E324">
        <v>143.54999999999995</v>
      </c>
      <c r="F324" s="12">
        <v>0.3299999999999999</v>
      </c>
      <c r="G324">
        <v>2025</v>
      </c>
      <c r="H324">
        <v>8</v>
      </c>
      <c r="I324" t="s">
        <v>2863</v>
      </c>
      <c r="J324" t="s">
        <v>2841</v>
      </c>
      <c r="K324" t="s">
        <v>2852</v>
      </c>
      <c r="L324" t="s">
        <v>2848</v>
      </c>
      <c r="M324" t="s">
        <v>2838</v>
      </c>
      <c r="N324" t="s">
        <v>2844</v>
      </c>
    </row>
    <row r="325" spans="1:14">
      <c r="A325">
        <v>435</v>
      </c>
      <c r="B325">
        <v>34.800000000000004</v>
      </c>
      <c r="C325">
        <v>400.2</v>
      </c>
      <c r="D325">
        <v>291.45000000000005</v>
      </c>
      <c r="E325">
        <v>108.74999999999994</v>
      </c>
      <c r="F325" s="12">
        <v>0.27173913043478248</v>
      </c>
      <c r="G325">
        <v>2025</v>
      </c>
      <c r="H325">
        <v>1</v>
      </c>
      <c r="I325" t="s">
        <v>2850</v>
      </c>
      <c r="J325" t="s">
        <v>2851</v>
      </c>
      <c r="K325" t="s">
        <v>2847</v>
      </c>
      <c r="L325" t="s">
        <v>2856</v>
      </c>
      <c r="M325" t="s">
        <v>2839</v>
      </c>
      <c r="N325" t="s">
        <v>2844</v>
      </c>
    </row>
    <row r="326" spans="1:14">
      <c r="A326">
        <v>360</v>
      </c>
      <c r="B326">
        <v>36</v>
      </c>
      <c r="C326">
        <v>324</v>
      </c>
      <c r="D326">
        <v>219.60000000000002</v>
      </c>
      <c r="E326">
        <v>104.39999999999998</v>
      </c>
      <c r="F326" s="12">
        <v>0.32222222222222213</v>
      </c>
      <c r="G326">
        <v>2025</v>
      </c>
      <c r="H326">
        <v>7</v>
      </c>
      <c r="I326" t="s">
        <v>2840</v>
      </c>
      <c r="J326" t="s">
        <v>2841</v>
      </c>
      <c r="K326" t="s">
        <v>2852</v>
      </c>
      <c r="L326" t="s">
        <v>2843</v>
      </c>
      <c r="M326" t="s">
        <v>2837</v>
      </c>
      <c r="N326" t="s">
        <v>2844</v>
      </c>
    </row>
    <row r="327" spans="1:14">
      <c r="A327">
        <v>1260</v>
      </c>
      <c r="B327">
        <v>25.2</v>
      </c>
      <c r="C327">
        <v>1234.8</v>
      </c>
      <c r="D327">
        <v>819</v>
      </c>
      <c r="E327">
        <v>415.79999999999995</v>
      </c>
      <c r="F327" s="12">
        <v>0.33673469387755101</v>
      </c>
      <c r="G327">
        <v>2025</v>
      </c>
      <c r="H327">
        <v>4</v>
      </c>
      <c r="I327" t="s">
        <v>2865</v>
      </c>
      <c r="J327" t="s">
        <v>2846</v>
      </c>
      <c r="K327" t="s">
        <v>2847</v>
      </c>
      <c r="L327" t="s">
        <v>2856</v>
      </c>
      <c r="M327" t="s">
        <v>2839</v>
      </c>
      <c r="N327" t="s">
        <v>2857</v>
      </c>
    </row>
    <row r="328" spans="1:14">
      <c r="A328">
        <v>1560</v>
      </c>
      <c r="B328">
        <v>0</v>
      </c>
      <c r="C328">
        <v>1560</v>
      </c>
      <c r="D328">
        <v>936</v>
      </c>
      <c r="E328">
        <v>624</v>
      </c>
      <c r="F328" s="12">
        <v>0.4</v>
      </c>
      <c r="G328">
        <v>2025</v>
      </c>
      <c r="H328">
        <v>11</v>
      </c>
      <c r="I328" t="s">
        <v>2862</v>
      </c>
      <c r="J328" t="s">
        <v>2855</v>
      </c>
      <c r="K328" t="s">
        <v>2842</v>
      </c>
      <c r="L328" t="s">
        <v>2843</v>
      </c>
      <c r="M328" t="s">
        <v>2837</v>
      </c>
      <c r="N328" t="s">
        <v>2857</v>
      </c>
    </row>
    <row r="329" spans="1:14">
      <c r="A329">
        <v>95</v>
      </c>
      <c r="B329">
        <v>4.75</v>
      </c>
      <c r="C329">
        <v>90.25</v>
      </c>
      <c r="D329">
        <v>70.3</v>
      </c>
      <c r="E329">
        <v>19.950000000000003</v>
      </c>
      <c r="F329" s="12">
        <v>0.22105263157894739</v>
      </c>
      <c r="G329">
        <v>2025</v>
      </c>
      <c r="H329">
        <v>9</v>
      </c>
      <c r="I329" t="s">
        <v>2853</v>
      </c>
      <c r="J329" t="s">
        <v>2841</v>
      </c>
      <c r="K329" t="s">
        <v>2847</v>
      </c>
      <c r="L329" t="s">
        <v>2843</v>
      </c>
      <c r="M329" t="s">
        <v>2837</v>
      </c>
      <c r="N329" t="s">
        <v>2844</v>
      </c>
    </row>
    <row r="330" spans="1:14">
      <c r="A330">
        <v>70</v>
      </c>
      <c r="B330">
        <v>1.4000000000000001</v>
      </c>
      <c r="C330">
        <v>68.599999999999994</v>
      </c>
      <c r="D330">
        <v>48.3</v>
      </c>
      <c r="E330">
        <v>20.299999999999997</v>
      </c>
      <c r="F330" s="12">
        <v>0.29591836734693877</v>
      </c>
      <c r="G330">
        <v>2025</v>
      </c>
      <c r="H330">
        <v>11</v>
      </c>
      <c r="I330" t="s">
        <v>2862</v>
      </c>
      <c r="J330" t="s">
        <v>2855</v>
      </c>
      <c r="K330" t="s">
        <v>2842</v>
      </c>
      <c r="L330" t="s">
        <v>2843</v>
      </c>
      <c r="M330" t="s">
        <v>2837</v>
      </c>
      <c r="N330" t="s">
        <v>2844</v>
      </c>
    </row>
    <row r="331" spans="1:14">
      <c r="A331">
        <v>420</v>
      </c>
      <c r="B331">
        <v>8.4</v>
      </c>
      <c r="C331">
        <v>411.6</v>
      </c>
      <c r="D331">
        <v>273</v>
      </c>
      <c r="E331">
        <v>138.60000000000002</v>
      </c>
      <c r="F331" s="12">
        <v>0.33673469387755106</v>
      </c>
      <c r="G331">
        <v>2025</v>
      </c>
      <c r="H331">
        <v>1</v>
      </c>
      <c r="I331" t="s">
        <v>2850</v>
      </c>
      <c r="J331" t="s">
        <v>2851</v>
      </c>
      <c r="K331" t="s">
        <v>2842</v>
      </c>
      <c r="L331" t="s">
        <v>2843</v>
      </c>
      <c r="M331" t="s">
        <v>2837</v>
      </c>
      <c r="N331" t="s">
        <v>2844</v>
      </c>
    </row>
    <row r="332" spans="1:14">
      <c r="A332">
        <v>1560</v>
      </c>
      <c r="B332">
        <v>124.8</v>
      </c>
      <c r="C332">
        <v>1435.2</v>
      </c>
      <c r="D332">
        <v>1138.8000000000002</v>
      </c>
      <c r="E332">
        <v>296.39999999999986</v>
      </c>
      <c r="F332" s="12">
        <v>0.20652173913043467</v>
      </c>
      <c r="G332">
        <v>2025</v>
      </c>
      <c r="H332">
        <v>6</v>
      </c>
      <c r="I332" t="s">
        <v>2864</v>
      </c>
      <c r="J332" t="s">
        <v>2846</v>
      </c>
      <c r="K332" t="s">
        <v>2842</v>
      </c>
      <c r="L332" t="s">
        <v>2843</v>
      </c>
      <c r="M332" t="s">
        <v>2837</v>
      </c>
      <c r="N332" t="s">
        <v>2857</v>
      </c>
    </row>
    <row r="333" spans="1:14">
      <c r="A333">
        <v>1050</v>
      </c>
      <c r="B333">
        <v>52.5</v>
      </c>
      <c r="C333">
        <v>997.5</v>
      </c>
      <c r="D333">
        <v>640.5</v>
      </c>
      <c r="E333">
        <v>357</v>
      </c>
      <c r="F333" s="12">
        <v>0.35789473684210527</v>
      </c>
      <c r="G333">
        <v>2025</v>
      </c>
      <c r="H333">
        <v>8</v>
      </c>
      <c r="I333" t="s">
        <v>2863</v>
      </c>
      <c r="J333" t="s">
        <v>2841</v>
      </c>
      <c r="K333" t="s">
        <v>2847</v>
      </c>
      <c r="L333" t="s">
        <v>2843</v>
      </c>
      <c r="M333" t="s">
        <v>2837</v>
      </c>
      <c r="N333" t="s">
        <v>2849</v>
      </c>
    </row>
    <row r="334" spans="1:14">
      <c r="A334">
        <v>260</v>
      </c>
      <c r="B334">
        <v>5.2</v>
      </c>
      <c r="C334">
        <v>254.8</v>
      </c>
      <c r="D334">
        <v>189.8</v>
      </c>
      <c r="E334">
        <v>65</v>
      </c>
      <c r="F334" s="12">
        <v>0.25510204081632654</v>
      </c>
      <c r="G334">
        <v>2025</v>
      </c>
      <c r="H334">
        <v>1</v>
      </c>
      <c r="I334" t="s">
        <v>2850</v>
      </c>
      <c r="J334" t="s">
        <v>2851</v>
      </c>
      <c r="K334" t="s">
        <v>2852</v>
      </c>
      <c r="L334" t="s">
        <v>2843</v>
      </c>
      <c r="M334" t="s">
        <v>2837</v>
      </c>
      <c r="N334" t="s">
        <v>2844</v>
      </c>
    </row>
    <row r="335" spans="1:14">
      <c r="A335">
        <v>420</v>
      </c>
      <c r="B335">
        <v>0</v>
      </c>
      <c r="C335">
        <v>420</v>
      </c>
      <c r="D335">
        <v>273</v>
      </c>
      <c r="E335">
        <v>147</v>
      </c>
      <c r="F335" s="12">
        <v>0.35</v>
      </c>
      <c r="G335">
        <v>2025</v>
      </c>
      <c r="H335">
        <v>4</v>
      </c>
      <c r="I335" t="s">
        <v>2865</v>
      </c>
      <c r="J335" t="s">
        <v>2846</v>
      </c>
      <c r="K335" t="s">
        <v>2852</v>
      </c>
      <c r="L335" t="s">
        <v>2848</v>
      </c>
      <c r="M335" t="s">
        <v>2838</v>
      </c>
      <c r="N335" t="s">
        <v>2844</v>
      </c>
    </row>
    <row r="336" spans="1:14">
      <c r="A336">
        <v>110</v>
      </c>
      <c r="B336">
        <v>11</v>
      </c>
      <c r="C336">
        <v>99</v>
      </c>
      <c r="D336">
        <v>72.599999999999994</v>
      </c>
      <c r="E336">
        <v>26.400000000000006</v>
      </c>
      <c r="F336" s="12">
        <v>0.26666666666666672</v>
      </c>
      <c r="G336">
        <v>2025</v>
      </c>
      <c r="H336">
        <v>9</v>
      </c>
      <c r="I336" t="s">
        <v>2853</v>
      </c>
      <c r="J336" t="s">
        <v>2841</v>
      </c>
      <c r="K336" t="s">
        <v>2842</v>
      </c>
      <c r="L336" t="s">
        <v>2848</v>
      </c>
      <c r="M336" t="s">
        <v>2838</v>
      </c>
      <c r="N336" t="s">
        <v>2844</v>
      </c>
    </row>
    <row r="337" spans="1:14">
      <c r="A337">
        <v>130</v>
      </c>
      <c r="B337">
        <v>6.5</v>
      </c>
      <c r="C337">
        <v>123.5</v>
      </c>
      <c r="D337">
        <v>94.9</v>
      </c>
      <c r="E337">
        <v>28.599999999999994</v>
      </c>
      <c r="F337" s="12">
        <v>0.231578947368421</v>
      </c>
      <c r="G337">
        <v>2025</v>
      </c>
      <c r="H337">
        <v>3</v>
      </c>
      <c r="I337" t="s">
        <v>2859</v>
      </c>
      <c r="J337" t="s">
        <v>2851</v>
      </c>
      <c r="K337" t="s">
        <v>2842</v>
      </c>
      <c r="L337" t="s">
        <v>2856</v>
      </c>
      <c r="M337" t="s">
        <v>2837</v>
      </c>
      <c r="N337" t="s">
        <v>2844</v>
      </c>
    </row>
    <row r="338" spans="1:14">
      <c r="A338">
        <v>65</v>
      </c>
      <c r="B338">
        <v>0</v>
      </c>
      <c r="C338">
        <v>65</v>
      </c>
      <c r="D338">
        <v>47.45</v>
      </c>
      <c r="E338">
        <v>17.549999999999997</v>
      </c>
      <c r="F338" s="12">
        <v>0.26999999999999996</v>
      </c>
      <c r="G338">
        <v>2025</v>
      </c>
      <c r="H338">
        <v>4</v>
      </c>
      <c r="I338" t="s">
        <v>2865</v>
      </c>
      <c r="J338" t="s">
        <v>2846</v>
      </c>
      <c r="K338" t="s">
        <v>2847</v>
      </c>
      <c r="L338" t="s">
        <v>2848</v>
      </c>
      <c r="M338" t="s">
        <v>2838</v>
      </c>
      <c r="N338" t="s">
        <v>2844</v>
      </c>
    </row>
    <row r="339" spans="1:14">
      <c r="A339">
        <v>1400</v>
      </c>
      <c r="B339">
        <v>0</v>
      </c>
      <c r="C339">
        <v>1400</v>
      </c>
      <c r="D339">
        <v>854</v>
      </c>
      <c r="E339">
        <v>546</v>
      </c>
      <c r="F339" s="12">
        <v>0.39</v>
      </c>
      <c r="G339">
        <v>2025</v>
      </c>
      <c r="H339">
        <v>5</v>
      </c>
      <c r="I339" t="s">
        <v>2845</v>
      </c>
      <c r="J339" t="s">
        <v>2846</v>
      </c>
      <c r="K339" t="s">
        <v>2860</v>
      </c>
      <c r="L339" t="s">
        <v>2856</v>
      </c>
      <c r="M339" t="s">
        <v>2839</v>
      </c>
      <c r="N339" t="s">
        <v>2857</v>
      </c>
    </row>
    <row r="340" spans="1:14">
      <c r="A340">
        <v>285</v>
      </c>
      <c r="B340">
        <v>0</v>
      </c>
      <c r="C340">
        <v>285</v>
      </c>
      <c r="D340">
        <v>210.89999999999998</v>
      </c>
      <c r="E340">
        <v>74.100000000000023</v>
      </c>
      <c r="F340" s="12">
        <v>0.26000000000000006</v>
      </c>
      <c r="G340">
        <v>2025</v>
      </c>
      <c r="H340">
        <v>6</v>
      </c>
      <c r="I340" t="s">
        <v>2864</v>
      </c>
      <c r="J340" t="s">
        <v>2846</v>
      </c>
      <c r="K340" t="s">
        <v>2842</v>
      </c>
      <c r="L340" t="s">
        <v>2856</v>
      </c>
      <c r="M340" t="s">
        <v>2838</v>
      </c>
      <c r="N340" t="s">
        <v>2844</v>
      </c>
    </row>
    <row r="341" spans="1:14">
      <c r="A341">
        <v>420</v>
      </c>
      <c r="B341">
        <v>21</v>
      </c>
      <c r="C341">
        <v>399</v>
      </c>
      <c r="D341">
        <v>273</v>
      </c>
      <c r="E341">
        <v>126</v>
      </c>
      <c r="F341" s="12">
        <v>0.31578947368421051</v>
      </c>
      <c r="G341">
        <v>2025</v>
      </c>
      <c r="H341">
        <v>2</v>
      </c>
      <c r="I341" t="s">
        <v>2861</v>
      </c>
      <c r="J341" t="s">
        <v>2851</v>
      </c>
      <c r="K341" t="s">
        <v>2847</v>
      </c>
      <c r="L341" t="s">
        <v>2843</v>
      </c>
      <c r="M341" t="s">
        <v>2837</v>
      </c>
      <c r="N341" t="s">
        <v>2844</v>
      </c>
    </row>
    <row r="342" spans="1:14">
      <c r="A342">
        <v>350</v>
      </c>
      <c r="B342">
        <v>35</v>
      </c>
      <c r="C342">
        <v>315</v>
      </c>
      <c r="D342">
        <v>241.5</v>
      </c>
      <c r="E342">
        <v>73.5</v>
      </c>
      <c r="F342" s="12">
        <v>0.23333333333333334</v>
      </c>
      <c r="G342">
        <v>2025</v>
      </c>
      <c r="H342">
        <v>6</v>
      </c>
      <c r="I342" t="s">
        <v>2864</v>
      </c>
      <c r="J342" t="s">
        <v>2846</v>
      </c>
      <c r="K342" t="s">
        <v>2842</v>
      </c>
      <c r="L342" t="s">
        <v>2843</v>
      </c>
      <c r="M342" t="s">
        <v>2837</v>
      </c>
      <c r="N342" t="s">
        <v>2844</v>
      </c>
    </row>
    <row r="343" spans="1:14">
      <c r="A343">
        <v>44</v>
      </c>
      <c r="B343">
        <v>0</v>
      </c>
      <c r="C343">
        <v>44</v>
      </c>
      <c r="D343">
        <v>29.92</v>
      </c>
      <c r="E343">
        <v>14.079999999999998</v>
      </c>
      <c r="F343" s="12">
        <v>0.31999999999999995</v>
      </c>
      <c r="G343">
        <v>2025</v>
      </c>
      <c r="H343">
        <v>10</v>
      </c>
      <c r="I343" t="s">
        <v>2854</v>
      </c>
      <c r="J343" t="s">
        <v>2855</v>
      </c>
      <c r="K343" t="s">
        <v>2860</v>
      </c>
      <c r="L343" t="s">
        <v>2848</v>
      </c>
      <c r="M343" t="s">
        <v>2838</v>
      </c>
      <c r="N343" t="s">
        <v>2844</v>
      </c>
    </row>
    <row r="344" spans="1:14">
      <c r="A344">
        <v>110</v>
      </c>
      <c r="B344">
        <v>5.5</v>
      </c>
      <c r="C344">
        <v>104.5</v>
      </c>
      <c r="D344">
        <v>74.800000000000011</v>
      </c>
      <c r="E344">
        <v>29.699999999999989</v>
      </c>
      <c r="F344" s="12">
        <v>0.28421052631578936</v>
      </c>
      <c r="G344">
        <v>2025</v>
      </c>
      <c r="H344">
        <v>3</v>
      </c>
      <c r="I344" t="s">
        <v>2859</v>
      </c>
      <c r="J344" t="s">
        <v>2851</v>
      </c>
      <c r="K344" t="s">
        <v>2852</v>
      </c>
      <c r="L344" t="s">
        <v>2848</v>
      </c>
      <c r="M344" t="s">
        <v>2838</v>
      </c>
      <c r="N344" t="s">
        <v>2844</v>
      </c>
    </row>
    <row r="345" spans="1:14">
      <c r="A345">
        <v>520</v>
      </c>
      <c r="B345">
        <v>0</v>
      </c>
      <c r="C345">
        <v>520</v>
      </c>
      <c r="D345">
        <v>348.4</v>
      </c>
      <c r="E345">
        <v>171.60000000000002</v>
      </c>
      <c r="F345" s="12">
        <v>0.33000000000000007</v>
      </c>
      <c r="G345">
        <v>2025</v>
      </c>
      <c r="H345">
        <v>3</v>
      </c>
      <c r="I345" t="s">
        <v>2859</v>
      </c>
      <c r="J345" t="s">
        <v>2851</v>
      </c>
      <c r="K345" t="s">
        <v>2847</v>
      </c>
      <c r="L345" t="s">
        <v>2843</v>
      </c>
      <c r="M345" t="s">
        <v>2837</v>
      </c>
      <c r="N345" t="s">
        <v>2849</v>
      </c>
    </row>
    <row r="346" spans="1:14">
      <c r="A346">
        <v>520</v>
      </c>
      <c r="B346">
        <v>26</v>
      </c>
      <c r="C346">
        <v>494</v>
      </c>
      <c r="D346">
        <v>348.4</v>
      </c>
      <c r="E346">
        <v>145.60000000000002</v>
      </c>
      <c r="F346" s="12">
        <v>0.29473684210526319</v>
      </c>
      <c r="G346">
        <v>2025</v>
      </c>
      <c r="H346">
        <v>1</v>
      </c>
      <c r="I346" t="s">
        <v>2850</v>
      </c>
      <c r="J346" t="s">
        <v>2851</v>
      </c>
      <c r="K346" t="s">
        <v>2847</v>
      </c>
      <c r="L346" t="s">
        <v>2843</v>
      </c>
      <c r="M346" t="s">
        <v>2837</v>
      </c>
      <c r="N346" t="s">
        <v>2844</v>
      </c>
    </row>
    <row r="347" spans="1:14">
      <c r="A347">
        <v>700</v>
      </c>
      <c r="B347">
        <v>0</v>
      </c>
      <c r="C347">
        <v>700</v>
      </c>
      <c r="D347">
        <v>427</v>
      </c>
      <c r="E347">
        <v>273</v>
      </c>
      <c r="F347" s="12">
        <v>0.39</v>
      </c>
      <c r="G347">
        <v>2025</v>
      </c>
      <c r="H347">
        <v>11</v>
      </c>
      <c r="I347" t="s">
        <v>2862</v>
      </c>
      <c r="J347" t="s">
        <v>2855</v>
      </c>
      <c r="K347" t="s">
        <v>2842</v>
      </c>
      <c r="L347" t="s">
        <v>2856</v>
      </c>
      <c r="M347" t="s">
        <v>2839</v>
      </c>
      <c r="N347" t="s">
        <v>2849</v>
      </c>
    </row>
    <row r="348" spans="1:14">
      <c r="A348">
        <v>105</v>
      </c>
      <c r="B348">
        <v>5.25</v>
      </c>
      <c r="C348">
        <v>99.75</v>
      </c>
      <c r="D348">
        <v>72.449999999999989</v>
      </c>
      <c r="E348">
        <v>27.300000000000011</v>
      </c>
      <c r="F348" s="12">
        <v>0.27368421052631592</v>
      </c>
      <c r="G348">
        <v>2025</v>
      </c>
      <c r="H348">
        <v>4</v>
      </c>
      <c r="I348" t="s">
        <v>2865</v>
      </c>
      <c r="J348" t="s">
        <v>2846</v>
      </c>
      <c r="K348" t="s">
        <v>2860</v>
      </c>
      <c r="L348" t="s">
        <v>2856</v>
      </c>
      <c r="M348" t="s">
        <v>2839</v>
      </c>
      <c r="N348" t="s">
        <v>2844</v>
      </c>
    </row>
    <row r="349" spans="1:14">
      <c r="A349">
        <v>720</v>
      </c>
      <c r="B349">
        <v>0</v>
      </c>
      <c r="C349">
        <v>720</v>
      </c>
      <c r="D349">
        <v>518.4</v>
      </c>
      <c r="E349">
        <v>201.60000000000002</v>
      </c>
      <c r="F349" s="12">
        <v>0.28000000000000003</v>
      </c>
      <c r="G349">
        <v>2025</v>
      </c>
      <c r="H349">
        <v>11</v>
      </c>
      <c r="I349" t="s">
        <v>2862</v>
      </c>
      <c r="J349" t="s">
        <v>2855</v>
      </c>
      <c r="K349" t="s">
        <v>2852</v>
      </c>
      <c r="L349" t="s">
        <v>2843</v>
      </c>
      <c r="M349" t="s">
        <v>2837</v>
      </c>
      <c r="N349" t="s">
        <v>2849</v>
      </c>
    </row>
    <row r="350" spans="1:14">
      <c r="A350">
        <v>240</v>
      </c>
      <c r="B350">
        <v>4.8</v>
      </c>
      <c r="C350">
        <v>235.2</v>
      </c>
      <c r="D350">
        <v>146.4</v>
      </c>
      <c r="E350">
        <v>88.799999999999983</v>
      </c>
      <c r="F350" s="12">
        <v>0.37755102040816318</v>
      </c>
      <c r="G350">
        <v>2025</v>
      </c>
      <c r="H350">
        <v>11</v>
      </c>
      <c r="I350" t="s">
        <v>2862</v>
      </c>
      <c r="J350" t="s">
        <v>2855</v>
      </c>
      <c r="K350" t="s">
        <v>2860</v>
      </c>
      <c r="L350" t="s">
        <v>2843</v>
      </c>
      <c r="M350" t="s">
        <v>2837</v>
      </c>
      <c r="N350" t="s">
        <v>2844</v>
      </c>
    </row>
    <row r="351" spans="1:14">
      <c r="A351">
        <v>285</v>
      </c>
      <c r="B351">
        <v>14.25</v>
      </c>
      <c r="C351">
        <v>270.75</v>
      </c>
      <c r="D351">
        <v>210.89999999999998</v>
      </c>
      <c r="E351">
        <v>59.850000000000023</v>
      </c>
      <c r="F351" s="12">
        <v>0.22105263157894744</v>
      </c>
      <c r="G351">
        <v>2025</v>
      </c>
      <c r="H351">
        <v>8</v>
      </c>
      <c r="I351" t="s">
        <v>2863</v>
      </c>
      <c r="J351" t="s">
        <v>2841</v>
      </c>
      <c r="K351" t="s">
        <v>2847</v>
      </c>
      <c r="L351" t="s">
        <v>2856</v>
      </c>
      <c r="M351" t="s">
        <v>2839</v>
      </c>
      <c r="N351" t="s">
        <v>2844</v>
      </c>
    </row>
    <row r="352" spans="1:14">
      <c r="A352">
        <v>96</v>
      </c>
      <c r="B352">
        <v>7.68</v>
      </c>
      <c r="C352">
        <v>88.32</v>
      </c>
      <c r="D352">
        <v>74.88</v>
      </c>
      <c r="E352">
        <v>13.439999999999998</v>
      </c>
      <c r="F352" s="12">
        <v>0.15217391304347824</v>
      </c>
      <c r="G352">
        <v>2025</v>
      </c>
      <c r="H352">
        <v>1</v>
      </c>
      <c r="I352" t="s">
        <v>2850</v>
      </c>
      <c r="J352" t="s">
        <v>2851</v>
      </c>
      <c r="K352" t="s">
        <v>2852</v>
      </c>
      <c r="L352" t="s">
        <v>2856</v>
      </c>
      <c r="M352" t="s">
        <v>2838</v>
      </c>
      <c r="N352" t="s">
        <v>2844</v>
      </c>
    </row>
    <row r="353" spans="1:14">
      <c r="A353">
        <v>95</v>
      </c>
      <c r="B353">
        <v>0</v>
      </c>
      <c r="C353">
        <v>95</v>
      </c>
      <c r="D353">
        <v>70.3</v>
      </c>
      <c r="E353">
        <v>24.700000000000003</v>
      </c>
      <c r="F353" s="12">
        <v>0.26</v>
      </c>
      <c r="G353">
        <v>2025</v>
      </c>
      <c r="H353">
        <v>7</v>
      </c>
      <c r="I353" t="s">
        <v>2840</v>
      </c>
      <c r="J353" t="s">
        <v>2841</v>
      </c>
      <c r="K353" t="s">
        <v>2842</v>
      </c>
      <c r="L353" t="s">
        <v>2856</v>
      </c>
      <c r="M353" t="s">
        <v>2839</v>
      </c>
      <c r="N353" t="s">
        <v>2844</v>
      </c>
    </row>
    <row r="354" spans="1:14">
      <c r="A354">
        <v>360</v>
      </c>
      <c r="B354">
        <v>36</v>
      </c>
      <c r="C354">
        <v>324</v>
      </c>
      <c r="D354">
        <v>219.60000000000002</v>
      </c>
      <c r="E354">
        <v>104.39999999999998</v>
      </c>
      <c r="F354" s="12">
        <v>0.32222222222222213</v>
      </c>
      <c r="G354">
        <v>2025</v>
      </c>
      <c r="H354">
        <v>10</v>
      </c>
      <c r="I354" t="s">
        <v>2854</v>
      </c>
      <c r="J354" t="s">
        <v>2855</v>
      </c>
      <c r="K354" t="s">
        <v>2860</v>
      </c>
      <c r="L354" t="s">
        <v>2848</v>
      </c>
      <c r="M354" t="s">
        <v>2838</v>
      </c>
      <c r="N354" t="s">
        <v>2844</v>
      </c>
    </row>
    <row r="355" spans="1:14">
      <c r="A355">
        <v>190</v>
      </c>
      <c r="B355">
        <v>3.8000000000000003</v>
      </c>
      <c r="C355">
        <v>186.2</v>
      </c>
      <c r="D355">
        <v>148.19999999999999</v>
      </c>
      <c r="E355">
        <v>38</v>
      </c>
      <c r="F355" s="12">
        <v>0.20408163265306123</v>
      </c>
      <c r="G355">
        <v>2025</v>
      </c>
      <c r="H355">
        <v>5</v>
      </c>
      <c r="I355" t="s">
        <v>2845</v>
      </c>
      <c r="J355" t="s">
        <v>2846</v>
      </c>
      <c r="K355" t="s">
        <v>2860</v>
      </c>
      <c r="L355" t="s">
        <v>2856</v>
      </c>
      <c r="M355" t="s">
        <v>2839</v>
      </c>
      <c r="N355" t="s">
        <v>2844</v>
      </c>
    </row>
    <row r="356" spans="1:14">
      <c r="A356">
        <v>780</v>
      </c>
      <c r="B356">
        <v>0</v>
      </c>
      <c r="C356">
        <v>780</v>
      </c>
      <c r="D356">
        <v>569.40000000000009</v>
      </c>
      <c r="E356">
        <v>210.59999999999991</v>
      </c>
      <c r="F356" s="12">
        <v>0.26999999999999991</v>
      </c>
      <c r="G356">
        <v>2025</v>
      </c>
      <c r="H356">
        <v>2</v>
      </c>
      <c r="I356" t="s">
        <v>2861</v>
      </c>
      <c r="J356" t="s">
        <v>2851</v>
      </c>
      <c r="K356" t="s">
        <v>2860</v>
      </c>
      <c r="L356" t="s">
        <v>2843</v>
      </c>
      <c r="M356" t="s">
        <v>2837</v>
      </c>
      <c r="N356" t="s">
        <v>2849</v>
      </c>
    </row>
    <row r="357" spans="1:14">
      <c r="A357">
        <v>350</v>
      </c>
      <c r="B357">
        <v>0</v>
      </c>
      <c r="C357">
        <v>350</v>
      </c>
      <c r="D357">
        <v>241.5</v>
      </c>
      <c r="E357">
        <v>108.5</v>
      </c>
      <c r="F357" s="12">
        <v>0.31</v>
      </c>
      <c r="G357">
        <v>2025</v>
      </c>
      <c r="H357">
        <v>5</v>
      </c>
      <c r="I357" t="s">
        <v>2845</v>
      </c>
      <c r="J357" t="s">
        <v>2846</v>
      </c>
      <c r="K357" t="s">
        <v>2860</v>
      </c>
      <c r="L357" t="s">
        <v>2856</v>
      </c>
      <c r="M357" t="s">
        <v>2839</v>
      </c>
      <c r="N357" t="s">
        <v>2844</v>
      </c>
    </row>
    <row r="358" spans="1:14">
      <c r="A358">
        <v>70</v>
      </c>
      <c r="B358">
        <v>0</v>
      </c>
      <c r="C358">
        <v>70</v>
      </c>
      <c r="D358">
        <v>48.3</v>
      </c>
      <c r="E358">
        <v>21.700000000000003</v>
      </c>
      <c r="F358" s="12">
        <v>0.31000000000000005</v>
      </c>
      <c r="G358">
        <v>2025</v>
      </c>
      <c r="H358">
        <v>2</v>
      </c>
      <c r="I358" t="s">
        <v>2861</v>
      </c>
      <c r="J358" t="s">
        <v>2851</v>
      </c>
      <c r="K358" t="s">
        <v>2852</v>
      </c>
      <c r="L358" t="s">
        <v>2848</v>
      </c>
      <c r="M358" t="s">
        <v>2838</v>
      </c>
      <c r="N358" t="s">
        <v>2844</v>
      </c>
    </row>
    <row r="359" spans="1:14">
      <c r="A359">
        <v>360</v>
      </c>
      <c r="B359">
        <v>0</v>
      </c>
      <c r="C359">
        <v>360</v>
      </c>
      <c r="D359">
        <v>259.2</v>
      </c>
      <c r="E359">
        <v>100.80000000000001</v>
      </c>
      <c r="F359" s="12">
        <v>0.28000000000000003</v>
      </c>
      <c r="G359">
        <v>2025</v>
      </c>
      <c r="H359">
        <v>11</v>
      </c>
      <c r="I359" t="s">
        <v>2862</v>
      </c>
      <c r="J359" t="s">
        <v>2855</v>
      </c>
      <c r="K359" t="s">
        <v>2842</v>
      </c>
      <c r="L359" t="s">
        <v>2856</v>
      </c>
      <c r="M359" t="s">
        <v>2839</v>
      </c>
      <c r="N359" t="s">
        <v>2844</v>
      </c>
    </row>
    <row r="360" spans="1:14">
      <c r="A360">
        <v>480</v>
      </c>
      <c r="B360">
        <v>0</v>
      </c>
      <c r="C360">
        <v>480</v>
      </c>
      <c r="D360">
        <v>355.2</v>
      </c>
      <c r="E360">
        <v>124.80000000000001</v>
      </c>
      <c r="F360" s="12">
        <v>0.26</v>
      </c>
      <c r="G360">
        <v>2025</v>
      </c>
      <c r="H360">
        <v>11</v>
      </c>
      <c r="I360" t="s">
        <v>2862</v>
      </c>
      <c r="J360" t="s">
        <v>2855</v>
      </c>
      <c r="K360" t="s">
        <v>2847</v>
      </c>
      <c r="L360" t="s">
        <v>2856</v>
      </c>
      <c r="M360" t="s">
        <v>2839</v>
      </c>
      <c r="N360" t="s">
        <v>2844</v>
      </c>
    </row>
    <row r="361" spans="1:14">
      <c r="A361">
        <v>95</v>
      </c>
      <c r="B361">
        <v>4.75</v>
      </c>
      <c r="C361">
        <v>90.25</v>
      </c>
      <c r="D361">
        <v>70.3</v>
      </c>
      <c r="E361">
        <v>19.950000000000003</v>
      </c>
      <c r="F361" s="12">
        <v>0.22105263157894739</v>
      </c>
      <c r="G361">
        <v>2025</v>
      </c>
      <c r="H361">
        <v>10</v>
      </c>
      <c r="I361" t="s">
        <v>2854</v>
      </c>
      <c r="J361" t="s">
        <v>2855</v>
      </c>
      <c r="K361" t="s">
        <v>2852</v>
      </c>
      <c r="L361" t="s">
        <v>2856</v>
      </c>
      <c r="M361" t="s">
        <v>2839</v>
      </c>
      <c r="N361" t="s">
        <v>2844</v>
      </c>
    </row>
    <row r="362" spans="1:14">
      <c r="A362">
        <v>180</v>
      </c>
      <c r="B362">
        <v>14.4</v>
      </c>
      <c r="C362">
        <v>165.6</v>
      </c>
      <c r="D362">
        <v>129.6</v>
      </c>
      <c r="E362">
        <v>36</v>
      </c>
      <c r="F362" s="12">
        <v>0.21739130434782608</v>
      </c>
      <c r="G362">
        <v>2025</v>
      </c>
      <c r="H362">
        <v>10</v>
      </c>
      <c r="I362" t="s">
        <v>2854</v>
      </c>
      <c r="J362" t="s">
        <v>2855</v>
      </c>
      <c r="K362" t="s">
        <v>2852</v>
      </c>
      <c r="L362" t="s">
        <v>2866</v>
      </c>
      <c r="M362" t="s">
        <v>2838</v>
      </c>
      <c r="N362" t="s">
        <v>2844</v>
      </c>
    </row>
    <row r="363" spans="1:14">
      <c r="A363">
        <v>15600</v>
      </c>
      <c r="B363">
        <v>1248</v>
      </c>
      <c r="C363">
        <v>14352</v>
      </c>
      <c r="D363">
        <v>9360</v>
      </c>
      <c r="E363">
        <v>4992</v>
      </c>
      <c r="F363" s="12">
        <v>0.34782608695652173</v>
      </c>
      <c r="G363">
        <v>2025</v>
      </c>
      <c r="H363">
        <v>9</v>
      </c>
      <c r="I363" t="s">
        <v>2853</v>
      </c>
      <c r="J363" t="s">
        <v>2841</v>
      </c>
      <c r="K363" t="s">
        <v>2852</v>
      </c>
      <c r="L363" t="s">
        <v>2848</v>
      </c>
      <c r="M363" t="s">
        <v>2838</v>
      </c>
      <c r="N363" t="s">
        <v>2857</v>
      </c>
    </row>
    <row r="364" spans="1:14">
      <c r="A364">
        <v>1050</v>
      </c>
      <c r="B364">
        <v>0</v>
      </c>
      <c r="C364">
        <v>1050</v>
      </c>
      <c r="D364">
        <v>640.5</v>
      </c>
      <c r="E364">
        <v>409.5</v>
      </c>
      <c r="F364" s="12">
        <v>0.39</v>
      </c>
      <c r="G364">
        <v>2025</v>
      </c>
      <c r="H364">
        <v>9</v>
      </c>
      <c r="I364" t="s">
        <v>2853</v>
      </c>
      <c r="J364" t="s">
        <v>2841</v>
      </c>
      <c r="K364" t="s">
        <v>2842</v>
      </c>
      <c r="L364" t="s">
        <v>2848</v>
      </c>
      <c r="M364" t="s">
        <v>2838</v>
      </c>
      <c r="N364" t="s">
        <v>2857</v>
      </c>
    </row>
    <row r="365" spans="1:14">
      <c r="A365">
        <v>35</v>
      </c>
      <c r="B365">
        <v>0</v>
      </c>
      <c r="C365">
        <v>35</v>
      </c>
      <c r="D365">
        <v>24.15</v>
      </c>
      <c r="E365">
        <v>10.850000000000001</v>
      </c>
      <c r="F365" s="12">
        <v>0.31000000000000005</v>
      </c>
      <c r="G365">
        <v>2025</v>
      </c>
      <c r="H365">
        <v>7</v>
      </c>
      <c r="I365" t="s">
        <v>2840</v>
      </c>
      <c r="J365" t="s">
        <v>2841</v>
      </c>
      <c r="K365" t="s">
        <v>2860</v>
      </c>
      <c r="L365" t="s">
        <v>2856</v>
      </c>
      <c r="M365" t="s">
        <v>2839</v>
      </c>
      <c r="N365" t="s">
        <v>2844</v>
      </c>
    </row>
    <row r="366" spans="1:14">
      <c r="A366">
        <v>195</v>
      </c>
      <c r="B366">
        <v>0</v>
      </c>
      <c r="C366">
        <v>195</v>
      </c>
      <c r="D366">
        <v>142.35000000000002</v>
      </c>
      <c r="E366">
        <v>52.649999999999977</v>
      </c>
      <c r="F366" s="12">
        <v>0.26999999999999991</v>
      </c>
      <c r="G366">
        <v>2025</v>
      </c>
      <c r="H366">
        <v>6</v>
      </c>
      <c r="I366" t="s">
        <v>2864</v>
      </c>
      <c r="J366" t="s">
        <v>2846</v>
      </c>
      <c r="K366" t="s">
        <v>2852</v>
      </c>
      <c r="L366" t="s">
        <v>2848</v>
      </c>
      <c r="M366" t="s">
        <v>2838</v>
      </c>
      <c r="N366" t="s">
        <v>2844</v>
      </c>
    </row>
    <row r="367" spans="1:14">
      <c r="A367">
        <v>520</v>
      </c>
      <c r="B367">
        <v>0</v>
      </c>
      <c r="C367">
        <v>520</v>
      </c>
      <c r="D367">
        <v>379.6</v>
      </c>
      <c r="E367">
        <v>140.39999999999998</v>
      </c>
      <c r="F367" s="12">
        <v>0.26999999999999996</v>
      </c>
      <c r="G367">
        <v>2025</v>
      </c>
      <c r="H367">
        <v>5</v>
      </c>
      <c r="I367" t="s">
        <v>2845</v>
      </c>
      <c r="J367" t="s">
        <v>2846</v>
      </c>
      <c r="K367" t="s">
        <v>2842</v>
      </c>
      <c r="L367" t="s">
        <v>2843</v>
      </c>
      <c r="M367" t="s">
        <v>2837</v>
      </c>
      <c r="N367" t="s">
        <v>2849</v>
      </c>
    </row>
    <row r="368" spans="1:14">
      <c r="A368">
        <v>1300</v>
      </c>
      <c r="B368">
        <v>26</v>
      </c>
      <c r="C368">
        <v>1274</v>
      </c>
      <c r="D368">
        <v>949</v>
      </c>
      <c r="E368">
        <v>325</v>
      </c>
      <c r="F368" s="12">
        <v>0.25510204081632654</v>
      </c>
      <c r="G368">
        <v>2025</v>
      </c>
      <c r="H368">
        <v>4</v>
      </c>
      <c r="I368" t="s">
        <v>2865</v>
      </c>
      <c r="J368" t="s">
        <v>2846</v>
      </c>
      <c r="K368" t="s">
        <v>2852</v>
      </c>
      <c r="L368" t="s">
        <v>2856</v>
      </c>
      <c r="M368" t="s">
        <v>2839</v>
      </c>
      <c r="N368" t="s">
        <v>2857</v>
      </c>
    </row>
    <row r="369" spans="1:14">
      <c r="A369">
        <v>88</v>
      </c>
      <c r="B369">
        <v>0</v>
      </c>
      <c r="C369">
        <v>88</v>
      </c>
      <c r="D369">
        <v>59.84</v>
      </c>
      <c r="E369">
        <v>28.159999999999997</v>
      </c>
      <c r="F369" s="12">
        <v>0.31999999999999995</v>
      </c>
      <c r="G369">
        <v>2025</v>
      </c>
      <c r="H369">
        <v>8</v>
      </c>
      <c r="I369" t="s">
        <v>2863</v>
      </c>
      <c r="J369" t="s">
        <v>2841</v>
      </c>
      <c r="K369" t="s">
        <v>2847</v>
      </c>
      <c r="L369" t="s">
        <v>2856</v>
      </c>
      <c r="M369" t="s">
        <v>2838</v>
      </c>
      <c r="N369" t="s">
        <v>2844</v>
      </c>
    </row>
    <row r="370" spans="1:14">
      <c r="A370">
        <v>950</v>
      </c>
      <c r="B370">
        <v>19</v>
      </c>
      <c r="C370">
        <v>931</v>
      </c>
      <c r="D370">
        <v>741</v>
      </c>
      <c r="E370">
        <v>190</v>
      </c>
      <c r="F370" s="12">
        <v>0.20408163265306123</v>
      </c>
      <c r="G370">
        <v>2025</v>
      </c>
      <c r="H370">
        <v>9</v>
      </c>
      <c r="I370" t="s">
        <v>2853</v>
      </c>
      <c r="J370" t="s">
        <v>2841</v>
      </c>
      <c r="K370" t="s">
        <v>2860</v>
      </c>
      <c r="L370" t="s">
        <v>2856</v>
      </c>
      <c r="M370" t="s">
        <v>2839</v>
      </c>
      <c r="N370" t="s">
        <v>2849</v>
      </c>
    </row>
    <row r="371" spans="1:14">
      <c r="A371">
        <v>2340</v>
      </c>
      <c r="B371">
        <v>187.20000000000002</v>
      </c>
      <c r="C371">
        <v>2152.8000000000002</v>
      </c>
      <c r="D371">
        <v>1404</v>
      </c>
      <c r="E371">
        <v>748.80000000000018</v>
      </c>
      <c r="F371" s="12">
        <v>0.34782608695652178</v>
      </c>
      <c r="G371">
        <v>2025</v>
      </c>
      <c r="H371">
        <v>7</v>
      </c>
      <c r="I371" t="s">
        <v>2840</v>
      </c>
      <c r="J371" t="s">
        <v>2841</v>
      </c>
      <c r="K371" t="s">
        <v>2847</v>
      </c>
      <c r="L371" t="s">
        <v>2856</v>
      </c>
      <c r="M371" t="s">
        <v>2839</v>
      </c>
      <c r="N371" t="s">
        <v>2857</v>
      </c>
    </row>
    <row r="372" spans="1:14">
      <c r="A372">
        <v>1560</v>
      </c>
      <c r="B372">
        <v>78</v>
      </c>
      <c r="C372">
        <v>1482</v>
      </c>
      <c r="D372">
        <v>1138.8000000000002</v>
      </c>
      <c r="E372">
        <v>343.19999999999982</v>
      </c>
      <c r="F372" s="12">
        <v>0.23157894736842094</v>
      </c>
      <c r="G372">
        <v>2025</v>
      </c>
      <c r="H372">
        <v>10</v>
      </c>
      <c r="I372" t="s">
        <v>2854</v>
      </c>
      <c r="J372" t="s">
        <v>2855</v>
      </c>
      <c r="K372" t="s">
        <v>2852</v>
      </c>
      <c r="L372" t="s">
        <v>2856</v>
      </c>
      <c r="M372" t="s">
        <v>2839</v>
      </c>
      <c r="N372" t="s">
        <v>2857</v>
      </c>
    </row>
    <row r="373" spans="1:14">
      <c r="A373">
        <v>35</v>
      </c>
      <c r="B373">
        <v>1.75</v>
      </c>
      <c r="C373">
        <v>33.25</v>
      </c>
      <c r="D373">
        <v>24.15</v>
      </c>
      <c r="E373">
        <v>9.1000000000000014</v>
      </c>
      <c r="F373" s="12">
        <v>0.27368421052631581</v>
      </c>
      <c r="G373">
        <v>2025</v>
      </c>
      <c r="H373">
        <v>6</v>
      </c>
      <c r="I373" t="s">
        <v>2864</v>
      </c>
      <c r="J373" t="s">
        <v>2846</v>
      </c>
      <c r="K373" t="s">
        <v>2847</v>
      </c>
      <c r="L373" t="s">
        <v>2843</v>
      </c>
      <c r="M373" t="s">
        <v>2837</v>
      </c>
      <c r="N373" t="s">
        <v>2844</v>
      </c>
    </row>
    <row r="374" spans="1:14">
      <c r="A374">
        <v>960</v>
      </c>
      <c r="B374">
        <v>76.8</v>
      </c>
      <c r="C374">
        <v>883.2</v>
      </c>
      <c r="D374">
        <v>710.4</v>
      </c>
      <c r="E374">
        <v>172.80000000000007</v>
      </c>
      <c r="F374" s="12">
        <v>0.19565217391304354</v>
      </c>
      <c r="G374">
        <v>2025</v>
      </c>
      <c r="H374">
        <v>1</v>
      </c>
      <c r="I374" t="s">
        <v>2850</v>
      </c>
      <c r="J374" t="s">
        <v>2851</v>
      </c>
      <c r="K374" t="s">
        <v>2847</v>
      </c>
      <c r="L374" t="s">
        <v>2843</v>
      </c>
      <c r="M374" t="s">
        <v>2837</v>
      </c>
      <c r="N374" t="s">
        <v>2849</v>
      </c>
    </row>
    <row r="375" spans="1:14">
      <c r="A375">
        <v>240</v>
      </c>
      <c r="B375">
        <v>0</v>
      </c>
      <c r="C375">
        <v>240</v>
      </c>
      <c r="D375">
        <v>177.6</v>
      </c>
      <c r="E375">
        <v>62.400000000000006</v>
      </c>
      <c r="F375" s="12">
        <v>0.26</v>
      </c>
      <c r="G375">
        <v>2025</v>
      </c>
      <c r="H375">
        <v>5</v>
      </c>
      <c r="I375" t="s">
        <v>2845</v>
      </c>
      <c r="J375" t="s">
        <v>2846</v>
      </c>
      <c r="K375" t="s">
        <v>2852</v>
      </c>
      <c r="L375" t="s">
        <v>2848</v>
      </c>
      <c r="M375" t="s">
        <v>2838</v>
      </c>
      <c r="N375" t="s">
        <v>2844</v>
      </c>
    </row>
    <row r="376" spans="1:14">
      <c r="A376">
        <v>1300</v>
      </c>
      <c r="B376">
        <v>130</v>
      </c>
      <c r="C376">
        <v>1170</v>
      </c>
      <c r="D376">
        <v>949</v>
      </c>
      <c r="E376">
        <v>221</v>
      </c>
      <c r="F376" s="12">
        <v>0.18888888888888888</v>
      </c>
      <c r="G376">
        <v>2025</v>
      </c>
      <c r="H376">
        <v>10</v>
      </c>
      <c r="I376" t="s">
        <v>2854</v>
      </c>
      <c r="J376" t="s">
        <v>2855</v>
      </c>
      <c r="K376" t="s">
        <v>2852</v>
      </c>
      <c r="L376" t="s">
        <v>2848</v>
      </c>
      <c r="M376" t="s">
        <v>2838</v>
      </c>
      <c r="N376" t="s">
        <v>2857</v>
      </c>
    </row>
    <row r="377" spans="1:14">
      <c r="A377">
        <v>290</v>
      </c>
      <c r="B377">
        <v>0</v>
      </c>
      <c r="C377">
        <v>290</v>
      </c>
      <c r="D377">
        <v>194.3</v>
      </c>
      <c r="E377">
        <v>95.699999999999989</v>
      </c>
      <c r="F377" s="12">
        <v>0.32999999999999996</v>
      </c>
      <c r="G377">
        <v>2025</v>
      </c>
      <c r="H377">
        <v>1</v>
      </c>
      <c r="I377" t="s">
        <v>2850</v>
      </c>
      <c r="J377" t="s">
        <v>2851</v>
      </c>
      <c r="K377" t="s">
        <v>2852</v>
      </c>
      <c r="L377" t="s">
        <v>2848</v>
      </c>
      <c r="M377" t="s">
        <v>2838</v>
      </c>
      <c r="N377" t="s">
        <v>2844</v>
      </c>
    </row>
    <row r="378" spans="1:14">
      <c r="A378">
        <v>1040</v>
      </c>
      <c r="B378">
        <v>104</v>
      </c>
      <c r="C378">
        <v>936</v>
      </c>
      <c r="D378">
        <v>759.2</v>
      </c>
      <c r="E378">
        <v>176.79999999999995</v>
      </c>
      <c r="F378" s="12">
        <v>0.18888888888888883</v>
      </c>
      <c r="G378">
        <v>2025</v>
      </c>
      <c r="H378">
        <v>2</v>
      </c>
      <c r="I378" t="s">
        <v>2861</v>
      </c>
      <c r="J378" t="s">
        <v>2851</v>
      </c>
      <c r="K378" t="s">
        <v>2852</v>
      </c>
      <c r="L378" t="s">
        <v>2856</v>
      </c>
      <c r="M378" t="s">
        <v>2839</v>
      </c>
      <c r="N378" t="s">
        <v>2849</v>
      </c>
    </row>
    <row r="379" spans="1:14">
      <c r="A379">
        <v>70</v>
      </c>
      <c r="B379">
        <v>0</v>
      </c>
      <c r="C379">
        <v>70</v>
      </c>
      <c r="D379">
        <v>48.3</v>
      </c>
      <c r="E379">
        <v>21.700000000000003</v>
      </c>
      <c r="F379" s="12">
        <v>0.31000000000000005</v>
      </c>
      <c r="G379">
        <v>2025</v>
      </c>
      <c r="H379">
        <v>3</v>
      </c>
      <c r="I379" t="s">
        <v>2859</v>
      </c>
      <c r="J379" t="s">
        <v>2851</v>
      </c>
      <c r="K379" t="s">
        <v>2860</v>
      </c>
      <c r="L379" t="s">
        <v>2856</v>
      </c>
      <c r="M379" t="s">
        <v>2838</v>
      </c>
      <c r="N379" t="s">
        <v>2844</v>
      </c>
    </row>
    <row r="380" spans="1:14">
      <c r="A380">
        <v>1560</v>
      </c>
      <c r="B380">
        <v>124.8</v>
      </c>
      <c r="C380">
        <v>1435.2</v>
      </c>
      <c r="D380">
        <v>936</v>
      </c>
      <c r="E380">
        <v>499.20000000000005</v>
      </c>
      <c r="F380" s="12">
        <v>0.34782608695652178</v>
      </c>
      <c r="G380">
        <v>2025</v>
      </c>
      <c r="H380">
        <v>1</v>
      </c>
      <c r="I380" t="s">
        <v>2850</v>
      </c>
      <c r="J380" t="s">
        <v>2851</v>
      </c>
      <c r="K380" t="s">
        <v>2852</v>
      </c>
      <c r="L380" t="s">
        <v>2848</v>
      </c>
      <c r="M380" t="s">
        <v>2838</v>
      </c>
      <c r="N380" t="s">
        <v>2857</v>
      </c>
    </row>
    <row r="381" spans="1:14">
      <c r="A381">
        <v>240</v>
      </c>
      <c r="B381">
        <v>0</v>
      </c>
      <c r="C381">
        <v>240</v>
      </c>
      <c r="D381">
        <v>146.4</v>
      </c>
      <c r="E381">
        <v>93.6</v>
      </c>
      <c r="F381" s="12">
        <v>0.38999999999999996</v>
      </c>
      <c r="G381">
        <v>2025</v>
      </c>
      <c r="H381">
        <v>10</v>
      </c>
      <c r="I381" t="s">
        <v>2854</v>
      </c>
      <c r="J381" t="s">
        <v>2855</v>
      </c>
      <c r="K381" t="s">
        <v>2842</v>
      </c>
      <c r="L381" t="s">
        <v>2848</v>
      </c>
      <c r="M381" t="s">
        <v>2838</v>
      </c>
      <c r="N381" t="s">
        <v>2844</v>
      </c>
    </row>
    <row r="382" spans="1:14">
      <c r="A382">
        <v>360</v>
      </c>
      <c r="B382">
        <v>0</v>
      </c>
      <c r="C382">
        <v>360</v>
      </c>
      <c r="D382">
        <v>219.60000000000002</v>
      </c>
      <c r="E382">
        <v>140.39999999999998</v>
      </c>
      <c r="F382" s="12">
        <v>0.38999999999999996</v>
      </c>
      <c r="G382">
        <v>2025</v>
      </c>
      <c r="H382">
        <v>9</v>
      </c>
      <c r="I382" t="s">
        <v>2853</v>
      </c>
      <c r="J382" t="s">
        <v>2841</v>
      </c>
      <c r="K382" t="s">
        <v>2842</v>
      </c>
      <c r="L382" t="s">
        <v>2856</v>
      </c>
      <c r="M382" t="s">
        <v>2839</v>
      </c>
      <c r="N382" t="s">
        <v>2844</v>
      </c>
    </row>
    <row r="383" spans="1:14">
      <c r="A383">
        <v>220</v>
      </c>
      <c r="B383">
        <v>17.600000000000001</v>
      </c>
      <c r="C383">
        <v>202.4</v>
      </c>
      <c r="D383">
        <v>145.19999999999999</v>
      </c>
      <c r="E383">
        <v>57.200000000000017</v>
      </c>
      <c r="F383" s="12">
        <v>0.282608695652174</v>
      </c>
      <c r="G383">
        <v>2025</v>
      </c>
      <c r="H383">
        <v>6</v>
      </c>
      <c r="I383" t="s">
        <v>2864</v>
      </c>
      <c r="J383" t="s">
        <v>2846</v>
      </c>
      <c r="K383" t="s">
        <v>2852</v>
      </c>
      <c r="L383" t="s">
        <v>2843</v>
      </c>
      <c r="M383" t="s">
        <v>2837</v>
      </c>
      <c r="N383" t="s">
        <v>2844</v>
      </c>
    </row>
    <row r="384" spans="1:14">
      <c r="A384">
        <v>190</v>
      </c>
      <c r="B384">
        <v>0</v>
      </c>
      <c r="C384">
        <v>190</v>
      </c>
      <c r="D384">
        <v>140.6</v>
      </c>
      <c r="E384">
        <v>49.400000000000006</v>
      </c>
      <c r="F384" s="12">
        <v>0.26</v>
      </c>
      <c r="G384">
        <v>2025</v>
      </c>
      <c r="H384">
        <v>11</v>
      </c>
      <c r="I384" t="s">
        <v>2862</v>
      </c>
      <c r="J384" t="s">
        <v>2855</v>
      </c>
      <c r="K384" t="s">
        <v>2860</v>
      </c>
      <c r="L384" t="s">
        <v>2848</v>
      </c>
      <c r="M384" t="s">
        <v>2838</v>
      </c>
      <c r="N384" t="s">
        <v>2844</v>
      </c>
    </row>
    <row r="385" spans="1:14">
      <c r="A385">
        <v>480</v>
      </c>
      <c r="B385">
        <v>0</v>
      </c>
      <c r="C385">
        <v>480</v>
      </c>
      <c r="D385">
        <v>355.2</v>
      </c>
      <c r="E385">
        <v>124.80000000000001</v>
      </c>
      <c r="F385" s="12">
        <v>0.26</v>
      </c>
      <c r="G385">
        <v>2025</v>
      </c>
      <c r="H385">
        <v>12</v>
      </c>
      <c r="I385" t="s">
        <v>2858</v>
      </c>
      <c r="J385" t="s">
        <v>2855</v>
      </c>
      <c r="K385" t="s">
        <v>2852</v>
      </c>
      <c r="L385" t="s">
        <v>2856</v>
      </c>
      <c r="M385" t="s">
        <v>2839</v>
      </c>
      <c r="N385" t="s">
        <v>2844</v>
      </c>
    </row>
    <row r="386" spans="1:14">
      <c r="A386">
        <v>65</v>
      </c>
      <c r="B386">
        <v>0</v>
      </c>
      <c r="C386">
        <v>65</v>
      </c>
      <c r="D386">
        <v>47.45</v>
      </c>
      <c r="E386">
        <v>17.549999999999997</v>
      </c>
      <c r="F386" s="12">
        <v>0.26999999999999996</v>
      </c>
      <c r="G386">
        <v>2025</v>
      </c>
      <c r="H386">
        <v>5</v>
      </c>
      <c r="I386" t="s">
        <v>2845</v>
      </c>
      <c r="J386" t="s">
        <v>2846</v>
      </c>
      <c r="K386" t="s">
        <v>2852</v>
      </c>
      <c r="L386" t="s">
        <v>2848</v>
      </c>
      <c r="M386" t="s">
        <v>2838</v>
      </c>
      <c r="N386" t="s">
        <v>2844</v>
      </c>
    </row>
    <row r="387" spans="1:14">
      <c r="A387">
        <v>88</v>
      </c>
      <c r="B387">
        <v>1.76</v>
      </c>
      <c r="C387">
        <v>86.24</v>
      </c>
      <c r="D387">
        <v>59.84</v>
      </c>
      <c r="E387">
        <v>26.399999999999991</v>
      </c>
      <c r="F387" s="12">
        <v>0.30612244897959173</v>
      </c>
      <c r="G387">
        <v>2025</v>
      </c>
      <c r="H387">
        <v>7</v>
      </c>
      <c r="I387" t="s">
        <v>2840</v>
      </c>
      <c r="J387" t="s">
        <v>2841</v>
      </c>
      <c r="K387" t="s">
        <v>2842</v>
      </c>
      <c r="L387" t="s">
        <v>2856</v>
      </c>
      <c r="M387" t="s">
        <v>2837</v>
      </c>
      <c r="N387" t="s">
        <v>2844</v>
      </c>
    </row>
    <row r="388" spans="1:14">
      <c r="A388">
        <v>44</v>
      </c>
      <c r="B388">
        <v>4.4000000000000004</v>
      </c>
      <c r="C388">
        <v>39.6</v>
      </c>
      <c r="D388">
        <v>29.92</v>
      </c>
      <c r="E388">
        <v>9.68</v>
      </c>
      <c r="F388" s="12">
        <v>0.24444444444444444</v>
      </c>
      <c r="G388">
        <v>2025</v>
      </c>
      <c r="H388">
        <v>4</v>
      </c>
      <c r="I388" t="s">
        <v>2865</v>
      </c>
      <c r="J388" t="s">
        <v>2846</v>
      </c>
      <c r="K388" t="s">
        <v>2860</v>
      </c>
      <c r="L388" t="s">
        <v>2856</v>
      </c>
      <c r="M388" t="s">
        <v>2839</v>
      </c>
      <c r="N388" t="s">
        <v>2844</v>
      </c>
    </row>
    <row r="389" spans="1:14">
      <c r="A389">
        <v>140</v>
      </c>
      <c r="B389">
        <v>0</v>
      </c>
      <c r="C389">
        <v>140</v>
      </c>
      <c r="D389">
        <v>96.6</v>
      </c>
      <c r="E389">
        <v>43.400000000000006</v>
      </c>
      <c r="F389" s="12">
        <v>0.31000000000000005</v>
      </c>
      <c r="G389">
        <v>2025</v>
      </c>
      <c r="H389">
        <v>4</v>
      </c>
      <c r="I389" t="s">
        <v>2865</v>
      </c>
      <c r="J389" t="s">
        <v>2846</v>
      </c>
      <c r="K389" t="s">
        <v>2842</v>
      </c>
      <c r="L389" t="s">
        <v>2856</v>
      </c>
      <c r="M389" t="s">
        <v>2839</v>
      </c>
      <c r="N389" t="s">
        <v>2844</v>
      </c>
    </row>
    <row r="390" spans="1:14">
      <c r="A390">
        <v>240</v>
      </c>
      <c r="B390">
        <v>0</v>
      </c>
      <c r="C390">
        <v>240</v>
      </c>
      <c r="D390">
        <v>146.4</v>
      </c>
      <c r="E390">
        <v>93.6</v>
      </c>
      <c r="F390" s="12">
        <v>0.38999999999999996</v>
      </c>
      <c r="G390">
        <v>2025</v>
      </c>
      <c r="H390">
        <v>12</v>
      </c>
      <c r="I390" t="s">
        <v>2858</v>
      </c>
      <c r="J390" t="s">
        <v>2855</v>
      </c>
      <c r="K390" t="s">
        <v>2852</v>
      </c>
      <c r="L390" t="s">
        <v>2856</v>
      </c>
      <c r="M390" t="s">
        <v>2837</v>
      </c>
      <c r="N390" t="s">
        <v>2844</v>
      </c>
    </row>
    <row r="391" spans="1:14">
      <c r="A391">
        <v>2900</v>
      </c>
      <c r="B391">
        <v>290</v>
      </c>
      <c r="C391">
        <v>2610</v>
      </c>
      <c r="D391">
        <v>1943</v>
      </c>
      <c r="E391">
        <v>667</v>
      </c>
      <c r="F391" s="12">
        <v>0.25555555555555554</v>
      </c>
      <c r="G391">
        <v>2025</v>
      </c>
      <c r="H391">
        <v>4</v>
      </c>
      <c r="I391" t="s">
        <v>2865</v>
      </c>
      <c r="J391" t="s">
        <v>2846</v>
      </c>
      <c r="K391" t="s">
        <v>2842</v>
      </c>
      <c r="L391" t="s">
        <v>2843</v>
      </c>
      <c r="M391" t="s">
        <v>2837</v>
      </c>
      <c r="N391" t="s">
        <v>2857</v>
      </c>
    </row>
    <row r="392" spans="1:14">
      <c r="A392">
        <v>240</v>
      </c>
      <c r="B392">
        <v>4.8</v>
      </c>
      <c r="C392">
        <v>235.2</v>
      </c>
      <c r="D392">
        <v>146.4</v>
      </c>
      <c r="E392">
        <v>88.799999999999983</v>
      </c>
      <c r="F392" s="12">
        <v>0.37755102040816318</v>
      </c>
      <c r="G392">
        <v>2025</v>
      </c>
      <c r="H392">
        <v>9</v>
      </c>
      <c r="I392" t="s">
        <v>2853</v>
      </c>
      <c r="J392" t="s">
        <v>2841</v>
      </c>
      <c r="K392" t="s">
        <v>2860</v>
      </c>
      <c r="L392" t="s">
        <v>2848</v>
      </c>
      <c r="M392" t="s">
        <v>2838</v>
      </c>
      <c r="N392" t="s">
        <v>2844</v>
      </c>
    </row>
    <row r="393" spans="1:14">
      <c r="A393">
        <v>120</v>
      </c>
      <c r="B393">
        <v>0</v>
      </c>
      <c r="C393">
        <v>120</v>
      </c>
      <c r="D393">
        <v>73.2</v>
      </c>
      <c r="E393">
        <v>46.8</v>
      </c>
      <c r="F393" s="12">
        <v>0.38999999999999996</v>
      </c>
      <c r="G393">
        <v>2025</v>
      </c>
      <c r="H393">
        <v>12</v>
      </c>
      <c r="I393" t="s">
        <v>2858</v>
      </c>
      <c r="J393" t="s">
        <v>2855</v>
      </c>
      <c r="K393" t="s">
        <v>2860</v>
      </c>
      <c r="L393" t="s">
        <v>2848</v>
      </c>
      <c r="M393" t="s">
        <v>2838</v>
      </c>
      <c r="N393" t="s">
        <v>2844</v>
      </c>
    </row>
    <row r="394" spans="1:14">
      <c r="A394">
        <v>550</v>
      </c>
      <c r="B394">
        <v>0</v>
      </c>
      <c r="C394">
        <v>550</v>
      </c>
      <c r="D394">
        <v>363</v>
      </c>
      <c r="E394">
        <v>187</v>
      </c>
      <c r="F394" s="12">
        <v>0.34</v>
      </c>
      <c r="G394">
        <v>2025</v>
      </c>
      <c r="H394">
        <v>5</v>
      </c>
      <c r="I394" t="s">
        <v>2845</v>
      </c>
      <c r="J394" t="s">
        <v>2846</v>
      </c>
      <c r="K394" t="s">
        <v>2842</v>
      </c>
      <c r="L394" t="s">
        <v>2843</v>
      </c>
      <c r="M394" t="s">
        <v>2837</v>
      </c>
      <c r="N394" t="s">
        <v>2849</v>
      </c>
    </row>
    <row r="395" spans="1:14">
      <c r="A395">
        <v>360</v>
      </c>
      <c r="B395">
        <v>0</v>
      </c>
      <c r="C395">
        <v>360</v>
      </c>
      <c r="D395">
        <v>219.60000000000002</v>
      </c>
      <c r="E395">
        <v>140.39999999999998</v>
      </c>
      <c r="F395" s="12">
        <v>0.38999999999999996</v>
      </c>
      <c r="G395">
        <v>2025</v>
      </c>
      <c r="H395">
        <v>10</v>
      </c>
      <c r="I395" t="s">
        <v>2854</v>
      </c>
      <c r="J395" t="s">
        <v>2855</v>
      </c>
      <c r="K395" t="s">
        <v>2842</v>
      </c>
      <c r="L395" t="s">
        <v>2843</v>
      </c>
      <c r="M395" t="s">
        <v>2839</v>
      </c>
      <c r="N395" t="s">
        <v>2844</v>
      </c>
    </row>
    <row r="396" spans="1:14">
      <c r="A396">
        <v>290</v>
      </c>
      <c r="B396">
        <v>23.2</v>
      </c>
      <c r="C396">
        <v>266.8</v>
      </c>
      <c r="D396">
        <v>194.3</v>
      </c>
      <c r="E396">
        <v>72.5</v>
      </c>
      <c r="F396" s="12">
        <v>0.27173913043478259</v>
      </c>
      <c r="G396">
        <v>2025</v>
      </c>
      <c r="H396">
        <v>6</v>
      </c>
      <c r="I396" t="s">
        <v>2864</v>
      </c>
      <c r="J396" t="s">
        <v>2846</v>
      </c>
      <c r="K396" t="s">
        <v>2847</v>
      </c>
      <c r="L396" t="s">
        <v>2843</v>
      </c>
      <c r="M396" t="s">
        <v>2837</v>
      </c>
      <c r="N396" t="s">
        <v>2844</v>
      </c>
    </row>
    <row r="397" spans="1:14">
      <c r="A397">
        <v>435</v>
      </c>
      <c r="B397">
        <v>8.7000000000000011</v>
      </c>
      <c r="C397">
        <v>426.3</v>
      </c>
      <c r="D397">
        <v>291.45000000000005</v>
      </c>
      <c r="E397">
        <v>134.84999999999997</v>
      </c>
      <c r="F397" s="12">
        <v>0.31632653061224481</v>
      </c>
      <c r="G397">
        <v>2025</v>
      </c>
      <c r="H397">
        <v>12</v>
      </c>
      <c r="I397" t="s">
        <v>2858</v>
      </c>
      <c r="J397" t="s">
        <v>2855</v>
      </c>
      <c r="K397" t="s">
        <v>2842</v>
      </c>
      <c r="L397" t="s">
        <v>2856</v>
      </c>
      <c r="M397" t="s">
        <v>2839</v>
      </c>
      <c r="N397" t="s">
        <v>2844</v>
      </c>
    </row>
    <row r="398" spans="1:14">
      <c r="A398">
        <v>130</v>
      </c>
      <c r="B398">
        <v>10.4</v>
      </c>
      <c r="C398">
        <v>119.6</v>
      </c>
      <c r="D398">
        <v>94.9</v>
      </c>
      <c r="E398">
        <v>24.699999999999989</v>
      </c>
      <c r="F398" s="12">
        <v>0.2065217391304347</v>
      </c>
      <c r="G398">
        <v>2025</v>
      </c>
      <c r="H398">
        <v>9</v>
      </c>
      <c r="I398" t="s">
        <v>2853</v>
      </c>
      <c r="J398" t="s">
        <v>2841</v>
      </c>
      <c r="K398" t="s">
        <v>2852</v>
      </c>
      <c r="L398" t="s">
        <v>2856</v>
      </c>
      <c r="M398" t="s">
        <v>2838</v>
      </c>
      <c r="N398" t="s">
        <v>2844</v>
      </c>
    </row>
    <row r="399" spans="1:14">
      <c r="A399">
        <v>440</v>
      </c>
      <c r="B399">
        <v>8.8000000000000007</v>
      </c>
      <c r="C399">
        <v>431.2</v>
      </c>
      <c r="D399">
        <v>290.39999999999998</v>
      </c>
      <c r="E399">
        <v>140.80000000000001</v>
      </c>
      <c r="F399" s="12">
        <v>0.32653061224489799</v>
      </c>
      <c r="G399">
        <v>2025</v>
      </c>
      <c r="H399">
        <v>10</v>
      </c>
      <c r="I399" t="s">
        <v>2854</v>
      </c>
      <c r="J399" t="s">
        <v>2855</v>
      </c>
      <c r="K399" t="s">
        <v>2860</v>
      </c>
      <c r="L399" t="s">
        <v>2843</v>
      </c>
      <c r="M399" t="s">
        <v>2837</v>
      </c>
      <c r="N399" t="s">
        <v>2844</v>
      </c>
    </row>
    <row r="400" spans="1:14">
      <c r="A400">
        <v>220</v>
      </c>
      <c r="B400">
        <v>0</v>
      </c>
      <c r="C400">
        <v>220</v>
      </c>
      <c r="D400">
        <v>145.19999999999999</v>
      </c>
      <c r="E400">
        <v>74.800000000000011</v>
      </c>
      <c r="F400" s="12">
        <v>0.34</v>
      </c>
      <c r="G400">
        <v>2025</v>
      </c>
      <c r="H400">
        <v>7</v>
      </c>
      <c r="I400" t="s">
        <v>2840</v>
      </c>
      <c r="J400" t="s">
        <v>2841</v>
      </c>
      <c r="K400" t="s">
        <v>2842</v>
      </c>
      <c r="L400" t="s">
        <v>2848</v>
      </c>
      <c r="M400" t="s">
        <v>2838</v>
      </c>
      <c r="N400" t="s">
        <v>2844</v>
      </c>
    </row>
    <row r="401" spans="1:14">
      <c r="A401">
        <v>2600</v>
      </c>
      <c r="B401">
        <v>52</v>
      </c>
      <c r="C401">
        <v>2548</v>
      </c>
      <c r="D401">
        <v>1742</v>
      </c>
      <c r="E401">
        <v>806</v>
      </c>
      <c r="F401" s="12">
        <v>0.31632653061224492</v>
      </c>
      <c r="G401">
        <v>2025</v>
      </c>
      <c r="H401">
        <v>4</v>
      </c>
      <c r="I401" t="s">
        <v>2865</v>
      </c>
      <c r="J401" t="s">
        <v>2846</v>
      </c>
      <c r="K401" t="s">
        <v>2847</v>
      </c>
      <c r="L401" t="s">
        <v>2848</v>
      </c>
      <c r="M401" t="s">
        <v>2838</v>
      </c>
      <c r="N401" t="s">
        <v>2857</v>
      </c>
    </row>
    <row r="402" spans="1:14">
      <c r="A402">
        <v>1680</v>
      </c>
      <c r="B402">
        <v>0</v>
      </c>
      <c r="C402">
        <v>1680</v>
      </c>
      <c r="D402">
        <v>1092</v>
      </c>
      <c r="E402">
        <v>588</v>
      </c>
      <c r="F402" s="12">
        <v>0.35</v>
      </c>
      <c r="G402">
        <v>2025</v>
      </c>
      <c r="H402">
        <v>10</v>
      </c>
      <c r="I402" t="s">
        <v>2854</v>
      </c>
      <c r="J402" t="s">
        <v>2855</v>
      </c>
      <c r="K402" t="s">
        <v>2847</v>
      </c>
      <c r="L402" t="s">
        <v>2856</v>
      </c>
      <c r="M402" t="s">
        <v>2837</v>
      </c>
      <c r="N402" t="s">
        <v>2857</v>
      </c>
    </row>
    <row r="403" spans="1:14">
      <c r="A403">
        <v>720</v>
      </c>
      <c r="B403">
        <v>36</v>
      </c>
      <c r="C403">
        <v>684</v>
      </c>
      <c r="D403">
        <v>532.79999999999995</v>
      </c>
      <c r="E403">
        <v>151.20000000000005</v>
      </c>
      <c r="F403" s="12">
        <v>0.22105263157894744</v>
      </c>
      <c r="G403">
        <v>2025</v>
      </c>
      <c r="H403">
        <v>6</v>
      </c>
      <c r="I403" t="s">
        <v>2864</v>
      </c>
      <c r="J403" t="s">
        <v>2846</v>
      </c>
      <c r="K403" t="s">
        <v>2852</v>
      </c>
      <c r="L403" t="s">
        <v>2856</v>
      </c>
      <c r="M403" t="s">
        <v>2839</v>
      </c>
      <c r="N403" t="s">
        <v>2849</v>
      </c>
    </row>
    <row r="404" spans="1:14">
      <c r="A404">
        <v>435</v>
      </c>
      <c r="B404">
        <v>0</v>
      </c>
      <c r="C404">
        <v>435</v>
      </c>
      <c r="D404">
        <v>291.45000000000005</v>
      </c>
      <c r="E404">
        <v>143.54999999999995</v>
      </c>
      <c r="F404" s="12">
        <v>0.3299999999999999</v>
      </c>
      <c r="G404">
        <v>2025</v>
      </c>
      <c r="H404">
        <v>9</v>
      </c>
      <c r="I404" t="s">
        <v>2853</v>
      </c>
      <c r="J404" t="s">
        <v>2841</v>
      </c>
      <c r="K404" t="s">
        <v>2847</v>
      </c>
      <c r="L404" t="s">
        <v>2843</v>
      </c>
      <c r="M404" t="s">
        <v>2837</v>
      </c>
      <c r="N404" t="s">
        <v>2844</v>
      </c>
    </row>
    <row r="405" spans="1:14">
      <c r="A405">
        <v>780</v>
      </c>
      <c r="B405">
        <v>0</v>
      </c>
      <c r="C405">
        <v>780</v>
      </c>
      <c r="D405">
        <v>468</v>
      </c>
      <c r="E405">
        <v>312</v>
      </c>
      <c r="F405" s="12">
        <v>0.4</v>
      </c>
      <c r="G405">
        <v>2025</v>
      </c>
      <c r="H405">
        <v>12</v>
      </c>
      <c r="I405" t="s">
        <v>2858</v>
      </c>
      <c r="J405" t="s">
        <v>2855</v>
      </c>
      <c r="K405" t="s">
        <v>2860</v>
      </c>
      <c r="L405" t="s">
        <v>2856</v>
      </c>
      <c r="M405" t="s">
        <v>2838</v>
      </c>
      <c r="N405" t="s">
        <v>2849</v>
      </c>
    </row>
    <row r="406" spans="1:14">
      <c r="A406">
        <v>190</v>
      </c>
      <c r="B406">
        <v>3.8000000000000003</v>
      </c>
      <c r="C406">
        <v>186.2</v>
      </c>
      <c r="D406">
        <v>148.19999999999999</v>
      </c>
      <c r="E406">
        <v>38</v>
      </c>
      <c r="F406" s="12">
        <v>0.20408163265306123</v>
      </c>
      <c r="G406">
        <v>2025</v>
      </c>
      <c r="H406">
        <v>2</v>
      </c>
      <c r="I406" t="s">
        <v>2861</v>
      </c>
      <c r="J406" t="s">
        <v>2851</v>
      </c>
      <c r="K406" t="s">
        <v>2852</v>
      </c>
      <c r="L406" t="s">
        <v>2843</v>
      </c>
      <c r="M406" t="s">
        <v>2837</v>
      </c>
      <c r="N406" t="s">
        <v>2844</v>
      </c>
    </row>
    <row r="407" spans="1:14">
      <c r="A407">
        <v>840</v>
      </c>
      <c r="B407">
        <v>0</v>
      </c>
      <c r="C407">
        <v>840</v>
      </c>
      <c r="D407">
        <v>546</v>
      </c>
      <c r="E407">
        <v>294</v>
      </c>
      <c r="F407" s="12">
        <v>0.35</v>
      </c>
      <c r="G407">
        <v>2025</v>
      </c>
      <c r="H407">
        <v>10</v>
      </c>
      <c r="I407" t="s">
        <v>2854</v>
      </c>
      <c r="J407" t="s">
        <v>2855</v>
      </c>
      <c r="K407" t="s">
        <v>2842</v>
      </c>
      <c r="L407" t="s">
        <v>2856</v>
      </c>
      <c r="M407" t="s">
        <v>2839</v>
      </c>
      <c r="N407" t="s">
        <v>2849</v>
      </c>
    </row>
    <row r="408" spans="1:14">
      <c r="A408">
        <v>110</v>
      </c>
      <c r="B408">
        <v>5.5</v>
      </c>
      <c r="C408">
        <v>104.5</v>
      </c>
      <c r="D408">
        <v>74.800000000000011</v>
      </c>
      <c r="E408">
        <v>29.699999999999989</v>
      </c>
      <c r="F408" s="12">
        <v>0.28421052631578936</v>
      </c>
      <c r="G408">
        <v>2025</v>
      </c>
      <c r="H408">
        <v>11</v>
      </c>
      <c r="I408" t="s">
        <v>2862</v>
      </c>
      <c r="J408" t="s">
        <v>2855</v>
      </c>
      <c r="K408" t="s">
        <v>2860</v>
      </c>
      <c r="L408" t="s">
        <v>2856</v>
      </c>
      <c r="M408" t="s">
        <v>2839</v>
      </c>
      <c r="N408" t="s">
        <v>2844</v>
      </c>
    </row>
    <row r="409" spans="1:14">
      <c r="A409">
        <v>190</v>
      </c>
      <c r="B409">
        <v>3.8000000000000003</v>
      </c>
      <c r="C409">
        <v>186.2</v>
      </c>
      <c r="D409">
        <v>148.19999999999999</v>
      </c>
      <c r="E409">
        <v>38</v>
      </c>
      <c r="F409" s="12">
        <v>0.20408163265306123</v>
      </c>
      <c r="G409">
        <v>2025</v>
      </c>
      <c r="H409">
        <v>8</v>
      </c>
      <c r="I409" t="s">
        <v>2863</v>
      </c>
      <c r="J409" t="s">
        <v>2841</v>
      </c>
      <c r="K409" t="s">
        <v>2860</v>
      </c>
      <c r="L409" t="s">
        <v>2848</v>
      </c>
      <c r="M409" t="s">
        <v>2838</v>
      </c>
      <c r="N409" t="s">
        <v>2844</v>
      </c>
    </row>
    <row r="410" spans="1:14">
      <c r="A410">
        <v>120</v>
      </c>
      <c r="B410">
        <v>0</v>
      </c>
      <c r="C410">
        <v>120</v>
      </c>
      <c r="D410">
        <v>73.2</v>
      </c>
      <c r="E410">
        <v>46.8</v>
      </c>
      <c r="F410" s="12">
        <v>0.38999999999999996</v>
      </c>
      <c r="G410">
        <v>2025</v>
      </c>
      <c r="H410">
        <v>4</v>
      </c>
      <c r="I410" t="s">
        <v>2865</v>
      </c>
      <c r="J410" t="s">
        <v>2846</v>
      </c>
      <c r="K410" t="s">
        <v>2847</v>
      </c>
      <c r="L410" t="s">
        <v>2856</v>
      </c>
      <c r="M410" t="s">
        <v>2839</v>
      </c>
      <c r="N410" t="s">
        <v>2844</v>
      </c>
    </row>
    <row r="411" spans="1:14">
      <c r="A411">
        <v>144</v>
      </c>
      <c r="B411">
        <v>0</v>
      </c>
      <c r="C411">
        <v>144</v>
      </c>
      <c r="D411">
        <v>112.32</v>
      </c>
      <c r="E411">
        <v>31.680000000000007</v>
      </c>
      <c r="F411" s="12">
        <v>0.22000000000000006</v>
      </c>
      <c r="G411">
        <v>2025</v>
      </c>
      <c r="H411">
        <v>6</v>
      </c>
      <c r="I411" t="s">
        <v>2864</v>
      </c>
      <c r="J411" t="s">
        <v>2846</v>
      </c>
      <c r="K411" t="s">
        <v>2852</v>
      </c>
      <c r="L411" t="s">
        <v>2843</v>
      </c>
      <c r="M411" t="s">
        <v>2837</v>
      </c>
      <c r="N411" t="s">
        <v>2844</v>
      </c>
    </row>
    <row r="412" spans="1:14">
      <c r="A412">
        <v>66</v>
      </c>
      <c r="B412">
        <v>0</v>
      </c>
      <c r="C412">
        <v>66</v>
      </c>
      <c r="D412">
        <v>44.88</v>
      </c>
      <c r="E412">
        <v>21.119999999999997</v>
      </c>
      <c r="F412" s="12">
        <v>0.31999999999999995</v>
      </c>
      <c r="G412">
        <v>2025</v>
      </c>
      <c r="H412">
        <v>8</v>
      </c>
      <c r="I412" t="s">
        <v>2863</v>
      </c>
      <c r="J412" t="s">
        <v>2841</v>
      </c>
      <c r="K412" t="s">
        <v>2842</v>
      </c>
      <c r="L412" t="s">
        <v>2848</v>
      </c>
      <c r="M412" t="s">
        <v>2838</v>
      </c>
      <c r="N412" t="s">
        <v>2844</v>
      </c>
    </row>
    <row r="413" spans="1:14">
      <c r="A413">
        <v>66</v>
      </c>
      <c r="B413">
        <v>0</v>
      </c>
      <c r="C413">
        <v>66</v>
      </c>
      <c r="D413">
        <v>44.88</v>
      </c>
      <c r="E413">
        <v>21.119999999999997</v>
      </c>
      <c r="F413" s="12">
        <v>0.31999999999999995</v>
      </c>
      <c r="G413">
        <v>2025</v>
      </c>
      <c r="H413">
        <v>11</v>
      </c>
      <c r="I413" t="s">
        <v>2862</v>
      </c>
      <c r="J413" t="s">
        <v>2855</v>
      </c>
      <c r="K413" t="s">
        <v>2847</v>
      </c>
      <c r="L413" t="s">
        <v>2856</v>
      </c>
      <c r="M413" t="s">
        <v>2839</v>
      </c>
      <c r="N413" t="s">
        <v>2844</v>
      </c>
    </row>
    <row r="414" spans="1:14">
      <c r="A414">
        <v>22</v>
      </c>
      <c r="B414">
        <v>2.2000000000000002</v>
      </c>
      <c r="C414">
        <v>19.8</v>
      </c>
      <c r="D414">
        <v>14.96</v>
      </c>
      <c r="E414">
        <v>4.84</v>
      </c>
      <c r="F414" s="12">
        <v>0.24444444444444444</v>
      </c>
      <c r="G414">
        <v>2025</v>
      </c>
      <c r="H414">
        <v>10</v>
      </c>
      <c r="I414" t="s">
        <v>2854</v>
      </c>
      <c r="J414" t="s">
        <v>2855</v>
      </c>
      <c r="K414" t="s">
        <v>2860</v>
      </c>
      <c r="L414" t="s">
        <v>2856</v>
      </c>
      <c r="M414" t="s">
        <v>2839</v>
      </c>
      <c r="N414" t="s">
        <v>2844</v>
      </c>
    </row>
    <row r="415" spans="1:14">
      <c r="A415">
        <v>520</v>
      </c>
      <c r="B415">
        <v>0</v>
      </c>
      <c r="C415">
        <v>520</v>
      </c>
      <c r="D415">
        <v>379.6</v>
      </c>
      <c r="E415">
        <v>140.39999999999998</v>
      </c>
      <c r="F415" s="12">
        <v>0.26999999999999996</v>
      </c>
      <c r="G415">
        <v>2025</v>
      </c>
      <c r="H415">
        <v>1</v>
      </c>
      <c r="I415" t="s">
        <v>2850</v>
      </c>
      <c r="J415" t="s">
        <v>2851</v>
      </c>
      <c r="K415" t="s">
        <v>2852</v>
      </c>
      <c r="L415" t="s">
        <v>2856</v>
      </c>
      <c r="M415" t="s">
        <v>2839</v>
      </c>
      <c r="N415" t="s">
        <v>2849</v>
      </c>
    </row>
    <row r="416" spans="1:14">
      <c r="A416">
        <v>130</v>
      </c>
      <c r="B416">
        <v>0</v>
      </c>
      <c r="C416">
        <v>130</v>
      </c>
      <c r="D416">
        <v>94.9</v>
      </c>
      <c r="E416">
        <v>35.099999999999994</v>
      </c>
      <c r="F416" s="12">
        <v>0.26999999999999996</v>
      </c>
      <c r="G416">
        <v>2025</v>
      </c>
      <c r="H416">
        <v>6</v>
      </c>
      <c r="I416" t="s">
        <v>2864</v>
      </c>
      <c r="J416" t="s">
        <v>2846</v>
      </c>
      <c r="K416" t="s">
        <v>2852</v>
      </c>
      <c r="L416" t="s">
        <v>2843</v>
      </c>
      <c r="M416" t="s">
        <v>2837</v>
      </c>
      <c r="N416" t="s">
        <v>2844</v>
      </c>
    </row>
    <row r="417" spans="1:14">
      <c r="A417">
        <v>550</v>
      </c>
      <c r="B417">
        <v>0</v>
      </c>
      <c r="C417">
        <v>550</v>
      </c>
      <c r="D417">
        <v>363</v>
      </c>
      <c r="E417">
        <v>187</v>
      </c>
      <c r="F417" s="12">
        <v>0.34</v>
      </c>
      <c r="G417">
        <v>2025</v>
      </c>
      <c r="H417">
        <v>6</v>
      </c>
      <c r="I417" t="s">
        <v>2864</v>
      </c>
      <c r="J417" t="s">
        <v>2846</v>
      </c>
      <c r="K417" t="s">
        <v>2860</v>
      </c>
      <c r="L417" t="s">
        <v>2848</v>
      </c>
      <c r="M417" t="s">
        <v>2838</v>
      </c>
      <c r="N417" t="s">
        <v>2849</v>
      </c>
    </row>
    <row r="418" spans="1:14">
      <c r="A418">
        <v>950</v>
      </c>
      <c r="B418">
        <v>47.5</v>
      </c>
      <c r="C418">
        <v>902.5</v>
      </c>
      <c r="D418">
        <v>741</v>
      </c>
      <c r="E418">
        <v>161.5</v>
      </c>
      <c r="F418" s="12">
        <v>0.17894736842105263</v>
      </c>
      <c r="G418">
        <v>2025</v>
      </c>
      <c r="H418">
        <v>3</v>
      </c>
      <c r="I418" t="s">
        <v>2859</v>
      </c>
      <c r="J418" t="s">
        <v>2851</v>
      </c>
      <c r="K418" t="s">
        <v>2860</v>
      </c>
      <c r="L418" t="s">
        <v>2843</v>
      </c>
      <c r="M418" t="s">
        <v>2839</v>
      </c>
      <c r="N418" t="s">
        <v>2849</v>
      </c>
    </row>
    <row r="419" spans="1:14">
      <c r="A419">
        <v>1560</v>
      </c>
      <c r="B419">
        <v>0</v>
      </c>
      <c r="C419">
        <v>1560</v>
      </c>
      <c r="D419">
        <v>1045.1999999999998</v>
      </c>
      <c r="E419">
        <v>514.80000000000018</v>
      </c>
      <c r="F419" s="12">
        <v>0.33000000000000013</v>
      </c>
      <c r="G419">
        <v>2025</v>
      </c>
      <c r="H419">
        <v>8</v>
      </c>
      <c r="I419" t="s">
        <v>2863</v>
      </c>
      <c r="J419" t="s">
        <v>2841</v>
      </c>
      <c r="K419" t="s">
        <v>2860</v>
      </c>
      <c r="L419" t="s">
        <v>2843</v>
      </c>
      <c r="M419" t="s">
        <v>2837</v>
      </c>
      <c r="N419" t="s">
        <v>2857</v>
      </c>
    </row>
    <row r="420" spans="1:14">
      <c r="A420">
        <v>540</v>
      </c>
      <c r="B420">
        <v>0</v>
      </c>
      <c r="C420">
        <v>540</v>
      </c>
      <c r="D420">
        <v>388.79999999999995</v>
      </c>
      <c r="E420">
        <v>151.20000000000005</v>
      </c>
      <c r="F420" s="12">
        <v>0.28000000000000008</v>
      </c>
      <c r="G420">
        <v>2025</v>
      </c>
      <c r="H420">
        <v>11</v>
      </c>
      <c r="I420" t="s">
        <v>2862</v>
      </c>
      <c r="J420" t="s">
        <v>2855</v>
      </c>
      <c r="K420" t="s">
        <v>2852</v>
      </c>
      <c r="L420" t="s">
        <v>2856</v>
      </c>
      <c r="M420" t="s">
        <v>2839</v>
      </c>
      <c r="N420" t="s">
        <v>2849</v>
      </c>
    </row>
    <row r="421" spans="1:14">
      <c r="A421">
        <v>145</v>
      </c>
      <c r="B421">
        <v>7.25</v>
      </c>
      <c r="C421">
        <v>137.75</v>
      </c>
      <c r="D421">
        <v>97.15</v>
      </c>
      <c r="E421">
        <v>40.599999999999994</v>
      </c>
      <c r="F421" s="12">
        <v>0.29473684210526313</v>
      </c>
      <c r="G421">
        <v>2025</v>
      </c>
      <c r="H421">
        <v>9</v>
      </c>
      <c r="I421" t="s">
        <v>2853</v>
      </c>
      <c r="J421" t="s">
        <v>2841</v>
      </c>
      <c r="K421" t="s">
        <v>2860</v>
      </c>
      <c r="L421" t="s">
        <v>2856</v>
      </c>
      <c r="M421" t="s">
        <v>2839</v>
      </c>
      <c r="N421" t="s">
        <v>2844</v>
      </c>
    </row>
    <row r="422" spans="1:14">
      <c r="A422">
        <v>66</v>
      </c>
      <c r="B422">
        <v>0</v>
      </c>
      <c r="C422">
        <v>66</v>
      </c>
      <c r="D422">
        <v>44.88</v>
      </c>
      <c r="E422">
        <v>21.119999999999997</v>
      </c>
      <c r="F422" s="12">
        <v>0.31999999999999995</v>
      </c>
      <c r="G422">
        <v>2025</v>
      </c>
      <c r="H422">
        <v>1</v>
      </c>
      <c r="I422" t="s">
        <v>2850</v>
      </c>
      <c r="J422" t="s">
        <v>2851</v>
      </c>
      <c r="K422" t="s">
        <v>2847</v>
      </c>
      <c r="L422" t="s">
        <v>2856</v>
      </c>
      <c r="M422" t="s">
        <v>2837</v>
      </c>
      <c r="N422" t="s">
        <v>2844</v>
      </c>
    </row>
    <row r="423" spans="1:14">
      <c r="A423">
        <v>350</v>
      </c>
      <c r="B423">
        <v>17.5</v>
      </c>
      <c r="C423">
        <v>332.5</v>
      </c>
      <c r="D423">
        <v>213.5</v>
      </c>
      <c r="E423">
        <v>119</v>
      </c>
      <c r="F423" s="12">
        <v>0.35789473684210527</v>
      </c>
      <c r="G423">
        <v>2025</v>
      </c>
      <c r="H423">
        <v>11</v>
      </c>
      <c r="I423" t="s">
        <v>2862</v>
      </c>
      <c r="J423" t="s">
        <v>2855</v>
      </c>
      <c r="K423" t="s">
        <v>2842</v>
      </c>
      <c r="L423" t="s">
        <v>2848</v>
      </c>
      <c r="M423" t="s">
        <v>2838</v>
      </c>
      <c r="N423" t="s">
        <v>2844</v>
      </c>
    </row>
    <row r="424" spans="1:14">
      <c r="A424">
        <v>192</v>
      </c>
      <c r="B424">
        <v>15.36</v>
      </c>
      <c r="C424">
        <v>176.64</v>
      </c>
      <c r="D424">
        <v>149.76</v>
      </c>
      <c r="E424">
        <v>26.879999999999995</v>
      </c>
      <c r="F424" s="12">
        <v>0.15217391304347824</v>
      </c>
      <c r="G424">
        <v>2025</v>
      </c>
      <c r="H424">
        <v>8</v>
      </c>
      <c r="I424" t="s">
        <v>2863</v>
      </c>
      <c r="J424" t="s">
        <v>2841</v>
      </c>
      <c r="K424" t="s">
        <v>2860</v>
      </c>
      <c r="L424" t="s">
        <v>2856</v>
      </c>
      <c r="M424" t="s">
        <v>2837</v>
      </c>
      <c r="N424" t="s">
        <v>2844</v>
      </c>
    </row>
    <row r="425" spans="1:14">
      <c r="A425">
        <v>260</v>
      </c>
      <c r="B425">
        <v>26</v>
      </c>
      <c r="C425">
        <v>234</v>
      </c>
      <c r="D425">
        <v>189.8</v>
      </c>
      <c r="E425">
        <v>44.199999999999989</v>
      </c>
      <c r="F425" s="12">
        <v>0.18888888888888883</v>
      </c>
      <c r="G425">
        <v>2025</v>
      </c>
      <c r="H425">
        <v>3</v>
      </c>
      <c r="I425" t="s">
        <v>2859</v>
      </c>
      <c r="J425" t="s">
        <v>2851</v>
      </c>
      <c r="K425" t="s">
        <v>2842</v>
      </c>
      <c r="L425" t="s">
        <v>2856</v>
      </c>
      <c r="M425" t="s">
        <v>2837</v>
      </c>
      <c r="N425" t="s">
        <v>2844</v>
      </c>
    </row>
    <row r="426" spans="1:14">
      <c r="A426">
        <v>240</v>
      </c>
      <c r="B426">
        <v>24</v>
      </c>
      <c r="C426">
        <v>216</v>
      </c>
      <c r="D426">
        <v>177.6</v>
      </c>
      <c r="E426">
        <v>38.400000000000006</v>
      </c>
      <c r="F426" s="12">
        <v>0.17777777777777781</v>
      </c>
      <c r="G426">
        <v>2025</v>
      </c>
      <c r="H426">
        <v>10</v>
      </c>
      <c r="I426" t="s">
        <v>2854</v>
      </c>
      <c r="J426" t="s">
        <v>2855</v>
      </c>
      <c r="K426" t="s">
        <v>2860</v>
      </c>
      <c r="L426" t="s">
        <v>2843</v>
      </c>
      <c r="M426" t="s">
        <v>2837</v>
      </c>
      <c r="N426" t="s">
        <v>2844</v>
      </c>
    </row>
    <row r="427" spans="1:14">
      <c r="A427">
        <v>240</v>
      </c>
      <c r="B427">
        <v>12</v>
      </c>
      <c r="C427">
        <v>228</v>
      </c>
      <c r="D427">
        <v>177.6</v>
      </c>
      <c r="E427">
        <v>50.400000000000006</v>
      </c>
      <c r="F427" s="12">
        <v>0.22105263157894739</v>
      </c>
      <c r="G427">
        <v>2025</v>
      </c>
      <c r="H427">
        <v>12</v>
      </c>
      <c r="I427" t="s">
        <v>2858</v>
      </c>
      <c r="J427" t="s">
        <v>2855</v>
      </c>
      <c r="K427" t="s">
        <v>2842</v>
      </c>
      <c r="L427" t="s">
        <v>2843</v>
      </c>
      <c r="M427" t="s">
        <v>2837</v>
      </c>
      <c r="N427" t="s">
        <v>2844</v>
      </c>
    </row>
    <row r="428" spans="1:14">
      <c r="A428">
        <v>325</v>
      </c>
      <c r="B428">
        <v>16.25</v>
      </c>
      <c r="C428">
        <v>308.75</v>
      </c>
      <c r="D428">
        <v>237.25</v>
      </c>
      <c r="E428">
        <v>71.5</v>
      </c>
      <c r="F428" s="12">
        <v>0.23157894736842105</v>
      </c>
      <c r="G428">
        <v>2025</v>
      </c>
      <c r="H428">
        <v>4</v>
      </c>
      <c r="I428" t="s">
        <v>2865</v>
      </c>
      <c r="J428" t="s">
        <v>2846</v>
      </c>
      <c r="K428" t="s">
        <v>2847</v>
      </c>
      <c r="L428" t="s">
        <v>2843</v>
      </c>
      <c r="M428" t="s">
        <v>2837</v>
      </c>
      <c r="N428" t="s">
        <v>2844</v>
      </c>
    </row>
    <row r="429" spans="1:14">
      <c r="A429">
        <v>570</v>
      </c>
      <c r="B429">
        <v>45.6</v>
      </c>
      <c r="C429">
        <v>524.4</v>
      </c>
      <c r="D429">
        <v>444.59999999999997</v>
      </c>
      <c r="E429">
        <v>79.800000000000011</v>
      </c>
      <c r="F429" s="12">
        <v>0.1521739130434783</v>
      </c>
      <c r="G429">
        <v>2025</v>
      </c>
      <c r="H429">
        <v>5</v>
      </c>
      <c r="I429" t="s">
        <v>2845</v>
      </c>
      <c r="J429" t="s">
        <v>2846</v>
      </c>
      <c r="K429" t="s">
        <v>2860</v>
      </c>
      <c r="L429" t="s">
        <v>2843</v>
      </c>
      <c r="M429" t="s">
        <v>2837</v>
      </c>
      <c r="N429" t="s">
        <v>2849</v>
      </c>
    </row>
    <row r="430" spans="1:14">
      <c r="A430">
        <v>95</v>
      </c>
      <c r="B430">
        <v>1.9000000000000001</v>
      </c>
      <c r="C430">
        <v>93.1</v>
      </c>
      <c r="D430">
        <v>70.3</v>
      </c>
      <c r="E430">
        <v>22.799999999999997</v>
      </c>
      <c r="F430" s="12">
        <v>0.24489795918367346</v>
      </c>
      <c r="G430">
        <v>2025</v>
      </c>
      <c r="H430">
        <v>6</v>
      </c>
      <c r="I430" t="s">
        <v>2864</v>
      </c>
      <c r="J430" t="s">
        <v>2846</v>
      </c>
      <c r="K430" t="s">
        <v>2852</v>
      </c>
      <c r="L430" t="s">
        <v>2848</v>
      </c>
      <c r="M430" t="s">
        <v>2838</v>
      </c>
      <c r="N430" t="s">
        <v>2844</v>
      </c>
    </row>
    <row r="431" spans="1:14">
      <c r="A431">
        <v>780</v>
      </c>
      <c r="B431">
        <v>0</v>
      </c>
      <c r="C431">
        <v>780</v>
      </c>
      <c r="D431">
        <v>468</v>
      </c>
      <c r="E431">
        <v>312</v>
      </c>
      <c r="F431" s="12">
        <v>0.4</v>
      </c>
      <c r="G431">
        <v>2025</v>
      </c>
      <c r="H431">
        <v>2</v>
      </c>
      <c r="I431" t="s">
        <v>2861</v>
      </c>
      <c r="J431" t="s">
        <v>2851</v>
      </c>
      <c r="K431" t="s">
        <v>2852</v>
      </c>
      <c r="L431" t="s">
        <v>2856</v>
      </c>
      <c r="M431" t="s">
        <v>2839</v>
      </c>
      <c r="N431" t="s">
        <v>2849</v>
      </c>
    </row>
    <row r="432" spans="1:14">
      <c r="A432">
        <v>380</v>
      </c>
      <c r="B432">
        <v>0</v>
      </c>
      <c r="C432">
        <v>380</v>
      </c>
      <c r="D432">
        <v>296.39999999999998</v>
      </c>
      <c r="E432">
        <v>83.600000000000023</v>
      </c>
      <c r="F432" s="12">
        <v>0.22000000000000006</v>
      </c>
      <c r="G432">
        <v>2025</v>
      </c>
      <c r="H432">
        <v>11</v>
      </c>
      <c r="I432" t="s">
        <v>2862</v>
      </c>
      <c r="J432" t="s">
        <v>2855</v>
      </c>
      <c r="K432" t="s">
        <v>2852</v>
      </c>
      <c r="L432" t="s">
        <v>2848</v>
      </c>
      <c r="M432" t="s">
        <v>2838</v>
      </c>
      <c r="N432" t="s">
        <v>2844</v>
      </c>
    </row>
    <row r="433" spans="1:14">
      <c r="A433">
        <v>1040</v>
      </c>
      <c r="B433">
        <v>0</v>
      </c>
      <c r="C433">
        <v>1040</v>
      </c>
      <c r="D433">
        <v>759.2</v>
      </c>
      <c r="E433">
        <v>280.79999999999995</v>
      </c>
      <c r="F433" s="12">
        <v>0.26999999999999996</v>
      </c>
      <c r="G433">
        <v>2025</v>
      </c>
      <c r="H433">
        <v>7</v>
      </c>
      <c r="I433" t="s">
        <v>2840</v>
      </c>
      <c r="J433" t="s">
        <v>2841</v>
      </c>
      <c r="K433" t="s">
        <v>2842</v>
      </c>
      <c r="L433" t="s">
        <v>2856</v>
      </c>
      <c r="M433" t="s">
        <v>2837</v>
      </c>
      <c r="N433" t="s">
        <v>2857</v>
      </c>
    </row>
    <row r="434" spans="1:14">
      <c r="A434">
        <v>96</v>
      </c>
      <c r="B434">
        <v>0</v>
      </c>
      <c r="C434">
        <v>96</v>
      </c>
      <c r="D434">
        <v>74.88</v>
      </c>
      <c r="E434">
        <v>21.120000000000005</v>
      </c>
      <c r="F434" s="12">
        <v>0.22000000000000006</v>
      </c>
      <c r="G434">
        <v>2025</v>
      </c>
      <c r="H434">
        <v>9</v>
      </c>
      <c r="I434" t="s">
        <v>2853</v>
      </c>
      <c r="J434" t="s">
        <v>2841</v>
      </c>
      <c r="K434" t="s">
        <v>2852</v>
      </c>
      <c r="L434" t="s">
        <v>2856</v>
      </c>
      <c r="M434" t="s">
        <v>2839</v>
      </c>
      <c r="N434" t="s">
        <v>2844</v>
      </c>
    </row>
    <row r="435" spans="1:14">
      <c r="A435">
        <v>540</v>
      </c>
      <c r="B435">
        <v>27</v>
      </c>
      <c r="C435">
        <v>513</v>
      </c>
      <c r="D435">
        <v>388.79999999999995</v>
      </c>
      <c r="E435">
        <v>124.20000000000005</v>
      </c>
      <c r="F435" s="12">
        <v>0.24210526315789482</v>
      </c>
      <c r="G435">
        <v>2025</v>
      </c>
      <c r="H435">
        <v>6</v>
      </c>
      <c r="I435" t="s">
        <v>2864</v>
      </c>
      <c r="J435" t="s">
        <v>2846</v>
      </c>
      <c r="K435" t="s">
        <v>2847</v>
      </c>
      <c r="L435" t="s">
        <v>2856</v>
      </c>
      <c r="M435" t="s">
        <v>2839</v>
      </c>
      <c r="N435" t="s">
        <v>2849</v>
      </c>
    </row>
    <row r="436" spans="1:14">
      <c r="A436">
        <v>22</v>
      </c>
      <c r="B436">
        <v>0</v>
      </c>
      <c r="C436">
        <v>22</v>
      </c>
      <c r="D436">
        <v>14.96</v>
      </c>
      <c r="E436">
        <v>7.0399999999999991</v>
      </c>
      <c r="F436" s="12">
        <v>0.31999999999999995</v>
      </c>
      <c r="G436">
        <v>2025</v>
      </c>
      <c r="H436">
        <v>5</v>
      </c>
      <c r="I436" t="s">
        <v>2845</v>
      </c>
      <c r="J436" t="s">
        <v>2846</v>
      </c>
      <c r="K436" t="s">
        <v>2847</v>
      </c>
      <c r="L436" t="s">
        <v>2856</v>
      </c>
      <c r="M436" t="s">
        <v>2839</v>
      </c>
      <c r="N436" t="s">
        <v>2844</v>
      </c>
    </row>
    <row r="437" spans="1:14">
      <c r="A437">
        <v>720</v>
      </c>
      <c r="B437">
        <v>0</v>
      </c>
      <c r="C437">
        <v>720</v>
      </c>
      <c r="D437">
        <v>532.79999999999995</v>
      </c>
      <c r="E437">
        <v>187.20000000000005</v>
      </c>
      <c r="F437" s="12">
        <v>0.26000000000000006</v>
      </c>
      <c r="G437">
        <v>2025</v>
      </c>
      <c r="H437">
        <v>7</v>
      </c>
      <c r="I437" t="s">
        <v>2840</v>
      </c>
      <c r="J437" t="s">
        <v>2841</v>
      </c>
      <c r="K437" t="s">
        <v>2852</v>
      </c>
      <c r="L437" t="s">
        <v>2856</v>
      </c>
      <c r="M437" t="s">
        <v>2839</v>
      </c>
      <c r="N437" t="s">
        <v>2849</v>
      </c>
    </row>
    <row r="438" spans="1:14">
      <c r="A438">
        <v>240</v>
      </c>
      <c r="B438">
        <v>19.2</v>
      </c>
      <c r="C438">
        <v>220.8</v>
      </c>
      <c r="D438">
        <v>146.4</v>
      </c>
      <c r="E438">
        <v>74.400000000000006</v>
      </c>
      <c r="F438" s="12">
        <v>0.33695652173913043</v>
      </c>
      <c r="G438">
        <v>2025</v>
      </c>
      <c r="H438">
        <v>9</v>
      </c>
      <c r="I438" t="s">
        <v>2853</v>
      </c>
      <c r="J438" t="s">
        <v>2841</v>
      </c>
      <c r="K438" t="s">
        <v>2852</v>
      </c>
      <c r="L438" t="s">
        <v>2848</v>
      </c>
      <c r="M438" t="s">
        <v>2838</v>
      </c>
      <c r="N438" t="s">
        <v>2844</v>
      </c>
    </row>
    <row r="439" spans="1:14">
      <c r="A439">
        <v>95</v>
      </c>
      <c r="B439">
        <v>0</v>
      </c>
      <c r="C439">
        <v>95</v>
      </c>
      <c r="D439">
        <v>70.3</v>
      </c>
      <c r="E439">
        <v>24.700000000000003</v>
      </c>
      <c r="F439" s="12">
        <v>0.26</v>
      </c>
      <c r="G439">
        <v>2025</v>
      </c>
      <c r="H439">
        <v>10</v>
      </c>
      <c r="I439" t="s">
        <v>2854</v>
      </c>
      <c r="J439" t="s">
        <v>2855</v>
      </c>
      <c r="K439" t="s">
        <v>2860</v>
      </c>
      <c r="L439" t="s">
        <v>2848</v>
      </c>
      <c r="M439" t="s">
        <v>2838</v>
      </c>
      <c r="N439" t="s">
        <v>2844</v>
      </c>
    </row>
    <row r="440" spans="1:14">
      <c r="A440">
        <v>65</v>
      </c>
      <c r="B440">
        <v>0</v>
      </c>
      <c r="C440">
        <v>65</v>
      </c>
      <c r="D440">
        <v>47.45</v>
      </c>
      <c r="E440">
        <v>17.549999999999997</v>
      </c>
      <c r="F440" s="12">
        <v>0.26999999999999996</v>
      </c>
      <c r="G440">
        <v>2025</v>
      </c>
      <c r="H440">
        <v>5</v>
      </c>
      <c r="I440" t="s">
        <v>2845</v>
      </c>
      <c r="J440" t="s">
        <v>2846</v>
      </c>
      <c r="K440" t="s">
        <v>2852</v>
      </c>
      <c r="L440" t="s">
        <v>2856</v>
      </c>
      <c r="M440" t="s">
        <v>2838</v>
      </c>
      <c r="N440" t="s">
        <v>2844</v>
      </c>
    </row>
    <row r="441" spans="1:14">
      <c r="A441">
        <v>380</v>
      </c>
      <c r="B441">
        <v>19</v>
      </c>
      <c r="C441">
        <v>361</v>
      </c>
      <c r="D441">
        <v>281.2</v>
      </c>
      <c r="E441">
        <v>79.800000000000011</v>
      </c>
      <c r="F441" s="12">
        <v>0.22105263157894739</v>
      </c>
      <c r="G441">
        <v>2025</v>
      </c>
      <c r="H441">
        <v>4</v>
      </c>
      <c r="I441" t="s">
        <v>2865</v>
      </c>
      <c r="J441" t="s">
        <v>2846</v>
      </c>
      <c r="K441" t="s">
        <v>2847</v>
      </c>
      <c r="L441" t="s">
        <v>2856</v>
      </c>
      <c r="M441" t="s">
        <v>2839</v>
      </c>
      <c r="N441" t="s">
        <v>2844</v>
      </c>
    </row>
    <row r="442" spans="1:14">
      <c r="A442">
        <v>2600</v>
      </c>
      <c r="B442">
        <v>0</v>
      </c>
      <c r="C442">
        <v>2600</v>
      </c>
      <c r="D442">
        <v>1898</v>
      </c>
      <c r="E442">
        <v>702</v>
      </c>
      <c r="F442" s="12">
        <v>0.27</v>
      </c>
      <c r="G442">
        <v>2025</v>
      </c>
      <c r="H442">
        <v>1</v>
      </c>
      <c r="I442" t="s">
        <v>2850</v>
      </c>
      <c r="J442" t="s">
        <v>2851</v>
      </c>
      <c r="K442" t="s">
        <v>2852</v>
      </c>
      <c r="L442" t="s">
        <v>2843</v>
      </c>
      <c r="M442" t="s">
        <v>2837</v>
      </c>
      <c r="N442" t="s">
        <v>2857</v>
      </c>
    </row>
    <row r="443" spans="1:14">
      <c r="A443">
        <v>330</v>
      </c>
      <c r="B443">
        <v>0</v>
      </c>
      <c r="C443">
        <v>330</v>
      </c>
      <c r="D443">
        <v>217.79999999999998</v>
      </c>
      <c r="E443">
        <v>112.20000000000002</v>
      </c>
      <c r="F443" s="12">
        <v>0.34</v>
      </c>
      <c r="G443">
        <v>2025</v>
      </c>
      <c r="H443">
        <v>1</v>
      </c>
      <c r="I443" t="s">
        <v>2850</v>
      </c>
      <c r="J443" t="s">
        <v>2851</v>
      </c>
      <c r="K443" t="s">
        <v>2842</v>
      </c>
      <c r="L443" t="s">
        <v>2843</v>
      </c>
      <c r="M443" t="s">
        <v>2837</v>
      </c>
      <c r="N443" t="s">
        <v>2844</v>
      </c>
    </row>
    <row r="444" spans="1:14">
      <c r="A444">
        <v>380</v>
      </c>
      <c r="B444">
        <v>30.400000000000002</v>
      </c>
      <c r="C444">
        <v>349.6</v>
      </c>
      <c r="D444">
        <v>296.39999999999998</v>
      </c>
      <c r="E444">
        <v>53.200000000000045</v>
      </c>
      <c r="F444" s="12">
        <v>0.15217391304347838</v>
      </c>
      <c r="G444">
        <v>2025</v>
      </c>
      <c r="H444">
        <v>4</v>
      </c>
      <c r="I444" t="s">
        <v>2865</v>
      </c>
      <c r="J444" t="s">
        <v>2846</v>
      </c>
      <c r="K444" t="s">
        <v>2852</v>
      </c>
      <c r="L444" t="s">
        <v>2848</v>
      </c>
      <c r="M444" t="s">
        <v>2838</v>
      </c>
      <c r="N444" t="s">
        <v>2844</v>
      </c>
    </row>
    <row r="445" spans="1:14">
      <c r="A445">
        <v>120</v>
      </c>
      <c r="B445">
        <v>6</v>
      </c>
      <c r="C445">
        <v>114</v>
      </c>
      <c r="D445">
        <v>73.2</v>
      </c>
      <c r="E445">
        <v>40.799999999999997</v>
      </c>
      <c r="F445" s="12">
        <v>0.35789473684210527</v>
      </c>
      <c r="G445">
        <v>2025</v>
      </c>
      <c r="H445">
        <v>6</v>
      </c>
      <c r="I445" t="s">
        <v>2864</v>
      </c>
      <c r="J445" t="s">
        <v>2846</v>
      </c>
      <c r="K445" t="s">
        <v>2860</v>
      </c>
      <c r="L445" t="s">
        <v>2856</v>
      </c>
      <c r="M445" t="s">
        <v>2839</v>
      </c>
      <c r="N445" t="s">
        <v>2844</v>
      </c>
    </row>
    <row r="446" spans="1:14">
      <c r="A446">
        <v>440</v>
      </c>
      <c r="B446">
        <v>0</v>
      </c>
      <c r="C446">
        <v>440</v>
      </c>
      <c r="D446">
        <v>290.39999999999998</v>
      </c>
      <c r="E446">
        <v>149.60000000000002</v>
      </c>
      <c r="F446" s="12">
        <v>0.34</v>
      </c>
      <c r="G446">
        <v>2025</v>
      </c>
      <c r="H446">
        <v>5</v>
      </c>
      <c r="I446" t="s">
        <v>2845</v>
      </c>
      <c r="J446" t="s">
        <v>2846</v>
      </c>
      <c r="K446" t="s">
        <v>2852</v>
      </c>
      <c r="L446" t="s">
        <v>2848</v>
      </c>
      <c r="M446" t="s">
        <v>2838</v>
      </c>
      <c r="N446" t="s">
        <v>2844</v>
      </c>
    </row>
    <row r="447" spans="1:14">
      <c r="A447">
        <v>440</v>
      </c>
      <c r="B447">
        <v>35.200000000000003</v>
      </c>
      <c r="C447">
        <v>404.8</v>
      </c>
      <c r="D447">
        <v>290.39999999999998</v>
      </c>
      <c r="E447">
        <v>114.40000000000003</v>
      </c>
      <c r="F447" s="12">
        <v>0.282608695652174</v>
      </c>
      <c r="G447">
        <v>2025</v>
      </c>
      <c r="H447">
        <v>5</v>
      </c>
      <c r="I447" t="s">
        <v>2845</v>
      </c>
      <c r="J447" t="s">
        <v>2846</v>
      </c>
      <c r="K447" t="s">
        <v>2847</v>
      </c>
      <c r="L447" t="s">
        <v>2856</v>
      </c>
      <c r="M447" t="s">
        <v>2839</v>
      </c>
      <c r="N447" t="s">
        <v>2844</v>
      </c>
    </row>
    <row r="448" spans="1:14">
      <c r="A448">
        <v>3120</v>
      </c>
      <c r="B448">
        <v>156</v>
      </c>
      <c r="C448">
        <v>2964</v>
      </c>
      <c r="D448">
        <v>1872</v>
      </c>
      <c r="E448">
        <v>1092</v>
      </c>
      <c r="F448" s="12">
        <v>0.36842105263157893</v>
      </c>
      <c r="G448">
        <v>2025</v>
      </c>
      <c r="H448">
        <v>12</v>
      </c>
      <c r="I448" t="s">
        <v>2858</v>
      </c>
      <c r="J448" t="s">
        <v>2855</v>
      </c>
      <c r="K448" t="s">
        <v>2852</v>
      </c>
      <c r="L448" t="s">
        <v>2856</v>
      </c>
      <c r="M448" t="s">
        <v>2839</v>
      </c>
      <c r="N448" t="s">
        <v>2857</v>
      </c>
    </row>
    <row r="449" spans="1:14">
      <c r="A449">
        <v>260</v>
      </c>
      <c r="B449">
        <v>5.2</v>
      </c>
      <c r="C449">
        <v>254.8</v>
      </c>
      <c r="D449">
        <v>189.8</v>
      </c>
      <c r="E449">
        <v>65</v>
      </c>
      <c r="F449" s="12">
        <v>0.25510204081632654</v>
      </c>
      <c r="G449">
        <v>2025</v>
      </c>
      <c r="H449">
        <v>1</v>
      </c>
      <c r="I449" t="s">
        <v>2850</v>
      </c>
      <c r="J449" t="s">
        <v>2851</v>
      </c>
      <c r="K449" t="s">
        <v>2842</v>
      </c>
      <c r="L449" t="s">
        <v>2848</v>
      </c>
      <c r="M449" t="s">
        <v>2838</v>
      </c>
      <c r="N449" t="s">
        <v>2844</v>
      </c>
    </row>
    <row r="450" spans="1:14">
      <c r="A450">
        <v>130</v>
      </c>
      <c r="B450">
        <v>13</v>
      </c>
      <c r="C450">
        <v>117</v>
      </c>
      <c r="D450">
        <v>94.9</v>
      </c>
      <c r="E450">
        <v>22.099999999999994</v>
      </c>
      <c r="F450" s="12">
        <v>0.18888888888888883</v>
      </c>
      <c r="G450">
        <v>2025</v>
      </c>
      <c r="H450">
        <v>6</v>
      </c>
      <c r="I450" t="s">
        <v>2864</v>
      </c>
      <c r="J450" t="s">
        <v>2846</v>
      </c>
      <c r="K450" t="s">
        <v>2842</v>
      </c>
      <c r="L450" t="s">
        <v>2843</v>
      </c>
      <c r="M450" t="s">
        <v>2837</v>
      </c>
      <c r="N450" t="s">
        <v>2844</v>
      </c>
    </row>
    <row r="451" spans="1:14">
      <c r="A451">
        <v>380</v>
      </c>
      <c r="B451">
        <v>0</v>
      </c>
      <c r="C451">
        <v>380</v>
      </c>
      <c r="D451">
        <v>296.39999999999998</v>
      </c>
      <c r="E451">
        <v>83.600000000000023</v>
      </c>
      <c r="F451" s="12">
        <v>0.22000000000000006</v>
      </c>
      <c r="G451">
        <v>2025</v>
      </c>
      <c r="H451">
        <v>12</v>
      </c>
      <c r="I451" t="s">
        <v>2858</v>
      </c>
      <c r="J451" t="s">
        <v>2855</v>
      </c>
      <c r="K451" t="s">
        <v>2842</v>
      </c>
      <c r="L451" t="s">
        <v>2848</v>
      </c>
      <c r="M451" t="s">
        <v>2838</v>
      </c>
      <c r="N451" t="s">
        <v>2844</v>
      </c>
    </row>
    <row r="452" spans="1:14">
      <c r="A452">
        <v>520</v>
      </c>
      <c r="B452">
        <v>0</v>
      </c>
      <c r="C452">
        <v>520</v>
      </c>
      <c r="D452">
        <v>348.4</v>
      </c>
      <c r="E452">
        <v>171.60000000000002</v>
      </c>
      <c r="F452" s="12">
        <v>0.33000000000000007</v>
      </c>
      <c r="G452">
        <v>2025</v>
      </c>
      <c r="H452">
        <v>1</v>
      </c>
      <c r="I452" t="s">
        <v>2850</v>
      </c>
      <c r="J452" t="s">
        <v>2851</v>
      </c>
      <c r="K452" t="s">
        <v>2860</v>
      </c>
      <c r="L452" t="s">
        <v>2848</v>
      </c>
      <c r="M452" t="s">
        <v>2838</v>
      </c>
      <c r="N452" t="s">
        <v>2849</v>
      </c>
    </row>
    <row r="453" spans="1:14">
      <c r="A453">
        <v>840</v>
      </c>
      <c r="B453">
        <v>0</v>
      </c>
      <c r="C453">
        <v>840</v>
      </c>
      <c r="D453">
        <v>546</v>
      </c>
      <c r="E453">
        <v>294</v>
      </c>
      <c r="F453" s="12">
        <v>0.35</v>
      </c>
      <c r="G453">
        <v>2025</v>
      </c>
      <c r="H453">
        <v>1</v>
      </c>
      <c r="I453" t="s">
        <v>2850</v>
      </c>
      <c r="J453" t="s">
        <v>2851</v>
      </c>
      <c r="K453" t="s">
        <v>2842</v>
      </c>
      <c r="L453" t="s">
        <v>2856</v>
      </c>
      <c r="M453" t="s">
        <v>2839</v>
      </c>
      <c r="N453" t="s">
        <v>2849</v>
      </c>
    </row>
    <row r="454" spans="1:14">
      <c r="A454">
        <v>900</v>
      </c>
      <c r="B454">
        <v>0</v>
      </c>
      <c r="C454">
        <v>900</v>
      </c>
      <c r="D454">
        <v>648</v>
      </c>
      <c r="E454">
        <v>252</v>
      </c>
      <c r="F454" s="12">
        <v>0.28000000000000003</v>
      </c>
      <c r="G454">
        <v>2025</v>
      </c>
      <c r="H454">
        <v>6</v>
      </c>
      <c r="I454" t="s">
        <v>2864</v>
      </c>
      <c r="J454" t="s">
        <v>2846</v>
      </c>
      <c r="K454" t="s">
        <v>2842</v>
      </c>
      <c r="L454" t="s">
        <v>2848</v>
      </c>
      <c r="M454" t="s">
        <v>2838</v>
      </c>
      <c r="N454" t="s">
        <v>2849</v>
      </c>
    </row>
    <row r="455" spans="1:14">
      <c r="A455">
        <v>220</v>
      </c>
      <c r="B455">
        <v>17.600000000000001</v>
      </c>
      <c r="C455">
        <v>202.4</v>
      </c>
      <c r="D455">
        <v>145.19999999999999</v>
      </c>
      <c r="E455">
        <v>57.200000000000017</v>
      </c>
      <c r="F455" s="12">
        <v>0.282608695652174</v>
      </c>
      <c r="G455">
        <v>2025</v>
      </c>
      <c r="H455">
        <v>1</v>
      </c>
      <c r="I455" t="s">
        <v>2850</v>
      </c>
      <c r="J455" t="s">
        <v>2851</v>
      </c>
      <c r="K455" t="s">
        <v>2842</v>
      </c>
      <c r="L455" t="s">
        <v>2856</v>
      </c>
      <c r="M455" t="s">
        <v>2839</v>
      </c>
      <c r="N455" t="s">
        <v>2844</v>
      </c>
    </row>
    <row r="456" spans="1:14">
      <c r="A456">
        <v>65</v>
      </c>
      <c r="B456">
        <v>6.5</v>
      </c>
      <c r="C456">
        <v>58.5</v>
      </c>
      <c r="D456">
        <v>47.45</v>
      </c>
      <c r="E456">
        <v>11.049999999999997</v>
      </c>
      <c r="F456" s="12">
        <v>0.18888888888888883</v>
      </c>
      <c r="G456">
        <v>2025</v>
      </c>
      <c r="H456">
        <v>5</v>
      </c>
      <c r="I456" t="s">
        <v>2845</v>
      </c>
      <c r="J456" t="s">
        <v>2846</v>
      </c>
      <c r="K456" t="s">
        <v>2842</v>
      </c>
      <c r="L456" t="s">
        <v>2843</v>
      </c>
      <c r="M456" t="s">
        <v>2837</v>
      </c>
      <c r="N456" t="s">
        <v>2844</v>
      </c>
    </row>
    <row r="457" spans="1:14">
      <c r="A457">
        <v>540</v>
      </c>
      <c r="B457">
        <v>54</v>
      </c>
      <c r="C457">
        <v>486</v>
      </c>
      <c r="D457">
        <v>388.79999999999995</v>
      </c>
      <c r="E457">
        <v>97.200000000000045</v>
      </c>
      <c r="F457" s="12">
        <v>0.20000000000000009</v>
      </c>
      <c r="G457">
        <v>2025</v>
      </c>
      <c r="H457">
        <v>6</v>
      </c>
      <c r="I457" t="s">
        <v>2864</v>
      </c>
      <c r="J457" t="s">
        <v>2846</v>
      </c>
      <c r="K457" t="s">
        <v>2842</v>
      </c>
      <c r="L457" t="s">
        <v>2843</v>
      </c>
      <c r="M457" t="s">
        <v>2837</v>
      </c>
      <c r="N457" t="s">
        <v>2844</v>
      </c>
    </row>
    <row r="458" spans="1:14">
      <c r="A458">
        <v>190</v>
      </c>
      <c r="B458">
        <v>0</v>
      </c>
      <c r="C458">
        <v>190</v>
      </c>
      <c r="D458">
        <v>140.6</v>
      </c>
      <c r="E458">
        <v>49.400000000000006</v>
      </c>
      <c r="F458" s="12">
        <v>0.26</v>
      </c>
      <c r="G458">
        <v>2025</v>
      </c>
      <c r="H458">
        <v>1</v>
      </c>
      <c r="I458" t="s">
        <v>2850</v>
      </c>
      <c r="J458" t="s">
        <v>2851</v>
      </c>
      <c r="K458" t="s">
        <v>2842</v>
      </c>
      <c r="L458" t="s">
        <v>2843</v>
      </c>
      <c r="M458" t="s">
        <v>2837</v>
      </c>
      <c r="N458" t="s">
        <v>2844</v>
      </c>
    </row>
    <row r="459" spans="1:14">
      <c r="A459">
        <v>350</v>
      </c>
      <c r="B459">
        <v>0</v>
      </c>
      <c r="C459">
        <v>350</v>
      </c>
      <c r="D459">
        <v>213.5</v>
      </c>
      <c r="E459">
        <v>136.5</v>
      </c>
      <c r="F459" s="12">
        <v>0.39</v>
      </c>
      <c r="G459">
        <v>2025</v>
      </c>
      <c r="H459">
        <v>7</v>
      </c>
      <c r="I459" t="s">
        <v>2840</v>
      </c>
      <c r="J459" t="s">
        <v>2841</v>
      </c>
      <c r="K459" t="s">
        <v>2842</v>
      </c>
      <c r="L459" t="s">
        <v>2843</v>
      </c>
      <c r="M459" t="s">
        <v>2837</v>
      </c>
      <c r="N459" t="s">
        <v>2844</v>
      </c>
    </row>
    <row r="460" spans="1:14">
      <c r="A460">
        <v>96</v>
      </c>
      <c r="B460">
        <v>0</v>
      </c>
      <c r="C460">
        <v>96</v>
      </c>
      <c r="D460">
        <v>74.88</v>
      </c>
      <c r="E460">
        <v>21.120000000000005</v>
      </c>
      <c r="F460" s="12">
        <v>0.22000000000000006</v>
      </c>
      <c r="G460">
        <v>2025</v>
      </c>
      <c r="H460">
        <v>6</v>
      </c>
      <c r="I460" t="s">
        <v>2864</v>
      </c>
      <c r="J460" t="s">
        <v>2846</v>
      </c>
      <c r="K460" t="s">
        <v>2852</v>
      </c>
      <c r="L460" t="s">
        <v>2856</v>
      </c>
      <c r="M460" t="s">
        <v>2839</v>
      </c>
      <c r="N460" t="s">
        <v>2844</v>
      </c>
    </row>
    <row r="461" spans="1:14">
      <c r="A461">
        <v>240</v>
      </c>
      <c r="B461">
        <v>19.2</v>
      </c>
      <c r="C461">
        <v>220.8</v>
      </c>
      <c r="D461">
        <v>177.6</v>
      </c>
      <c r="E461">
        <v>43.200000000000017</v>
      </c>
      <c r="F461" s="12">
        <v>0.19565217391304354</v>
      </c>
      <c r="G461">
        <v>2025</v>
      </c>
      <c r="H461">
        <v>7</v>
      </c>
      <c r="I461" t="s">
        <v>2840</v>
      </c>
      <c r="J461" t="s">
        <v>2841</v>
      </c>
      <c r="K461" t="s">
        <v>2847</v>
      </c>
      <c r="L461" t="s">
        <v>2843</v>
      </c>
      <c r="M461" t="s">
        <v>2839</v>
      </c>
      <c r="N461" t="s">
        <v>2844</v>
      </c>
    </row>
    <row r="462" spans="1:14">
      <c r="A462">
        <v>195</v>
      </c>
      <c r="B462">
        <v>0</v>
      </c>
      <c r="C462">
        <v>195</v>
      </c>
      <c r="D462">
        <v>142.35000000000002</v>
      </c>
      <c r="E462">
        <v>52.649999999999977</v>
      </c>
      <c r="F462" s="12">
        <v>0.26999999999999991</v>
      </c>
      <c r="G462">
        <v>2025</v>
      </c>
      <c r="H462">
        <v>4</v>
      </c>
      <c r="I462" t="s">
        <v>2865</v>
      </c>
      <c r="J462" t="s">
        <v>2846</v>
      </c>
      <c r="K462" t="s">
        <v>2842</v>
      </c>
      <c r="L462" t="s">
        <v>2856</v>
      </c>
      <c r="M462" t="s">
        <v>2839</v>
      </c>
      <c r="N462" t="s">
        <v>2844</v>
      </c>
    </row>
    <row r="463" spans="1:14">
      <c r="A463">
        <v>180</v>
      </c>
      <c r="B463">
        <v>14.4</v>
      </c>
      <c r="C463">
        <v>165.6</v>
      </c>
      <c r="D463">
        <v>129.6</v>
      </c>
      <c r="E463">
        <v>36</v>
      </c>
      <c r="F463" s="12">
        <v>0.21739130434782608</v>
      </c>
      <c r="G463">
        <v>2025</v>
      </c>
      <c r="H463">
        <v>8</v>
      </c>
      <c r="I463" t="s">
        <v>2863</v>
      </c>
      <c r="J463" t="s">
        <v>2841</v>
      </c>
      <c r="K463" t="s">
        <v>2847</v>
      </c>
      <c r="L463" t="s">
        <v>2848</v>
      </c>
      <c r="M463" t="s">
        <v>2838</v>
      </c>
      <c r="N463" t="s">
        <v>2844</v>
      </c>
    </row>
    <row r="464" spans="1:14">
      <c r="A464">
        <v>110</v>
      </c>
      <c r="B464">
        <v>2.2000000000000002</v>
      </c>
      <c r="C464">
        <v>107.8</v>
      </c>
      <c r="D464">
        <v>72.599999999999994</v>
      </c>
      <c r="E464">
        <v>35.200000000000003</v>
      </c>
      <c r="F464" s="12">
        <v>0.32653061224489799</v>
      </c>
      <c r="G464">
        <v>2025</v>
      </c>
      <c r="H464">
        <v>5</v>
      </c>
      <c r="I464" t="s">
        <v>2845</v>
      </c>
      <c r="J464" t="s">
        <v>2846</v>
      </c>
      <c r="K464" t="s">
        <v>2842</v>
      </c>
      <c r="L464" t="s">
        <v>2856</v>
      </c>
      <c r="M464" t="s">
        <v>2837</v>
      </c>
      <c r="N464" t="s">
        <v>2844</v>
      </c>
    </row>
    <row r="465" spans="1:14">
      <c r="A465">
        <v>780</v>
      </c>
      <c r="B465">
        <v>62.4</v>
      </c>
      <c r="C465">
        <v>717.6</v>
      </c>
      <c r="D465">
        <v>569.40000000000009</v>
      </c>
      <c r="E465">
        <v>148.19999999999993</v>
      </c>
      <c r="F465" s="12">
        <v>0.20652173913043467</v>
      </c>
      <c r="G465">
        <v>2025</v>
      </c>
      <c r="H465">
        <v>8</v>
      </c>
      <c r="I465" t="s">
        <v>2863</v>
      </c>
      <c r="J465" t="s">
        <v>2841</v>
      </c>
      <c r="K465" t="s">
        <v>2847</v>
      </c>
      <c r="L465" t="s">
        <v>2856</v>
      </c>
      <c r="M465" t="s">
        <v>2839</v>
      </c>
      <c r="N465" t="s">
        <v>2849</v>
      </c>
    </row>
    <row r="466" spans="1:14">
      <c r="A466">
        <v>360</v>
      </c>
      <c r="B466">
        <v>28.8</v>
      </c>
      <c r="C466">
        <v>331.2</v>
      </c>
      <c r="D466">
        <v>219.60000000000002</v>
      </c>
      <c r="E466">
        <v>111.59999999999997</v>
      </c>
      <c r="F466" s="12">
        <v>0.33695652173913032</v>
      </c>
      <c r="G466">
        <v>2025</v>
      </c>
      <c r="H466">
        <v>2</v>
      </c>
      <c r="I466" t="s">
        <v>2861</v>
      </c>
      <c r="J466" t="s">
        <v>2851</v>
      </c>
      <c r="K466" t="s">
        <v>2852</v>
      </c>
      <c r="L466" t="s">
        <v>2848</v>
      </c>
      <c r="M466" t="s">
        <v>2838</v>
      </c>
      <c r="N466" t="s">
        <v>2844</v>
      </c>
    </row>
    <row r="467" spans="1:14">
      <c r="A467">
        <v>110</v>
      </c>
      <c r="B467">
        <v>0</v>
      </c>
      <c r="C467">
        <v>110</v>
      </c>
      <c r="D467">
        <v>72.599999999999994</v>
      </c>
      <c r="E467">
        <v>37.400000000000006</v>
      </c>
      <c r="F467" s="12">
        <v>0.34</v>
      </c>
      <c r="G467">
        <v>2025</v>
      </c>
      <c r="H467">
        <v>10</v>
      </c>
      <c r="I467" t="s">
        <v>2854</v>
      </c>
      <c r="J467" t="s">
        <v>2855</v>
      </c>
      <c r="K467" t="s">
        <v>2847</v>
      </c>
      <c r="L467" t="s">
        <v>2856</v>
      </c>
      <c r="M467" t="s">
        <v>2839</v>
      </c>
      <c r="N467" t="s">
        <v>2844</v>
      </c>
    </row>
    <row r="468" spans="1:14">
      <c r="A468">
        <v>260</v>
      </c>
      <c r="B468">
        <v>20.8</v>
      </c>
      <c r="C468">
        <v>239.2</v>
      </c>
      <c r="D468">
        <v>189.8</v>
      </c>
      <c r="E468">
        <v>49.399999999999977</v>
      </c>
      <c r="F468" s="12">
        <v>0.2065217391304347</v>
      </c>
      <c r="G468">
        <v>2025</v>
      </c>
      <c r="H468">
        <v>9</v>
      </c>
      <c r="I468" t="s">
        <v>2853</v>
      </c>
      <c r="J468" t="s">
        <v>2841</v>
      </c>
      <c r="K468" t="s">
        <v>2852</v>
      </c>
      <c r="L468" t="s">
        <v>2866</v>
      </c>
      <c r="M468" t="s">
        <v>2838</v>
      </c>
      <c r="N468" t="s">
        <v>2844</v>
      </c>
    </row>
    <row r="469" spans="1:14">
      <c r="A469">
        <v>1100</v>
      </c>
      <c r="B469">
        <v>88</v>
      </c>
      <c r="C469">
        <v>1012</v>
      </c>
      <c r="D469">
        <v>726</v>
      </c>
      <c r="E469">
        <v>286</v>
      </c>
      <c r="F469" s="12">
        <v>0.28260869565217389</v>
      </c>
      <c r="G469">
        <v>2025</v>
      </c>
      <c r="H469">
        <v>10</v>
      </c>
      <c r="I469" t="s">
        <v>2854</v>
      </c>
      <c r="J469" t="s">
        <v>2855</v>
      </c>
      <c r="K469" t="s">
        <v>2842</v>
      </c>
      <c r="L469" t="s">
        <v>2848</v>
      </c>
      <c r="M469" t="s">
        <v>2838</v>
      </c>
      <c r="N469" t="s">
        <v>2857</v>
      </c>
    </row>
    <row r="470" spans="1:14">
      <c r="A470">
        <v>1560</v>
      </c>
      <c r="B470">
        <v>0</v>
      </c>
      <c r="C470">
        <v>1560</v>
      </c>
      <c r="D470">
        <v>936</v>
      </c>
      <c r="E470">
        <v>624</v>
      </c>
      <c r="F470" s="12">
        <v>0.4</v>
      </c>
      <c r="G470">
        <v>2025</v>
      </c>
      <c r="H470">
        <v>9</v>
      </c>
      <c r="I470" t="s">
        <v>2853</v>
      </c>
      <c r="J470" t="s">
        <v>2841</v>
      </c>
      <c r="K470" t="s">
        <v>2852</v>
      </c>
      <c r="L470" t="s">
        <v>2856</v>
      </c>
      <c r="M470" t="s">
        <v>2838</v>
      </c>
      <c r="N470" t="s">
        <v>2857</v>
      </c>
    </row>
    <row r="471" spans="1:14">
      <c r="A471">
        <v>120</v>
      </c>
      <c r="B471">
        <v>0</v>
      </c>
      <c r="C471">
        <v>120</v>
      </c>
      <c r="D471">
        <v>73.2</v>
      </c>
      <c r="E471">
        <v>46.8</v>
      </c>
      <c r="F471" s="12">
        <v>0.38999999999999996</v>
      </c>
      <c r="G471">
        <v>2025</v>
      </c>
      <c r="H471">
        <v>10</v>
      </c>
      <c r="I471" t="s">
        <v>2854</v>
      </c>
      <c r="J471" t="s">
        <v>2855</v>
      </c>
      <c r="K471" t="s">
        <v>2842</v>
      </c>
      <c r="L471" t="s">
        <v>2843</v>
      </c>
      <c r="M471" t="s">
        <v>2837</v>
      </c>
      <c r="N471" t="s">
        <v>2844</v>
      </c>
    </row>
    <row r="472" spans="1:14">
      <c r="A472">
        <v>1900</v>
      </c>
      <c r="B472">
        <v>38</v>
      </c>
      <c r="C472">
        <v>1862</v>
      </c>
      <c r="D472">
        <v>1406</v>
      </c>
      <c r="E472">
        <v>456</v>
      </c>
      <c r="F472" s="12">
        <v>0.24489795918367346</v>
      </c>
      <c r="G472">
        <v>2025</v>
      </c>
      <c r="H472">
        <v>9</v>
      </c>
      <c r="I472" t="s">
        <v>2853</v>
      </c>
      <c r="J472" t="s">
        <v>2841</v>
      </c>
      <c r="K472" t="s">
        <v>2860</v>
      </c>
      <c r="L472" t="s">
        <v>2856</v>
      </c>
      <c r="M472" t="s">
        <v>2839</v>
      </c>
      <c r="N472" t="s">
        <v>2857</v>
      </c>
    </row>
    <row r="473" spans="1:14">
      <c r="A473">
        <v>10400</v>
      </c>
      <c r="B473">
        <v>520</v>
      </c>
      <c r="C473">
        <v>9880</v>
      </c>
      <c r="D473">
        <v>6968</v>
      </c>
      <c r="E473">
        <v>2912</v>
      </c>
      <c r="F473" s="12">
        <v>0.29473684210526313</v>
      </c>
      <c r="G473">
        <v>2025</v>
      </c>
      <c r="H473">
        <v>4</v>
      </c>
      <c r="I473" t="s">
        <v>2865</v>
      </c>
      <c r="J473" t="s">
        <v>2846</v>
      </c>
      <c r="K473" t="s">
        <v>2860</v>
      </c>
      <c r="L473" t="s">
        <v>2848</v>
      </c>
      <c r="M473" t="s">
        <v>2838</v>
      </c>
      <c r="N473" t="s">
        <v>2857</v>
      </c>
    </row>
    <row r="474" spans="1:14">
      <c r="A474">
        <v>440</v>
      </c>
      <c r="B474">
        <v>8.8000000000000007</v>
      </c>
      <c r="C474">
        <v>431.2</v>
      </c>
      <c r="D474">
        <v>290.39999999999998</v>
      </c>
      <c r="E474">
        <v>140.80000000000001</v>
      </c>
      <c r="F474" s="12">
        <v>0.32653061224489799</v>
      </c>
      <c r="G474">
        <v>2025</v>
      </c>
      <c r="H474">
        <v>6</v>
      </c>
      <c r="I474" t="s">
        <v>2864</v>
      </c>
      <c r="J474" t="s">
        <v>2846</v>
      </c>
      <c r="K474" t="s">
        <v>2860</v>
      </c>
      <c r="L474" t="s">
        <v>2843</v>
      </c>
      <c r="M474" t="s">
        <v>2837</v>
      </c>
      <c r="N474" t="s">
        <v>2844</v>
      </c>
    </row>
    <row r="475" spans="1:14">
      <c r="A475">
        <v>1560</v>
      </c>
      <c r="B475">
        <v>0</v>
      </c>
      <c r="C475">
        <v>1560</v>
      </c>
      <c r="D475">
        <v>1045.1999999999998</v>
      </c>
      <c r="E475">
        <v>514.80000000000018</v>
      </c>
      <c r="F475" s="12">
        <v>0.33000000000000013</v>
      </c>
      <c r="G475">
        <v>2025</v>
      </c>
      <c r="H475">
        <v>10</v>
      </c>
      <c r="I475" t="s">
        <v>2854</v>
      </c>
      <c r="J475" t="s">
        <v>2855</v>
      </c>
      <c r="K475" t="s">
        <v>2852</v>
      </c>
      <c r="L475" t="s">
        <v>2848</v>
      </c>
      <c r="M475" t="s">
        <v>2839</v>
      </c>
      <c r="N475" t="s">
        <v>2857</v>
      </c>
    </row>
    <row r="476" spans="1:14">
      <c r="A476">
        <v>190</v>
      </c>
      <c r="B476">
        <v>0</v>
      </c>
      <c r="C476">
        <v>190</v>
      </c>
      <c r="D476">
        <v>140.6</v>
      </c>
      <c r="E476">
        <v>49.400000000000006</v>
      </c>
      <c r="F476" s="12">
        <v>0.26</v>
      </c>
      <c r="G476">
        <v>2025</v>
      </c>
      <c r="H476">
        <v>4</v>
      </c>
      <c r="I476" t="s">
        <v>2865</v>
      </c>
      <c r="J476" t="s">
        <v>2846</v>
      </c>
      <c r="K476" t="s">
        <v>2842</v>
      </c>
      <c r="L476" t="s">
        <v>2856</v>
      </c>
      <c r="M476" t="s">
        <v>2839</v>
      </c>
      <c r="N476" t="s">
        <v>2844</v>
      </c>
    </row>
    <row r="477" spans="1:14">
      <c r="A477">
        <v>1040</v>
      </c>
      <c r="B477">
        <v>20.8</v>
      </c>
      <c r="C477">
        <v>1019.2</v>
      </c>
      <c r="D477">
        <v>696.8</v>
      </c>
      <c r="E477">
        <v>322.40000000000009</v>
      </c>
      <c r="F477" s="12">
        <v>0.31632653061224497</v>
      </c>
      <c r="G477">
        <v>2025</v>
      </c>
      <c r="H477">
        <v>12</v>
      </c>
      <c r="I477" t="s">
        <v>2858</v>
      </c>
      <c r="J477" t="s">
        <v>2855</v>
      </c>
      <c r="K477" t="s">
        <v>2852</v>
      </c>
      <c r="L477" t="s">
        <v>2856</v>
      </c>
      <c r="M477" t="s">
        <v>2839</v>
      </c>
      <c r="N477" t="s">
        <v>2857</v>
      </c>
    </row>
    <row r="478" spans="1:14">
      <c r="A478">
        <v>70</v>
      </c>
      <c r="B478">
        <v>0</v>
      </c>
      <c r="C478">
        <v>70</v>
      </c>
      <c r="D478">
        <v>48.3</v>
      </c>
      <c r="E478">
        <v>21.700000000000003</v>
      </c>
      <c r="F478" s="12">
        <v>0.31000000000000005</v>
      </c>
      <c r="G478">
        <v>2025</v>
      </c>
      <c r="H478">
        <v>11</v>
      </c>
      <c r="I478" t="s">
        <v>2862</v>
      </c>
      <c r="J478" t="s">
        <v>2855</v>
      </c>
      <c r="K478" t="s">
        <v>2847</v>
      </c>
      <c r="L478" t="s">
        <v>2866</v>
      </c>
      <c r="M478" t="s">
        <v>2838</v>
      </c>
      <c r="N478" t="s">
        <v>2844</v>
      </c>
    </row>
    <row r="479" spans="1:14">
      <c r="A479">
        <v>580</v>
      </c>
      <c r="B479">
        <v>0</v>
      </c>
      <c r="C479">
        <v>580</v>
      </c>
      <c r="D479">
        <v>388.6</v>
      </c>
      <c r="E479">
        <v>191.39999999999998</v>
      </c>
      <c r="F479" s="12">
        <v>0.32999999999999996</v>
      </c>
      <c r="G479">
        <v>2025</v>
      </c>
      <c r="H479">
        <v>7</v>
      </c>
      <c r="I479" t="s">
        <v>2840</v>
      </c>
      <c r="J479" t="s">
        <v>2841</v>
      </c>
      <c r="K479" t="s">
        <v>2852</v>
      </c>
      <c r="L479" t="s">
        <v>2848</v>
      </c>
      <c r="M479" t="s">
        <v>2839</v>
      </c>
      <c r="N479" t="s">
        <v>2849</v>
      </c>
    </row>
    <row r="480" spans="1:14">
      <c r="A480">
        <v>1200</v>
      </c>
      <c r="B480">
        <v>0</v>
      </c>
      <c r="C480">
        <v>1200</v>
      </c>
      <c r="D480">
        <v>888</v>
      </c>
      <c r="E480">
        <v>312</v>
      </c>
      <c r="F480" s="12">
        <v>0.26</v>
      </c>
      <c r="G480">
        <v>2025</v>
      </c>
      <c r="H480">
        <v>2</v>
      </c>
      <c r="I480" t="s">
        <v>2861</v>
      </c>
      <c r="J480" t="s">
        <v>2851</v>
      </c>
      <c r="K480" t="s">
        <v>2852</v>
      </c>
      <c r="L480" t="s">
        <v>2848</v>
      </c>
      <c r="M480" t="s">
        <v>2839</v>
      </c>
      <c r="N480" t="s">
        <v>2857</v>
      </c>
    </row>
    <row r="481" spans="1:14">
      <c r="A481">
        <v>105</v>
      </c>
      <c r="B481">
        <v>10.5</v>
      </c>
      <c r="C481">
        <v>94.5</v>
      </c>
      <c r="D481">
        <v>72.449999999999989</v>
      </c>
      <c r="E481">
        <v>22.050000000000011</v>
      </c>
      <c r="F481" s="12">
        <v>0.23333333333333345</v>
      </c>
      <c r="G481">
        <v>2025</v>
      </c>
      <c r="H481">
        <v>9</v>
      </c>
      <c r="I481" t="s">
        <v>2853</v>
      </c>
      <c r="J481" t="s">
        <v>2841</v>
      </c>
      <c r="K481" t="s">
        <v>2852</v>
      </c>
      <c r="L481" t="s">
        <v>2856</v>
      </c>
      <c r="M481" t="s">
        <v>2839</v>
      </c>
      <c r="N481" t="s">
        <v>2844</v>
      </c>
    </row>
    <row r="482" spans="1:14">
      <c r="A482">
        <v>35</v>
      </c>
      <c r="B482">
        <v>0</v>
      </c>
      <c r="C482">
        <v>35</v>
      </c>
      <c r="D482">
        <v>24.15</v>
      </c>
      <c r="E482">
        <v>10.850000000000001</v>
      </c>
      <c r="F482" s="12">
        <v>0.31000000000000005</v>
      </c>
      <c r="G482">
        <v>2025</v>
      </c>
      <c r="H482">
        <v>2</v>
      </c>
      <c r="I482" t="s">
        <v>2861</v>
      </c>
      <c r="J482" t="s">
        <v>2851</v>
      </c>
      <c r="K482" t="s">
        <v>2860</v>
      </c>
      <c r="L482" t="s">
        <v>2848</v>
      </c>
      <c r="M482" t="s">
        <v>2838</v>
      </c>
      <c r="N482" t="s">
        <v>2844</v>
      </c>
    </row>
    <row r="483" spans="1:14">
      <c r="A483">
        <v>1100</v>
      </c>
      <c r="B483">
        <v>88</v>
      </c>
      <c r="C483">
        <v>1012</v>
      </c>
      <c r="D483">
        <v>726</v>
      </c>
      <c r="E483">
        <v>286</v>
      </c>
      <c r="F483" s="12">
        <v>0.28260869565217389</v>
      </c>
      <c r="G483">
        <v>2025</v>
      </c>
      <c r="H483">
        <v>8</v>
      </c>
      <c r="I483" t="s">
        <v>2863</v>
      </c>
      <c r="J483" t="s">
        <v>2841</v>
      </c>
      <c r="K483" t="s">
        <v>2860</v>
      </c>
      <c r="L483" t="s">
        <v>2848</v>
      </c>
      <c r="M483" t="s">
        <v>2838</v>
      </c>
      <c r="N483" t="s">
        <v>2857</v>
      </c>
    </row>
    <row r="484" spans="1:14">
      <c r="A484">
        <v>240</v>
      </c>
      <c r="B484">
        <v>4.8</v>
      </c>
      <c r="C484">
        <v>235.2</v>
      </c>
      <c r="D484">
        <v>146.4</v>
      </c>
      <c r="E484">
        <v>88.799999999999983</v>
      </c>
      <c r="F484" s="12">
        <v>0.37755102040816318</v>
      </c>
      <c r="G484">
        <v>2025</v>
      </c>
      <c r="H484">
        <v>1</v>
      </c>
      <c r="I484" t="s">
        <v>2850</v>
      </c>
      <c r="J484" t="s">
        <v>2851</v>
      </c>
      <c r="K484" t="s">
        <v>2852</v>
      </c>
      <c r="L484" t="s">
        <v>2848</v>
      </c>
      <c r="M484" t="s">
        <v>2838</v>
      </c>
      <c r="N484" t="s">
        <v>2844</v>
      </c>
    </row>
    <row r="485" spans="1:14">
      <c r="A485">
        <v>48</v>
      </c>
      <c r="B485">
        <v>4.8000000000000007</v>
      </c>
      <c r="C485">
        <v>43.2</v>
      </c>
      <c r="D485">
        <v>37.44</v>
      </c>
      <c r="E485">
        <v>5.7600000000000051</v>
      </c>
      <c r="F485" s="12">
        <v>0.13333333333333344</v>
      </c>
      <c r="G485">
        <v>2025</v>
      </c>
      <c r="H485">
        <v>3</v>
      </c>
      <c r="I485" t="s">
        <v>2859</v>
      </c>
      <c r="J485" t="s">
        <v>2851</v>
      </c>
      <c r="K485" t="s">
        <v>2860</v>
      </c>
      <c r="L485" t="s">
        <v>2848</v>
      </c>
      <c r="M485" t="s">
        <v>2838</v>
      </c>
      <c r="N485" t="s">
        <v>2844</v>
      </c>
    </row>
    <row r="486" spans="1:14">
      <c r="A486">
        <v>380</v>
      </c>
      <c r="B486">
        <v>0</v>
      </c>
      <c r="C486">
        <v>380</v>
      </c>
      <c r="D486">
        <v>296.39999999999998</v>
      </c>
      <c r="E486">
        <v>83.600000000000023</v>
      </c>
      <c r="F486" s="12">
        <v>0.22000000000000006</v>
      </c>
      <c r="G486">
        <v>2025</v>
      </c>
      <c r="H486">
        <v>12</v>
      </c>
      <c r="I486" t="s">
        <v>2858</v>
      </c>
      <c r="J486" t="s">
        <v>2855</v>
      </c>
      <c r="K486" t="s">
        <v>2847</v>
      </c>
      <c r="L486" t="s">
        <v>2856</v>
      </c>
      <c r="M486" t="s">
        <v>2837</v>
      </c>
      <c r="N486" t="s">
        <v>2844</v>
      </c>
    </row>
    <row r="487" spans="1:14">
      <c r="A487">
        <v>480</v>
      </c>
      <c r="B487">
        <v>0</v>
      </c>
      <c r="C487">
        <v>480</v>
      </c>
      <c r="D487">
        <v>355.2</v>
      </c>
      <c r="E487">
        <v>124.80000000000001</v>
      </c>
      <c r="F487" s="12">
        <v>0.26</v>
      </c>
      <c r="G487">
        <v>2025</v>
      </c>
      <c r="H487">
        <v>12</v>
      </c>
      <c r="I487" t="s">
        <v>2858</v>
      </c>
      <c r="J487" t="s">
        <v>2855</v>
      </c>
      <c r="K487" t="s">
        <v>2852</v>
      </c>
      <c r="L487" t="s">
        <v>2848</v>
      </c>
      <c r="M487" t="s">
        <v>2838</v>
      </c>
      <c r="N487" t="s">
        <v>2844</v>
      </c>
    </row>
    <row r="488" spans="1:14">
      <c r="A488">
        <v>720</v>
      </c>
      <c r="B488">
        <v>36</v>
      </c>
      <c r="C488">
        <v>684</v>
      </c>
      <c r="D488">
        <v>532.79999999999995</v>
      </c>
      <c r="E488">
        <v>151.20000000000005</v>
      </c>
      <c r="F488" s="12">
        <v>0.22105263157894744</v>
      </c>
      <c r="G488">
        <v>2025</v>
      </c>
      <c r="H488">
        <v>5</v>
      </c>
      <c r="I488" t="s">
        <v>2845</v>
      </c>
      <c r="J488" t="s">
        <v>2846</v>
      </c>
      <c r="K488" t="s">
        <v>2860</v>
      </c>
      <c r="L488" t="s">
        <v>2856</v>
      </c>
      <c r="M488" t="s">
        <v>2837</v>
      </c>
      <c r="N488" t="s">
        <v>2849</v>
      </c>
    </row>
    <row r="489" spans="1:14">
      <c r="A489">
        <v>285</v>
      </c>
      <c r="B489">
        <v>22.8</v>
      </c>
      <c r="C489">
        <v>262.2</v>
      </c>
      <c r="D489">
        <v>210.89999999999998</v>
      </c>
      <c r="E489">
        <v>51.300000000000011</v>
      </c>
      <c r="F489" s="12">
        <v>0.19565217391304354</v>
      </c>
      <c r="G489">
        <v>2025</v>
      </c>
      <c r="H489">
        <v>7</v>
      </c>
      <c r="I489" t="s">
        <v>2840</v>
      </c>
      <c r="J489" t="s">
        <v>2841</v>
      </c>
      <c r="K489" t="s">
        <v>2847</v>
      </c>
      <c r="L489" t="s">
        <v>2843</v>
      </c>
      <c r="M489" t="s">
        <v>2837</v>
      </c>
      <c r="N489" t="s">
        <v>2844</v>
      </c>
    </row>
    <row r="490" spans="1:14">
      <c r="A490">
        <v>285</v>
      </c>
      <c r="B490">
        <v>0</v>
      </c>
      <c r="C490">
        <v>285</v>
      </c>
      <c r="D490">
        <v>210.89999999999998</v>
      </c>
      <c r="E490">
        <v>74.100000000000023</v>
      </c>
      <c r="F490" s="12">
        <v>0.26000000000000006</v>
      </c>
      <c r="G490">
        <v>2025</v>
      </c>
      <c r="H490">
        <v>8</v>
      </c>
      <c r="I490" t="s">
        <v>2863</v>
      </c>
      <c r="J490" t="s">
        <v>2841</v>
      </c>
      <c r="K490" t="s">
        <v>2842</v>
      </c>
      <c r="L490" t="s">
        <v>2848</v>
      </c>
      <c r="M490" t="s">
        <v>2838</v>
      </c>
      <c r="N490" t="s">
        <v>2844</v>
      </c>
    </row>
    <row r="491" spans="1:14">
      <c r="A491">
        <v>110</v>
      </c>
      <c r="B491">
        <v>0</v>
      </c>
      <c r="C491">
        <v>110</v>
      </c>
      <c r="D491">
        <v>72.599999999999994</v>
      </c>
      <c r="E491">
        <v>37.400000000000006</v>
      </c>
      <c r="F491" s="12">
        <v>0.34</v>
      </c>
      <c r="G491">
        <v>2025</v>
      </c>
      <c r="H491">
        <v>4</v>
      </c>
      <c r="I491" t="s">
        <v>2865</v>
      </c>
      <c r="J491" t="s">
        <v>2846</v>
      </c>
      <c r="K491" t="s">
        <v>2852</v>
      </c>
      <c r="L491" t="s">
        <v>2848</v>
      </c>
      <c r="M491" t="s">
        <v>2838</v>
      </c>
      <c r="N491" t="s">
        <v>2844</v>
      </c>
    </row>
    <row r="492" spans="1:14">
      <c r="A492">
        <v>88</v>
      </c>
      <c r="B492">
        <v>4.4000000000000004</v>
      </c>
      <c r="C492">
        <v>83.6</v>
      </c>
      <c r="D492">
        <v>59.84</v>
      </c>
      <c r="E492">
        <v>23.759999999999991</v>
      </c>
      <c r="F492" s="12">
        <v>0.28421052631578936</v>
      </c>
      <c r="G492">
        <v>2025</v>
      </c>
      <c r="H492">
        <v>9</v>
      </c>
      <c r="I492" t="s">
        <v>2853</v>
      </c>
      <c r="J492" t="s">
        <v>2841</v>
      </c>
      <c r="K492" t="s">
        <v>2847</v>
      </c>
      <c r="L492" t="s">
        <v>2856</v>
      </c>
      <c r="M492" t="s">
        <v>2839</v>
      </c>
      <c r="N492" t="s">
        <v>2844</v>
      </c>
    </row>
    <row r="493" spans="1:14">
      <c r="A493">
        <v>360</v>
      </c>
      <c r="B493">
        <v>0</v>
      </c>
      <c r="C493">
        <v>360</v>
      </c>
      <c r="D493">
        <v>259.2</v>
      </c>
      <c r="E493">
        <v>100.80000000000001</v>
      </c>
      <c r="F493" s="12">
        <v>0.28000000000000003</v>
      </c>
      <c r="G493">
        <v>2025</v>
      </c>
      <c r="H493">
        <v>9</v>
      </c>
      <c r="I493" t="s">
        <v>2853</v>
      </c>
      <c r="J493" t="s">
        <v>2841</v>
      </c>
      <c r="K493" t="s">
        <v>2842</v>
      </c>
      <c r="L493" t="s">
        <v>2848</v>
      </c>
      <c r="M493" t="s">
        <v>2838</v>
      </c>
      <c r="N493" t="s">
        <v>2844</v>
      </c>
    </row>
    <row r="494" spans="1:14">
      <c r="A494">
        <v>380</v>
      </c>
      <c r="B494">
        <v>7.6000000000000005</v>
      </c>
      <c r="C494">
        <v>372.4</v>
      </c>
      <c r="D494">
        <v>296.39999999999998</v>
      </c>
      <c r="E494">
        <v>76</v>
      </c>
      <c r="F494" s="12">
        <v>0.20408163265306123</v>
      </c>
      <c r="G494">
        <v>2025</v>
      </c>
      <c r="H494">
        <v>3</v>
      </c>
      <c r="I494" t="s">
        <v>2859</v>
      </c>
      <c r="J494" t="s">
        <v>2851</v>
      </c>
      <c r="K494" t="s">
        <v>2842</v>
      </c>
      <c r="L494" t="s">
        <v>2856</v>
      </c>
      <c r="M494" t="s">
        <v>2838</v>
      </c>
      <c r="N494" t="s">
        <v>2844</v>
      </c>
    </row>
    <row r="495" spans="1:14">
      <c r="A495">
        <v>240</v>
      </c>
      <c r="B495">
        <v>0</v>
      </c>
      <c r="C495">
        <v>240</v>
      </c>
      <c r="D495">
        <v>177.6</v>
      </c>
      <c r="E495">
        <v>62.400000000000006</v>
      </c>
      <c r="F495" s="12">
        <v>0.26</v>
      </c>
      <c r="G495">
        <v>2025</v>
      </c>
      <c r="H495">
        <v>4</v>
      </c>
      <c r="I495" t="s">
        <v>2865</v>
      </c>
      <c r="J495" t="s">
        <v>2846</v>
      </c>
      <c r="K495" t="s">
        <v>2852</v>
      </c>
      <c r="L495" t="s">
        <v>2848</v>
      </c>
      <c r="M495" t="s">
        <v>2838</v>
      </c>
      <c r="N495" t="s">
        <v>2844</v>
      </c>
    </row>
    <row r="496" spans="1:14">
      <c r="A496">
        <v>2520</v>
      </c>
      <c r="B496">
        <v>252</v>
      </c>
      <c r="C496">
        <v>2268</v>
      </c>
      <c r="D496">
        <v>1638</v>
      </c>
      <c r="E496">
        <v>630</v>
      </c>
      <c r="F496" s="12">
        <v>0.27777777777777779</v>
      </c>
      <c r="G496">
        <v>2025</v>
      </c>
      <c r="H496">
        <v>11</v>
      </c>
      <c r="I496" t="s">
        <v>2862</v>
      </c>
      <c r="J496" t="s">
        <v>2855</v>
      </c>
      <c r="K496" t="s">
        <v>2842</v>
      </c>
      <c r="L496" t="s">
        <v>2856</v>
      </c>
      <c r="M496" t="s">
        <v>2839</v>
      </c>
      <c r="N496" t="s">
        <v>2857</v>
      </c>
    </row>
    <row r="497" spans="1:14">
      <c r="A497">
        <v>3500</v>
      </c>
      <c r="B497">
        <v>175</v>
      </c>
      <c r="C497">
        <v>3325</v>
      </c>
      <c r="D497">
        <v>2135</v>
      </c>
      <c r="E497">
        <v>1190</v>
      </c>
      <c r="F497" s="12">
        <v>0.35789473684210527</v>
      </c>
      <c r="G497">
        <v>2025</v>
      </c>
      <c r="H497">
        <v>2</v>
      </c>
      <c r="I497" t="s">
        <v>2861</v>
      </c>
      <c r="J497" t="s">
        <v>2851</v>
      </c>
      <c r="K497" t="s">
        <v>2860</v>
      </c>
      <c r="L497" t="s">
        <v>2856</v>
      </c>
      <c r="M497" t="s">
        <v>2838</v>
      </c>
      <c r="N497" t="s">
        <v>2857</v>
      </c>
    </row>
    <row r="498" spans="1:14">
      <c r="A498">
        <v>2340</v>
      </c>
      <c r="B498">
        <v>0</v>
      </c>
      <c r="C498">
        <v>2340</v>
      </c>
      <c r="D498">
        <v>1404</v>
      </c>
      <c r="E498">
        <v>936</v>
      </c>
      <c r="F498" s="12">
        <v>0.4</v>
      </c>
      <c r="G498">
        <v>2025</v>
      </c>
      <c r="H498">
        <v>10</v>
      </c>
      <c r="I498" t="s">
        <v>2854</v>
      </c>
      <c r="J498" t="s">
        <v>2855</v>
      </c>
      <c r="K498" t="s">
        <v>2842</v>
      </c>
      <c r="L498" t="s">
        <v>2848</v>
      </c>
      <c r="M498" t="s">
        <v>2838</v>
      </c>
      <c r="N498" t="s">
        <v>2857</v>
      </c>
    </row>
    <row r="499" spans="1:14">
      <c r="A499">
        <v>35</v>
      </c>
      <c r="B499">
        <v>1.75</v>
      </c>
      <c r="C499">
        <v>33.25</v>
      </c>
      <c r="D499">
        <v>24.15</v>
      </c>
      <c r="E499">
        <v>9.1000000000000014</v>
      </c>
      <c r="F499" s="12">
        <v>0.27368421052631581</v>
      </c>
      <c r="G499">
        <v>2025</v>
      </c>
      <c r="H499">
        <v>8</v>
      </c>
      <c r="I499" t="s">
        <v>2863</v>
      </c>
      <c r="J499" t="s">
        <v>2841</v>
      </c>
      <c r="K499" t="s">
        <v>2852</v>
      </c>
      <c r="L499" t="s">
        <v>2843</v>
      </c>
      <c r="M499" t="s">
        <v>2837</v>
      </c>
      <c r="N499" t="s">
        <v>2844</v>
      </c>
    </row>
    <row r="500" spans="1:14">
      <c r="A500">
        <v>435</v>
      </c>
      <c r="B500">
        <v>0</v>
      </c>
      <c r="C500">
        <v>435</v>
      </c>
      <c r="D500">
        <v>291.45000000000005</v>
      </c>
      <c r="E500">
        <v>143.54999999999995</v>
      </c>
      <c r="F500" s="12">
        <v>0.3299999999999999</v>
      </c>
      <c r="G500">
        <v>2025</v>
      </c>
      <c r="H500">
        <v>3</v>
      </c>
      <c r="I500" t="s">
        <v>2859</v>
      </c>
      <c r="J500" t="s">
        <v>2851</v>
      </c>
      <c r="K500" t="s">
        <v>2852</v>
      </c>
      <c r="L500" t="s">
        <v>2843</v>
      </c>
      <c r="M500" t="s">
        <v>2837</v>
      </c>
      <c r="N500" t="s">
        <v>2844</v>
      </c>
    </row>
    <row r="501" spans="1:14">
      <c r="A501">
        <v>96</v>
      </c>
      <c r="B501">
        <v>7.68</v>
      </c>
      <c r="C501">
        <v>88.32</v>
      </c>
      <c r="D501">
        <v>74.88</v>
      </c>
      <c r="E501">
        <v>13.439999999999998</v>
      </c>
      <c r="F501" s="12">
        <v>0.15217391304347824</v>
      </c>
      <c r="G501">
        <v>2025</v>
      </c>
      <c r="H501">
        <v>1</v>
      </c>
      <c r="I501" t="s">
        <v>2850</v>
      </c>
      <c r="J501" t="s">
        <v>2851</v>
      </c>
      <c r="K501" t="s">
        <v>2852</v>
      </c>
      <c r="L501" t="s">
        <v>2848</v>
      </c>
      <c r="M501" t="s">
        <v>2838</v>
      </c>
      <c r="N501" t="s">
        <v>2844</v>
      </c>
    </row>
    <row r="502" spans="1:14">
      <c r="A502">
        <v>48</v>
      </c>
      <c r="B502">
        <v>2.4000000000000004</v>
      </c>
      <c r="C502">
        <v>45.6</v>
      </c>
      <c r="D502">
        <v>37.44</v>
      </c>
      <c r="E502">
        <v>8.1600000000000037</v>
      </c>
      <c r="F502" s="12">
        <v>0.17894736842105272</v>
      </c>
      <c r="G502">
        <v>2025</v>
      </c>
      <c r="H502">
        <v>4</v>
      </c>
      <c r="I502" t="s">
        <v>2865</v>
      </c>
      <c r="J502" t="s">
        <v>2846</v>
      </c>
      <c r="K502" t="s">
        <v>2842</v>
      </c>
      <c r="L502" t="s">
        <v>2856</v>
      </c>
      <c r="M502" t="s">
        <v>2839</v>
      </c>
      <c r="N502" t="s">
        <v>2844</v>
      </c>
    </row>
    <row r="503" spans="1:14">
      <c r="A503">
        <v>480</v>
      </c>
      <c r="B503">
        <v>9.6</v>
      </c>
      <c r="C503">
        <v>470.4</v>
      </c>
      <c r="D503">
        <v>292.8</v>
      </c>
      <c r="E503">
        <v>177.59999999999997</v>
      </c>
      <c r="F503" s="12">
        <v>0.37755102040816318</v>
      </c>
      <c r="G503">
        <v>2025</v>
      </c>
      <c r="H503">
        <v>2</v>
      </c>
      <c r="I503" t="s">
        <v>2861</v>
      </c>
      <c r="J503" t="s">
        <v>2851</v>
      </c>
      <c r="K503" t="s">
        <v>2842</v>
      </c>
      <c r="L503" t="s">
        <v>2856</v>
      </c>
      <c r="M503" t="s">
        <v>2839</v>
      </c>
      <c r="N503" t="s">
        <v>2844</v>
      </c>
    </row>
    <row r="504" spans="1:14">
      <c r="A504">
        <v>360</v>
      </c>
      <c r="B504">
        <v>7.2</v>
      </c>
      <c r="C504">
        <v>352.8</v>
      </c>
      <c r="D504">
        <v>219.60000000000002</v>
      </c>
      <c r="E504">
        <v>133.19999999999999</v>
      </c>
      <c r="F504" s="12">
        <v>0.37755102040816324</v>
      </c>
      <c r="G504">
        <v>2025</v>
      </c>
      <c r="H504">
        <v>7</v>
      </c>
      <c r="I504" t="s">
        <v>2840</v>
      </c>
      <c r="J504" t="s">
        <v>2841</v>
      </c>
      <c r="K504" t="s">
        <v>2852</v>
      </c>
      <c r="L504" t="s">
        <v>2843</v>
      </c>
      <c r="M504" t="s">
        <v>2837</v>
      </c>
      <c r="N504" t="s">
        <v>2844</v>
      </c>
    </row>
    <row r="505" spans="1:14">
      <c r="A505">
        <v>95</v>
      </c>
      <c r="B505">
        <v>0</v>
      </c>
      <c r="C505">
        <v>95</v>
      </c>
      <c r="D505">
        <v>70.3</v>
      </c>
      <c r="E505">
        <v>24.700000000000003</v>
      </c>
      <c r="F505" s="12">
        <v>0.26</v>
      </c>
      <c r="G505">
        <v>2025</v>
      </c>
      <c r="H505">
        <v>9</v>
      </c>
      <c r="I505" t="s">
        <v>2853</v>
      </c>
      <c r="J505" t="s">
        <v>2841</v>
      </c>
      <c r="K505" t="s">
        <v>2852</v>
      </c>
      <c r="L505" t="s">
        <v>2848</v>
      </c>
      <c r="M505" t="s">
        <v>2839</v>
      </c>
      <c r="N505" t="s">
        <v>2844</v>
      </c>
    </row>
    <row r="506" spans="1:14">
      <c r="A506">
        <v>950</v>
      </c>
      <c r="B506">
        <v>47.5</v>
      </c>
      <c r="C506">
        <v>902.5</v>
      </c>
      <c r="D506">
        <v>741</v>
      </c>
      <c r="E506">
        <v>161.5</v>
      </c>
      <c r="F506" s="12">
        <v>0.17894736842105263</v>
      </c>
      <c r="G506">
        <v>2025</v>
      </c>
      <c r="H506">
        <v>6</v>
      </c>
      <c r="I506" t="s">
        <v>2864</v>
      </c>
      <c r="J506" t="s">
        <v>2846</v>
      </c>
      <c r="K506" t="s">
        <v>2847</v>
      </c>
      <c r="L506" t="s">
        <v>2856</v>
      </c>
      <c r="M506" t="s">
        <v>2839</v>
      </c>
      <c r="N506" t="s">
        <v>2849</v>
      </c>
    </row>
    <row r="507" spans="1:14">
      <c r="A507">
        <v>780</v>
      </c>
      <c r="B507">
        <v>78</v>
      </c>
      <c r="C507">
        <v>702</v>
      </c>
      <c r="D507">
        <v>468</v>
      </c>
      <c r="E507">
        <v>234</v>
      </c>
      <c r="F507" s="12">
        <v>0.33333333333333331</v>
      </c>
      <c r="G507">
        <v>2025</v>
      </c>
      <c r="H507">
        <v>6</v>
      </c>
      <c r="I507" t="s">
        <v>2864</v>
      </c>
      <c r="J507" t="s">
        <v>2846</v>
      </c>
      <c r="K507" t="s">
        <v>2842</v>
      </c>
      <c r="L507" t="s">
        <v>2856</v>
      </c>
      <c r="M507" t="s">
        <v>2839</v>
      </c>
      <c r="N507" t="s">
        <v>2849</v>
      </c>
    </row>
    <row r="508" spans="1:14">
      <c r="A508">
        <v>145</v>
      </c>
      <c r="B508">
        <v>7.25</v>
      </c>
      <c r="C508">
        <v>137.75</v>
      </c>
      <c r="D508">
        <v>97.15</v>
      </c>
      <c r="E508">
        <v>40.599999999999994</v>
      </c>
      <c r="F508" s="12">
        <v>0.29473684210526313</v>
      </c>
      <c r="G508">
        <v>2025</v>
      </c>
      <c r="H508">
        <v>4</v>
      </c>
      <c r="I508" t="s">
        <v>2865</v>
      </c>
      <c r="J508" t="s">
        <v>2846</v>
      </c>
      <c r="K508" t="s">
        <v>2852</v>
      </c>
      <c r="L508" t="s">
        <v>2856</v>
      </c>
      <c r="M508" t="s">
        <v>2837</v>
      </c>
      <c r="N508" t="s">
        <v>2844</v>
      </c>
    </row>
    <row r="509" spans="1:14">
      <c r="A509">
        <v>2520</v>
      </c>
      <c r="B509">
        <v>0</v>
      </c>
      <c r="C509">
        <v>2520</v>
      </c>
      <c r="D509">
        <v>1638</v>
      </c>
      <c r="E509">
        <v>882</v>
      </c>
      <c r="F509" s="12">
        <v>0.35</v>
      </c>
      <c r="G509">
        <v>2025</v>
      </c>
      <c r="H509">
        <v>6</v>
      </c>
      <c r="I509" t="s">
        <v>2864</v>
      </c>
      <c r="J509" t="s">
        <v>2846</v>
      </c>
      <c r="K509" t="s">
        <v>2842</v>
      </c>
      <c r="L509" t="s">
        <v>2843</v>
      </c>
      <c r="M509" t="s">
        <v>2837</v>
      </c>
      <c r="N509" t="s">
        <v>2857</v>
      </c>
    </row>
    <row r="510" spans="1:14">
      <c r="A510">
        <v>130</v>
      </c>
      <c r="B510">
        <v>13</v>
      </c>
      <c r="C510">
        <v>117</v>
      </c>
      <c r="D510">
        <v>94.9</v>
      </c>
      <c r="E510">
        <v>22.099999999999994</v>
      </c>
      <c r="F510" s="12">
        <v>0.18888888888888883</v>
      </c>
      <c r="G510">
        <v>2025</v>
      </c>
      <c r="H510">
        <v>5</v>
      </c>
      <c r="I510" t="s">
        <v>2845</v>
      </c>
      <c r="J510" t="s">
        <v>2846</v>
      </c>
      <c r="K510" t="s">
        <v>2842</v>
      </c>
      <c r="L510" t="s">
        <v>2866</v>
      </c>
      <c r="M510" t="s">
        <v>2838</v>
      </c>
      <c r="N510" t="s">
        <v>2844</v>
      </c>
    </row>
    <row r="511" spans="1:14">
      <c r="A511">
        <v>480</v>
      </c>
      <c r="B511">
        <v>9.6</v>
      </c>
      <c r="C511">
        <v>470.4</v>
      </c>
      <c r="D511">
        <v>355.2</v>
      </c>
      <c r="E511">
        <v>115.19999999999999</v>
      </c>
      <c r="F511" s="12">
        <v>0.24489795918367346</v>
      </c>
      <c r="G511">
        <v>2025</v>
      </c>
      <c r="H511">
        <v>6</v>
      </c>
      <c r="I511" t="s">
        <v>2864</v>
      </c>
      <c r="J511" t="s">
        <v>2846</v>
      </c>
      <c r="K511" t="s">
        <v>2847</v>
      </c>
      <c r="L511" t="s">
        <v>2843</v>
      </c>
      <c r="M511" t="s">
        <v>2837</v>
      </c>
      <c r="N511" t="s">
        <v>2844</v>
      </c>
    </row>
    <row r="512" spans="1:14">
      <c r="A512">
        <v>330</v>
      </c>
      <c r="B512">
        <v>0</v>
      </c>
      <c r="C512">
        <v>330</v>
      </c>
      <c r="D512">
        <v>217.79999999999998</v>
      </c>
      <c r="E512">
        <v>112.20000000000002</v>
      </c>
      <c r="F512" s="12">
        <v>0.34</v>
      </c>
      <c r="G512">
        <v>2025</v>
      </c>
      <c r="H512">
        <v>7</v>
      </c>
      <c r="I512" t="s">
        <v>2840</v>
      </c>
      <c r="J512" t="s">
        <v>2841</v>
      </c>
      <c r="K512" t="s">
        <v>2847</v>
      </c>
      <c r="L512" t="s">
        <v>2856</v>
      </c>
      <c r="M512" t="s">
        <v>2837</v>
      </c>
      <c r="N512" t="s">
        <v>2844</v>
      </c>
    </row>
    <row r="513" spans="1:14">
      <c r="A513">
        <v>290</v>
      </c>
      <c r="B513">
        <v>0</v>
      </c>
      <c r="C513">
        <v>290</v>
      </c>
      <c r="D513">
        <v>194.3</v>
      </c>
      <c r="E513">
        <v>95.699999999999989</v>
      </c>
      <c r="F513" s="12">
        <v>0.32999999999999996</v>
      </c>
      <c r="G513">
        <v>2025</v>
      </c>
      <c r="H513">
        <v>5</v>
      </c>
      <c r="I513" t="s">
        <v>2845</v>
      </c>
      <c r="J513" t="s">
        <v>2846</v>
      </c>
      <c r="K513" t="s">
        <v>2847</v>
      </c>
      <c r="L513" t="s">
        <v>2856</v>
      </c>
      <c r="M513" t="s">
        <v>2839</v>
      </c>
      <c r="N513" t="s">
        <v>2844</v>
      </c>
    </row>
    <row r="514" spans="1:14">
      <c r="A514">
        <v>960</v>
      </c>
      <c r="B514">
        <v>48</v>
      </c>
      <c r="C514">
        <v>912</v>
      </c>
      <c r="D514">
        <v>710.4</v>
      </c>
      <c r="E514">
        <v>201.60000000000002</v>
      </c>
      <c r="F514" s="12">
        <v>0.22105263157894739</v>
      </c>
      <c r="G514">
        <v>2025</v>
      </c>
      <c r="H514">
        <v>4</v>
      </c>
      <c r="I514" t="s">
        <v>2865</v>
      </c>
      <c r="J514" t="s">
        <v>2846</v>
      </c>
      <c r="K514" t="s">
        <v>2842</v>
      </c>
      <c r="L514" t="s">
        <v>2856</v>
      </c>
      <c r="M514" t="s">
        <v>2839</v>
      </c>
      <c r="N514" t="s">
        <v>2849</v>
      </c>
    </row>
    <row r="515" spans="1:14">
      <c r="A515">
        <v>2200</v>
      </c>
      <c r="B515">
        <v>110</v>
      </c>
      <c r="C515">
        <v>2090</v>
      </c>
      <c r="D515">
        <v>1452</v>
      </c>
      <c r="E515">
        <v>638</v>
      </c>
      <c r="F515" s="12">
        <v>0.30526315789473685</v>
      </c>
      <c r="G515">
        <v>2025</v>
      </c>
      <c r="H515">
        <v>5</v>
      </c>
      <c r="I515" t="s">
        <v>2845</v>
      </c>
      <c r="J515" t="s">
        <v>2846</v>
      </c>
      <c r="K515" t="s">
        <v>2852</v>
      </c>
      <c r="L515" t="s">
        <v>2856</v>
      </c>
      <c r="M515" t="s">
        <v>2839</v>
      </c>
      <c r="N515" t="s">
        <v>2857</v>
      </c>
    </row>
    <row r="516" spans="1:14">
      <c r="A516">
        <v>480</v>
      </c>
      <c r="B516">
        <v>0</v>
      </c>
      <c r="C516">
        <v>480</v>
      </c>
      <c r="D516">
        <v>355.2</v>
      </c>
      <c r="E516">
        <v>124.80000000000001</v>
      </c>
      <c r="F516" s="12">
        <v>0.26</v>
      </c>
      <c r="G516">
        <v>2025</v>
      </c>
      <c r="H516">
        <v>7</v>
      </c>
      <c r="I516" t="s">
        <v>2840</v>
      </c>
      <c r="J516" t="s">
        <v>2841</v>
      </c>
      <c r="K516" t="s">
        <v>2852</v>
      </c>
      <c r="L516" t="s">
        <v>2843</v>
      </c>
      <c r="M516" t="s">
        <v>2837</v>
      </c>
      <c r="N516" t="s">
        <v>2844</v>
      </c>
    </row>
    <row r="517" spans="1:14">
      <c r="A517">
        <v>1200</v>
      </c>
      <c r="B517">
        <v>60</v>
      </c>
      <c r="C517">
        <v>1140</v>
      </c>
      <c r="D517">
        <v>888</v>
      </c>
      <c r="E517">
        <v>252</v>
      </c>
      <c r="F517" s="12">
        <v>0.22105263157894736</v>
      </c>
      <c r="G517">
        <v>2025</v>
      </c>
      <c r="H517">
        <v>3</v>
      </c>
      <c r="I517" t="s">
        <v>2859</v>
      </c>
      <c r="J517" t="s">
        <v>2851</v>
      </c>
      <c r="K517" t="s">
        <v>2852</v>
      </c>
      <c r="L517" t="s">
        <v>2856</v>
      </c>
      <c r="M517" t="s">
        <v>2837</v>
      </c>
      <c r="N517" t="s">
        <v>2857</v>
      </c>
    </row>
    <row r="518" spans="1:14">
      <c r="A518">
        <v>144</v>
      </c>
      <c r="B518">
        <v>11.52</v>
      </c>
      <c r="C518">
        <v>132.47999999999999</v>
      </c>
      <c r="D518">
        <v>112.32</v>
      </c>
      <c r="E518">
        <v>20.159999999999997</v>
      </c>
      <c r="F518" s="12">
        <v>0.15217391304347824</v>
      </c>
      <c r="G518">
        <v>2025</v>
      </c>
      <c r="H518">
        <v>10</v>
      </c>
      <c r="I518" t="s">
        <v>2854</v>
      </c>
      <c r="J518" t="s">
        <v>2855</v>
      </c>
      <c r="K518" t="s">
        <v>2860</v>
      </c>
      <c r="L518" t="s">
        <v>2848</v>
      </c>
      <c r="M518" t="s">
        <v>2838</v>
      </c>
      <c r="N518" t="s">
        <v>2844</v>
      </c>
    </row>
    <row r="519" spans="1:14">
      <c r="A519">
        <v>96</v>
      </c>
      <c r="B519">
        <v>1.92</v>
      </c>
      <c r="C519">
        <v>94.08</v>
      </c>
      <c r="D519">
        <v>74.88</v>
      </c>
      <c r="E519">
        <v>19.200000000000003</v>
      </c>
      <c r="F519" s="12">
        <v>0.20408163265306126</v>
      </c>
      <c r="G519">
        <v>2025</v>
      </c>
      <c r="H519">
        <v>6</v>
      </c>
      <c r="I519" t="s">
        <v>2864</v>
      </c>
      <c r="J519" t="s">
        <v>2846</v>
      </c>
      <c r="K519" t="s">
        <v>2860</v>
      </c>
      <c r="L519" t="s">
        <v>2856</v>
      </c>
      <c r="M519" t="s">
        <v>2839</v>
      </c>
      <c r="N519" t="s">
        <v>2844</v>
      </c>
    </row>
    <row r="520" spans="1:14">
      <c r="A520">
        <v>66</v>
      </c>
      <c r="B520">
        <v>1.32</v>
      </c>
      <c r="C520">
        <v>64.680000000000007</v>
      </c>
      <c r="D520">
        <v>44.88</v>
      </c>
      <c r="E520">
        <v>19.800000000000004</v>
      </c>
      <c r="F520" s="12">
        <v>0.30612244897959184</v>
      </c>
      <c r="G520">
        <v>2025</v>
      </c>
      <c r="H520">
        <v>3</v>
      </c>
      <c r="I520" t="s">
        <v>2859</v>
      </c>
      <c r="J520" t="s">
        <v>2851</v>
      </c>
      <c r="K520" t="s">
        <v>2852</v>
      </c>
      <c r="L520" t="s">
        <v>2856</v>
      </c>
      <c r="M520" t="s">
        <v>2839</v>
      </c>
      <c r="N520" t="s">
        <v>2844</v>
      </c>
    </row>
    <row r="521" spans="1:14">
      <c r="A521">
        <v>1050</v>
      </c>
      <c r="B521">
        <v>0</v>
      </c>
      <c r="C521">
        <v>1050</v>
      </c>
      <c r="D521">
        <v>640.5</v>
      </c>
      <c r="E521">
        <v>409.5</v>
      </c>
      <c r="F521" s="12">
        <v>0.39</v>
      </c>
      <c r="G521">
        <v>2025</v>
      </c>
      <c r="H521">
        <v>1</v>
      </c>
      <c r="I521" t="s">
        <v>2850</v>
      </c>
      <c r="J521" t="s">
        <v>2851</v>
      </c>
      <c r="K521" t="s">
        <v>2842</v>
      </c>
      <c r="L521" t="s">
        <v>2856</v>
      </c>
      <c r="M521" t="s">
        <v>2837</v>
      </c>
      <c r="N521" t="s">
        <v>2857</v>
      </c>
    </row>
    <row r="522" spans="1:14">
      <c r="A522">
        <v>570</v>
      </c>
      <c r="B522">
        <v>11.4</v>
      </c>
      <c r="C522">
        <v>558.6</v>
      </c>
      <c r="D522">
        <v>444.59999999999997</v>
      </c>
      <c r="E522">
        <v>114.00000000000006</v>
      </c>
      <c r="F522" s="12">
        <v>0.20408163265306131</v>
      </c>
      <c r="G522">
        <v>2025</v>
      </c>
      <c r="H522">
        <v>2</v>
      </c>
      <c r="I522" t="s">
        <v>2861</v>
      </c>
      <c r="J522" t="s">
        <v>2851</v>
      </c>
      <c r="K522" t="s">
        <v>2852</v>
      </c>
      <c r="L522" t="s">
        <v>2856</v>
      </c>
      <c r="M522" t="s">
        <v>2839</v>
      </c>
      <c r="N522" t="s">
        <v>2849</v>
      </c>
    </row>
    <row r="523" spans="1:14">
      <c r="A523">
        <v>66</v>
      </c>
      <c r="B523">
        <v>0</v>
      </c>
      <c r="C523">
        <v>66</v>
      </c>
      <c r="D523">
        <v>44.88</v>
      </c>
      <c r="E523">
        <v>21.119999999999997</v>
      </c>
      <c r="F523" s="12">
        <v>0.31999999999999995</v>
      </c>
      <c r="G523">
        <v>2025</v>
      </c>
      <c r="H523">
        <v>3</v>
      </c>
      <c r="I523" t="s">
        <v>2859</v>
      </c>
      <c r="J523" t="s">
        <v>2851</v>
      </c>
      <c r="K523" t="s">
        <v>2842</v>
      </c>
      <c r="L523" t="s">
        <v>2848</v>
      </c>
      <c r="M523" t="s">
        <v>2838</v>
      </c>
      <c r="N523" t="s">
        <v>2844</v>
      </c>
    </row>
    <row r="524" spans="1:14">
      <c r="A524">
        <v>192</v>
      </c>
      <c r="B524">
        <v>3.84</v>
      </c>
      <c r="C524">
        <v>188.16</v>
      </c>
      <c r="D524">
        <v>149.76</v>
      </c>
      <c r="E524">
        <v>38.400000000000006</v>
      </c>
      <c r="F524" s="12">
        <v>0.20408163265306126</v>
      </c>
      <c r="G524">
        <v>2025</v>
      </c>
      <c r="H524">
        <v>12</v>
      </c>
      <c r="I524" t="s">
        <v>2858</v>
      </c>
      <c r="J524" t="s">
        <v>2855</v>
      </c>
      <c r="K524" t="s">
        <v>2842</v>
      </c>
      <c r="L524" t="s">
        <v>2848</v>
      </c>
      <c r="M524" t="s">
        <v>2838</v>
      </c>
      <c r="N524" t="s">
        <v>2844</v>
      </c>
    </row>
    <row r="525" spans="1:14">
      <c r="A525">
        <v>120</v>
      </c>
      <c r="B525">
        <v>2.4</v>
      </c>
      <c r="C525">
        <v>117.6</v>
      </c>
      <c r="D525">
        <v>73.2</v>
      </c>
      <c r="E525">
        <v>44.399999999999991</v>
      </c>
      <c r="F525" s="12">
        <v>0.37755102040816318</v>
      </c>
      <c r="G525">
        <v>2025</v>
      </c>
      <c r="H525">
        <v>1</v>
      </c>
      <c r="I525" t="s">
        <v>2850</v>
      </c>
      <c r="J525" t="s">
        <v>2851</v>
      </c>
      <c r="K525" t="s">
        <v>2847</v>
      </c>
      <c r="L525" t="s">
        <v>2856</v>
      </c>
      <c r="M525" t="s">
        <v>2839</v>
      </c>
      <c r="N525" t="s">
        <v>2844</v>
      </c>
    </row>
    <row r="526" spans="1:14">
      <c r="A526">
        <v>720</v>
      </c>
      <c r="B526">
        <v>72</v>
      </c>
      <c r="C526">
        <v>648</v>
      </c>
      <c r="D526">
        <v>532.79999999999995</v>
      </c>
      <c r="E526">
        <v>115.20000000000005</v>
      </c>
      <c r="F526" s="12">
        <v>0.17777777777777784</v>
      </c>
      <c r="G526">
        <v>2025</v>
      </c>
      <c r="H526">
        <v>12</v>
      </c>
      <c r="I526" t="s">
        <v>2858</v>
      </c>
      <c r="J526" t="s">
        <v>2855</v>
      </c>
      <c r="K526" t="s">
        <v>2860</v>
      </c>
      <c r="L526" t="s">
        <v>2848</v>
      </c>
      <c r="M526" t="s">
        <v>2838</v>
      </c>
      <c r="N526" t="s">
        <v>2849</v>
      </c>
    </row>
    <row r="527" spans="1:14">
      <c r="A527">
        <v>145</v>
      </c>
      <c r="B527">
        <v>0</v>
      </c>
      <c r="C527">
        <v>145</v>
      </c>
      <c r="D527">
        <v>97.15</v>
      </c>
      <c r="E527">
        <v>47.849999999999994</v>
      </c>
      <c r="F527" s="12">
        <v>0.32999999999999996</v>
      </c>
      <c r="G527">
        <v>2025</v>
      </c>
      <c r="H527">
        <v>6</v>
      </c>
      <c r="I527" t="s">
        <v>2864</v>
      </c>
      <c r="J527" t="s">
        <v>2846</v>
      </c>
      <c r="K527" t="s">
        <v>2852</v>
      </c>
      <c r="L527" t="s">
        <v>2856</v>
      </c>
      <c r="M527" t="s">
        <v>2839</v>
      </c>
      <c r="N527" t="s">
        <v>2844</v>
      </c>
    </row>
    <row r="528" spans="1:14">
      <c r="A528">
        <v>4680</v>
      </c>
      <c r="B528">
        <v>374.40000000000003</v>
      </c>
      <c r="C528">
        <v>4305.6000000000004</v>
      </c>
      <c r="D528">
        <v>2808</v>
      </c>
      <c r="E528">
        <v>1497.6000000000004</v>
      </c>
      <c r="F528" s="12">
        <v>0.34782608695652178</v>
      </c>
      <c r="G528">
        <v>2025</v>
      </c>
      <c r="H528">
        <v>6</v>
      </c>
      <c r="I528" t="s">
        <v>2864</v>
      </c>
      <c r="J528" t="s">
        <v>2846</v>
      </c>
      <c r="K528" t="s">
        <v>2847</v>
      </c>
      <c r="L528" t="s">
        <v>2848</v>
      </c>
      <c r="M528" t="s">
        <v>2838</v>
      </c>
      <c r="N528" t="s">
        <v>2857</v>
      </c>
    </row>
    <row r="529" spans="1:14">
      <c r="A529">
        <v>260</v>
      </c>
      <c r="B529">
        <v>0</v>
      </c>
      <c r="C529">
        <v>260</v>
      </c>
      <c r="D529">
        <v>189.8</v>
      </c>
      <c r="E529">
        <v>70.199999999999989</v>
      </c>
      <c r="F529" s="12">
        <v>0.26999999999999996</v>
      </c>
      <c r="G529">
        <v>2025</v>
      </c>
      <c r="H529">
        <v>4</v>
      </c>
      <c r="I529" t="s">
        <v>2865</v>
      </c>
      <c r="J529" t="s">
        <v>2846</v>
      </c>
      <c r="K529" t="s">
        <v>2842</v>
      </c>
      <c r="L529" t="s">
        <v>2848</v>
      </c>
      <c r="M529" t="s">
        <v>2839</v>
      </c>
      <c r="N529" t="s">
        <v>2844</v>
      </c>
    </row>
    <row r="530" spans="1:14">
      <c r="A530">
        <v>2600</v>
      </c>
      <c r="B530">
        <v>260</v>
      </c>
      <c r="C530">
        <v>2340</v>
      </c>
      <c r="D530">
        <v>1742</v>
      </c>
      <c r="E530">
        <v>598</v>
      </c>
      <c r="F530" s="12">
        <v>0.25555555555555554</v>
      </c>
      <c r="G530">
        <v>2025</v>
      </c>
      <c r="H530">
        <v>8</v>
      </c>
      <c r="I530" t="s">
        <v>2863</v>
      </c>
      <c r="J530" t="s">
        <v>2841</v>
      </c>
      <c r="K530" t="s">
        <v>2852</v>
      </c>
      <c r="L530" t="s">
        <v>2843</v>
      </c>
      <c r="M530" t="s">
        <v>2837</v>
      </c>
      <c r="N530" t="s">
        <v>2857</v>
      </c>
    </row>
    <row r="531" spans="1:14">
      <c r="A531">
        <v>192</v>
      </c>
      <c r="B531">
        <v>9.6000000000000014</v>
      </c>
      <c r="C531">
        <v>182.4</v>
      </c>
      <c r="D531">
        <v>149.76</v>
      </c>
      <c r="E531">
        <v>32.640000000000015</v>
      </c>
      <c r="F531" s="12">
        <v>0.17894736842105272</v>
      </c>
      <c r="G531">
        <v>2025</v>
      </c>
      <c r="H531">
        <v>4</v>
      </c>
      <c r="I531" t="s">
        <v>2865</v>
      </c>
      <c r="J531" t="s">
        <v>2846</v>
      </c>
      <c r="K531" t="s">
        <v>2842</v>
      </c>
      <c r="L531" t="s">
        <v>2848</v>
      </c>
      <c r="M531" t="s">
        <v>2838</v>
      </c>
      <c r="N531" t="s">
        <v>2844</v>
      </c>
    </row>
    <row r="532" spans="1:14">
      <c r="A532">
        <v>520</v>
      </c>
      <c r="B532">
        <v>10.4</v>
      </c>
      <c r="C532">
        <v>509.6</v>
      </c>
      <c r="D532">
        <v>348.4</v>
      </c>
      <c r="E532">
        <v>161.20000000000005</v>
      </c>
      <c r="F532" s="12">
        <v>0.31632653061224497</v>
      </c>
      <c r="G532">
        <v>2025</v>
      </c>
      <c r="H532">
        <v>4</v>
      </c>
      <c r="I532" t="s">
        <v>2865</v>
      </c>
      <c r="J532" t="s">
        <v>2846</v>
      </c>
      <c r="K532" t="s">
        <v>2860</v>
      </c>
      <c r="L532" t="s">
        <v>2848</v>
      </c>
      <c r="M532" t="s">
        <v>2838</v>
      </c>
      <c r="N532" t="s">
        <v>2849</v>
      </c>
    </row>
    <row r="533" spans="1:14">
      <c r="A533">
        <v>260</v>
      </c>
      <c r="B533">
        <v>0</v>
      </c>
      <c r="C533">
        <v>260</v>
      </c>
      <c r="D533">
        <v>189.8</v>
      </c>
      <c r="E533">
        <v>70.199999999999989</v>
      </c>
      <c r="F533" s="12">
        <v>0.26999999999999996</v>
      </c>
      <c r="G533">
        <v>2025</v>
      </c>
      <c r="H533">
        <v>2</v>
      </c>
      <c r="I533" t="s">
        <v>2861</v>
      </c>
      <c r="J533" t="s">
        <v>2851</v>
      </c>
      <c r="K533" t="s">
        <v>2842</v>
      </c>
      <c r="L533" t="s">
        <v>2848</v>
      </c>
      <c r="M533" t="s">
        <v>2838</v>
      </c>
      <c r="N533" t="s">
        <v>2844</v>
      </c>
    </row>
    <row r="534" spans="1:14">
      <c r="A534">
        <v>192</v>
      </c>
      <c r="B534">
        <v>3.84</v>
      </c>
      <c r="C534">
        <v>188.16</v>
      </c>
      <c r="D534">
        <v>149.76</v>
      </c>
      <c r="E534">
        <v>38.400000000000006</v>
      </c>
      <c r="F534" s="12">
        <v>0.20408163265306126</v>
      </c>
      <c r="G534">
        <v>2025</v>
      </c>
      <c r="H534">
        <v>7</v>
      </c>
      <c r="I534" t="s">
        <v>2840</v>
      </c>
      <c r="J534" t="s">
        <v>2841</v>
      </c>
      <c r="K534" t="s">
        <v>2847</v>
      </c>
      <c r="L534" t="s">
        <v>2843</v>
      </c>
      <c r="M534" t="s">
        <v>2837</v>
      </c>
      <c r="N534" t="s">
        <v>2844</v>
      </c>
    </row>
    <row r="535" spans="1:14">
      <c r="A535">
        <v>1560</v>
      </c>
      <c r="B535">
        <v>124.8</v>
      </c>
      <c r="C535">
        <v>1435.2</v>
      </c>
      <c r="D535">
        <v>936</v>
      </c>
      <c r="E535">
        <v>499.20000000000005</v>
      </c>
      <c r="F535" s="12">
        <v>0.34782608695652178</v>
      </c>
      <c r="G535">
        <v>2025</v>
      </c>
      <c r="H535">
        <v>11</v>
      </c>
      <c r="I535" t="s">
        <v>2862</v>
      </c>
      <c r="J535" t="s">
        <v>2855</v>
      </c>
      <c r="K535" t="s">
        <v>2847</v>
      </c>
      <c r="L535" t="s">
        <v>2848</v>
      </c>
      <c r="M535" t="s">
        <v>2838</v>
      </c>
      <c r="N535" t="s">
        <v>2857</v>
      </c>
    </row>
    <row r="536" spans="1:14">
      <c r="A536">
        <v>2100</v>
      </c>
      <c r="B536">
        <v>0</v>
      </c>
      <c r="C536">
        <v>2100</v>
      </c>
      <c r="D536">
        <v>1365</v>
      </c>
      <c r="E536">
        <v>735</v>
      </c>
      <c r="F536" s="12">
        <v>0.35</v>
      </c>
      <c r="G536">
        <v>2025</v>
      </c>
      <c r="H536">
        <v>11</v>
      </c>
      <c r="I536" t="s">
        <v>2862</v>
      </c>
      <c r="J536" t="s">
        <v>2855</v>
      </c>
      <c r="K536" t="s">
        <v>2842</v>
      </c>
      <c r="L536" t="s">
        <v>2843</v>
      </c>
      <c r="M536" t="s">
        <v>2837</v>
      </c>
      <c r="N536" t="s">
        <v>2857</v>
      </c>
    </row>
    <row r="537" spans="1:14">
      <c r="A537">
        <v>120</v>
      </c>
      <c r="B537">
        <v>2.4</v>
      </c>
      <c r="C537">
        <v>117.6</v>
      </c>
      <c r="D537">
        <v>73.2</v>
      </c>
      <c r="E537">
        <v>44.399999999999991</v>
      </c>
      <c r="F537" s="12">
        <v>0.37755102040816318</v>
      </c>
      <c r="G537">
        <v>2025</v>
      </c>
      <c r="H537">
        <v>3</v>
      </c>
      <c r="I537" t="s">
        <v>2859</v>
      </c>
      <c r="J537" t="s">
        <v>2851</v>
      </c>
      <c r="K537" t="s">
        <v>2842</v>
      </c>
      <c r="L537" t="s">
        <v>2843</v>
      </c>
      <c r="M537" t="s">
        <v>2837</v>
      </c>
      <c r="N537" t="s">
        <v>2844</v>
      </c>
    </row>
    <row r="538" spans="1:14">
      <c r="A538">
        <v>475</v>
      </c>
      <c r="B538">
        <v>9.5</v>
      </c>
      <c r="C538">
        <v>465.5</v>
      </c>
      <c r="D538">
        <v>351.5</v>
      </c>
      <c r="E538">
        <v>114</v>
      </c>
      <c r="F538" s="12">
        <v>0.24489795918367346</v>
      </c>
      <c r="G538">
        <v>2025</v>
      </c>
      <c r="H538">
        <v>8</v>
      </c>
      <c r="I538" t="s">
        <v>2863</v>
      </c>
      <c r="J538" t="s">
        <v>2841</v>
      </c>
      <c r="K538" t="s">
        <v>2852</v>
      </c>
      <c r="L538" t="s">
        <v>2856</v>
      </c>
      <c r="M538" t="s">
        <v>2839</v>
      </c>
      <c r="N538" t="s">
        <v>2844</v>
      </c>
    </row>
    <row r="539" spans="1:14">
      <c r="A539">
        <v>1040</v>
      </c>
      <c r="B539">
        <v>0</v>
      </c>
      <c r="C539">
        <v>1040</v>
      </c>
      <c r="D539">
        <v>759.2</v>
      </c>
      <c r="E539">
        <v>280.79999999999995</v>
      </c>
      <c r="F539" s="12">
        <v>0.26999999999999996</v>
      </c>
      <c r="G539">
        <v>2025</v>
      </c>
      <c r="H539">
        <v>2</v>
      </c>
      <c r="I539" t="s">
        <v>2861</v>
      </c>
      <c r="J539" t="s">
        <v>2851</v>
      </c>
      <c r="K539" t="s">
        <v>2842</v>
      </c>
      <c r="L539" t="s">
        <v>2848</v>
      </c>
      <c r="M539" t="s">
        <v>2838</v>
      </c>
      <c r="N539" t="s">
        <v>2857</v>
      </c>
    </row>
    <row r="540" spans="1:14">
      <c r="A540">
        <v>180</v>
      </c>
      <c r="B540">
        <v>0</v>
      </c>
      <c r="C540">
        <v>180</v>
      </c>
      <c r="D540">
        <v>129.6</v>
      </c>
      <c r="E540">
        <v>50.400000000000006</v>
      </c>
      <c r="F540" s="12">
        <v>0.28000000000000003</v>
      </c>
      <c r="G540">
        <v>2025</v>
      </c>
      <c r="H540">
        <v>6</v>
      </c>
      <c r="I540" t="s">
        <v>2864</v>
      </c>
      <c r="J540" t="s">
        <v>2846</v>
      </c>
      <c r="K540" t="s">
        <v>2860</v>
      </c>
      <c r="L540" t="s">
        <v>2848</v>
      </c>
      <c r="M540" t="s">
        <v>2838</v>
      </c>
      <c r="N540" t="s">
        <v>2844</v>
      </c>
    </row>
    <row r="541" spans="1:14">
      <c r="A541">
        <v>350</v>
      </c>
      <c r="B541">
        <v>7</v>
      </c>
      <c r="C541">
        <v>343</v>
      </c>
      <c r="D541">
        <v>213.5</v>
      </c>
      <c r="E541">
        <v>129.5</v>
      </c>
      <c r="F541" s="12">
        <v>0.37755102040816324</v>
      </c>
      <c r="G541">
        <v>2025</v>
      </c>
      <c r="H541">
        <v>7</v>
      </c>
      <c r="I541" t="s">
        <v>2840</v>
      </c>
      <c r="J541" t="s">
        <v>2841</v>
      </c>
      <c r="K541" t="s">
        <v>2852</v>
      </c>
      <c r="L541" t="s">
        <v>2843</v>
      </c>
      <c r="M541" t="s">
        <v>2837</v>
      </c>
      <c r="N541" t="s">
        <v>2844</v>
      </c>
    </row>
    <row r="542" spans="1:14">
      <c r="A542">
        <v>3600</v>
      </c>
      <c r="B542">
        <v>0</v>
      </c>
      <c r="C542">
        <v>3600</v>
      </c>
      <c r="D542">
        <v>2592</v>
      </c>
      <c r="E542">
        <v>1008</v>
      </c>
      <c r="F542" s="12">
        <v>0.28000000000000003</v>
      </c>
      <c r="G542">
        <v>2025</v>
      </c>
      <c r="H542">
        <v>8</v>
      </c>
      <c r="I542" t="s">
        <v>2863</v>
      </c>
      <c r="J542" t="s">
        <v>2841</v>
      </c>
      <c r="K542" t="s">
        <v>2852</v>
      </c>
      <c r="L542" t="s">
        <v>2848</v>
      </c>
      <c r="M542" t="s">
        <v>2838</v>
      </c>
      <c r="N542" t="s">
        <v>2857</v>
      </c>
    </row>
    <row r="543" spans="1:14">
      <c r="A543">
        <v>192</v>
      </c>
      <c r="B543">
        <v>0</v>
      </c>
      <c r="C543">
        <v>192</v>
      </c>
      <c r="D543">
        <v>149.76</v>
      </c>
      <c r="E543">
        <v>42.240000000000009</v>
      </c>
      <c r="F543" s="12">
        <v>0.22000000000000006</v>
      </c>
      <c r="G543">
        <v>2025</v>
      </c>
      <c r="H543">
        <v>11</v>
      </c>
      <c r="I543" t="s">
        <v>2862</v>
      </c>
      <c r="J543" t="s">
        <v>2855</v>
      </c>
      <c r="K543" t="s">
        <v>2852</v>
      </c>
      <c r="L543" t="s">
        <v>2848</v>
      </c>
      <c r="M543" t="s">
        <v>2838</v>
      </c>
      <c r="N543" t="s">
        <v>2844</v>
      </c>
    </row>
    <row r="544" spans="1:14">
      <c r="A544">
        <v>520</v>
      </c>
      <c r="B544">
        <v>26</v>
      </c>
      <c r="C544">
        <v>494</v>
      </c>
      <c r="D544">
        <v>379.6</v>
      </c>
      <c r="E544">
        <v>114.39999999999998</v>
      </c>
      <c r="F544" s="12">
        <v>0.231578947368421</v>
      </c>
      <c r="G544">
        <v>2025</v>
      </c>
      <c r="H544">
        <v>10</v>
      </c>
      <c r="I544" t="s">
        <v>2854</v>
      </c>
      <c r="J544" t="s">
        <v>2855</v>
      </c>
      <c r="K544" t="s">
        <v>2852</v>
      </c>
      <c r="L544" t="s">
        <v>2843</v>
      </c>
      <c r="M544" t="s">
        <v>2837</v>
      </c>
      <c r="N544" t="s">
        <v>2844</v>
      </c>
    </row>
    <row r="545" spans="1:14">
      <c r="A545">
        <v>1040</v>
      </c>
      <c r="B545">
        <v>0</v>
      </c>
      <c r="C545">
        <v>1040</v>
      </c>
      <c r="D545">
        <v>759.2</v>
      </c>
      <c r="E545">
        <v>280.79999999999995</v>
      </c>
      <c r="F545" s="12">
        <v>0.26999999999999996</v>
      </c>
      <c r="G545">
        <v>2025</v>
      </c>
      <c r="H545">
        <v>3</v>
      </c>
      <c r="I545" t="s">
        <v>2859</v>
      </c>
      <c r="J545" t="s">
        <v>2851</v>
      </c>
      <c r="K545" t="s">
        <v>2842</v>
      </c>
      <c r="L545" t="s">
        <v>2848</v>
      </c>
      <c r="M545" t="s">
        <v>2838</v>
      </c>
      <c r="N545" t="s">
        <v>2857</v>
      </c>
    </row>
    <row r="546" spans="1:14">
      <c r="A546">
        <v>110</v>
      </c>
      <c r="B546">
        <v>0</v>
      </c>
      <c r="C546">
        <v>110</v>
      </c>
      <c r="D546">
        <v>72.599999999999994</v>
      </c>
      <c r="E546">
        <v>37.400000000000006</v>
      </c>
      <c r="F546" s="12">
        <v>0.34</v>
      </c>
      <c r="G546">
        <v>2025</v>
      </c>
      <c r="H546">
        <v>11</v>
      </c>
      <c r="I546" t="s">
        <v>2862</v>
      </c>
      <c r="J546" t="s">
        <v>2855</v>
      </c>
      <c r="K546" t="s">
        <v>2852</v>
      </c>
      <c r="L546" t="s">
        <v>2848</v>
      </c>
      <c r="M546" t="s">
        <v>2838</v>
      </c>
      <c r="N546" t="s">
        <v>2844</v>
      </c>
    </row>
    <row r="547" spans="1:14">
      <c r="A547">
        <v>480</v>
      </c>
      <c r="B547">
        <v>24</v>
      </c>
      <c r="C547">
        <v>456</v>
      </c>
      <c r="D547">
        <v>355.2</v>
      </c>
      <c r="E547">
        <v>100.80000000000001</v>
      </c>
      <c r="F547" s="12">
        <v>0.22105263157894739</v>
      </c>
      <c r="G547">
        <v>2025</v>
      </c>
      <c r="H547">
        <v>10</v>
      </c>
      <c r="I547" t="s">
        <v>2854</v>
      </c>
      <c r="J547" t="s">
        <v>2855</v>
      </c>
      <c r="K547" t="s">
        <v>2860</v>
      </c>
      <c r="L547" t="s">
        <v>2866</v>
      </c>
      <c r="M547" t="s">
        <v>2838</v>
      </c>
      <c r="N547" t="s">
        <v>2844</v>
      </c>
    </row>
    <row r="548" spans="1:14">
      <c r="A548">
        <v>240</v>
      </c>
      <c r="B548">
        <v>19.2</v>
      </c>
      <c r="C548">
        <v>220.8</v>
      </c>
      <c r="D548">
        <v>177.6</v>
      </c>
      <c r="E548">
        <v>43.200000000000017</v>
      </c>
      <c r="F548" s="12">
        <v>0.19565217391304354</v>
      </c>
      <c r="G548">
        <v>2025</v>
      </c>
      <c r="H548">
        <v>12</v>
      </c>
      <c r="I548" t="s">
        <v>2858</v>
      </c>
      <c r="J548" t="s">
        <v>2855</v>
      </c>
      <c r="K548" t="s">
        <v>2852</v>
      </c>
      <c r="L548" t="s">
        <v>2848</v>
      </c>
      <c r="M548" t="s">
        <v>2838</v>
      </c>
      <c r="N548" t="s">
        <v>2844</v>
      </c>
    </row>
    <row r="549" spans="1:14">
      <c r="A549">
        <v>350</v>
      </c>
      <c r="B549">
        <v>0</v>
      </c>
      <c r="C549">
        <v>350</v>
      </c>
      <c r="D549">
        <v>213.5</v>
      </c>
      <c r="E549">
        <v>136.5</v>
      </c>
      <c r="F549" s="12">
        <v>0.39</v>
      </c>
      <c r="G549">
        <v>2025</v>
      </c>
      <c r="H549">
        <v>1</v>
      </c>
      <c r="I549" t="s">
        <v>2850</v>
      </c>
      <c r="J549" t="s">
        <v>2851</v>
      </c>
      <c r="K549" t="s">
        <v>2852</v>
      </c>
      <c r="L549" t="s">
        <v>2843</v>
      </c>
      <c r="M549" t="s">
        <v>2837</v>
      </c>
      <c r="N549" t="s">
        <v>2844</v>
      </c>
    </row>
    <row r="550" spans="1:14">
      <c r="A550">
        <v>120</v>
      </c>
      <c r="B550">
        <v>12</v>
      </c>
      <c r="C550">
        <v>108</v>
      </c>
      <c r="D550">
        <v>73.2</v>
      </c>
      <c r="E550">
        <v>34.799999999999997</v>
      </c>
      <c r="F550" s="12">
        <v>0.32222222222222219</v>
      </c>
      <c r="G550">
        <v>2025</v>
      </c>
      <c r="H550">
        <v>6</v>
      </c>
      <c r="I550" t="s">
        <v>2864</v>
      </c>
      <c r="J550" t="s">
        <v>2846</v>
      </c>
      <c r="K550" t="s">
        <v>2860</v>
      </c>
      <c r="L550" t="s">
        <v>2856</v>
      </c>
      <c r="M550" t="s">
        <v>2837</v>
      </c>
      <c r="N550" t="s">
        <v>2844</v>
      </c>
    </row>
    <row r="551" spans="1:14">
      <c r="A551">
        <v>48</v>
      </c>
      <c r="B551">
        <v>0</v>
      </c>
      <c r="C551">
        <v>48</v>
      </c>
      <c r="D551">
        <v>37.44</v>
      </c>
      <c r="E551">
        <v>10.560000000000002</v>
      </c>
      <c r="F551" s="12">
        <v>0.22000000000000006</v>
      </c>
      <c r="G551">
        <v>2025</v>
      </c>
      <c r="H551">
        <v>8</v>
      </c>
      <c r="I551" t="s">
        <v>2863</v>
      </c>
      <c r="J551" t="s">
        <v>2841</v>
      </c>
      <c r="K551" t="s">
        <v>2847</v>
      </c>
      <c r="L551" t="s">
        <v>2843</v>
      </c>
      <c r="M551" t="s">
        <v>2837</v>
      </c>
      <c r="N551" t="s">
        <v>2844</v>
      </c>
    </row>
    <row r="552" spans="1:14">
      <c r="A552">
        <v>88</v>
      </c>
      <c r="B552">
        <v>1.76</v>
      </c>
      <c r="C552">
        <v>86.24</v>
      </c>
      <c r="D552">
        <v>59.84</v>
      </c>
      <c r="E552">
        <v>26.399999999999991</v>
      </c>
      <c r="F552" s="12">
        <v>0.30612244897959173</v>
      </c>
      <c r="G552">
        <v>2025</v>
      </c>
      <c r="H552">
        <v>9</v>
      </c>
      <c r="I552" t="s">
        <v>2853</v>
      </c>
      <c r="J552" t="s">
        <v>2841</v>
      </c>
      <c r="K552" t="s">
        <v>2860</v>
      </c>
      <c r="L552" t="s">
        <v>2848</v>
      </c>
      <c r="M552" t="s">
        <v>2838</v>
      </c>
      <c r="N552" t="s">
        <v>2844</v>
      </c>
    </row>
    <row r="553" spans="1:14">
      <c r="A553">
        <v>44</v>
      </c>
      <c r="B553">
        <v>0</v>
      </c>
      <c r="C553">
        <v>44</v>
      </c>
      <c r="D553">
        <v>29.92</v>
      </c>
      <c r="E553">
        <v>14.079999999999998</v>
      </c>
      <c r="F553" s="12">
        <v>0.31999999999999995</v>
      </c>
      <c r="G553">
        <v>2025</v>
      </c>
      <c r="H553">
        <v>7</v>
      </c>
      <c r="I553" t="s">
        <v>2840</v>
      </c>
      <c r="J553" t="s">
        <v>2841</v>
      </c>
      <c r="K553" t="s">
        <v>2852</v>
      </c>
      <c r="L553" t="s">
        <v>2843</v>
      </c>
      <c r="M553" t="s">
        <v>2837</v>
      </c>
      <c r="N553" t="s">
        <v>2844</v>
      </c>
    </row>
    <row r="554" spans="1:14">
      <c r="A554">
        <v>1040</v>
      </c>
      <c r="B554">
        <v>104</v>
      </c>
      <c r="C554">
        <v>936</v>
      </c>
      <c r="D554">
        <v>696.8</v>
      </c>
      <c r="E554">
        <v>239.20000000000005</v>
      </c>
      <c r="F554" s="12">
        <v>0.25555555555555559</v>
      </c>
      <c r="G554">
        <v>2025</v>
      </c>
      <c r="H554">
        <v>12</v>
      </c>
      <c r="I554" t="s">
        <v>2858</v>
      </c>
      <c r="J554" t="s">
        <v>2855</v>
      </c>
      <c r="K554" t="s">
        <v>2860</v>
      </c>
      <c r="L554" t="s">
        <v>2848</v>
      </c>
      <c r="M554" t="s">
        <v>2838</v>
      </c>
      <c r="N554" t="s">
        <v>2849</v>
      </c>
    </row>
    <row r="555" spans="1:14">
      <c r="A555">
        <v>3900</v>
      </c>
      <c r="B555">
        <v>195</v>
      </c>
      <c r="C555">
        <v>3705</v>
      </c>
      <c r="D555">
        <v>2340</v>
      </c>
      <c r="E555">
        <v>1365</v>
      </c>
      <c r="F555" s="12">
        <v>0.36842105263157893</v>
      </c>
      <c r="G555">
        <v>2025</v>
      </c>
      <c r="H555">
        <v>7</v>
      </c>
      <c r="I555" t="s">
        <v>2840</v>
      </c>
      <c r="J555" t="s">
        <v>2841</v>
      </c>
      <c r="K555" t="s">
        <v>2847</v>
      </c>
      <c r="L555" t="s">
        <v>2848</v>
      </c>
      <c r="M555" t="s">
        <v>2838</v>
      </c>
      <c r="N555" t="s">
        <v>2857</v>
      </c>
    </row>
    <row r="556" spans="1:14">
      <c r="A556">
        <v>360</v>
      </c>
      <c r="B556">
        <v>36</v>
      </c>
      <c r="C556">
        <v>324</v>
      </c>
      <c r="D556">
        <v>219.60000000000002</v>
      </c>
      <c r="E556">
        <v>104.39999999999998</v>
      </c>
      <c r="F556" s="12">
        <v>0.32222222222222213</v>
      </c>
      <c r="G556">
        <v>2025</v>
      </c>
      <c r="H556">
        <v>7</v>
      </c>
      <c r="I556" t="s">
        <v>2840</v>
      </c>
      <c r="J556" t="s">
        <v>2841</v>
      </c>
      <c r="K556" t="s">
        <v>2847</v>
      </c>
      <c r="L556" t="s">
        <v>2856</v>
      </c>
      <c r="M556" t="s">
        <v>2839</v>
      </c>
      <c r="N556" t="s">
        <v>2844</v>
      </c>
    </row>
    <row r="557" spans="1:14">
      <c r="A557">
        <v>350</v>
      </c>
      <c r="B557">
        <v>17.5</v>
      </c>
      <c r="C557">
        <v>332.5</v>
      </c>
      <c r="D557">
        <v>213.5</v>
      </c>
      <c r="E557">
        <v>119</v>
      </c>
      <c r="F557" s="12">
        <v>0.35789473684210527</v>
      </c>
      <c r="G557">
        <v>2025</v>
      </c>
      <c r="H557">
        <v>10</v>
      </c>
      <c r="I557" t="s">
        <v>2854</v>
      </c>
      <c r="J557" t="s">
        <v>2855</v>
      </c>
      <c r="K557" t="s">
        <v>2847</v>
      </c>
      <c r="L557" t="s">
        <v>2843</v>
      </c>
      <c r="M557" t="s">
        <v>2837</v>
      </c>
      <c r="N557" t="s">
        <v>2844</v>
      </c>
    </row>
    <row r="558" spans="1:14">
      <c r="A558">
        <v>570</v>
      </c>
      <c r="B558">
        <v>28.5</v>
      </c>
      <c r="C558">
        <v>541.5</v>
      </c>
      <c r="D558">
        <v>444.59999999999997</v>
      </c>
      <c r="E558">
        <v>96.900000000000034</v>
      </c>
      <c r="F558" s="12">
        <v>0.17894736842105269</v>
      </c>
      <c r="G558">
        <v>2025</v>
      </c>
      <c r="H558">
        <v>3</v>
      </c>
      <c r="I558" t="s">
        <v>2859</v>
      </c>
      <c r="J558" t="s">
        <v>2851</v>
      </c>
      <c r="K558" t="s">
        <v>2842</v>
      </c>
      <c r="L558" t="s">
        <v>2848</v>
      </c>
      <c r="M558" t="s">
        <v>2838</v>
      </c>
      <c r="N558" t="s">
        <v>2849</v>
      </c>
    </row>
    <row r="559" spans="1:14">
      <c r="A559">
        <v>2100</v>
      </c>
      <c r="B559">
        <v>42</v>
      </c>
      <c r="C559">
        <v>2058</v>
      </c>
      <c r="D559">
        <v>1281</v>
      </c>
      <c r="E559">
        <v>777</v>
      </c>
      <c r="F559" s="12">
        <v>0.37755102040816324</v>
      </c>
      <c r="G559">
        <v>2025</v>
      </c>
      <c r="H559">
        <v>7</v>
      </c>
      <c r="I559" t="s">
        <v>2840</v>
      </c>
      <c r="J559" t="s">
        <v>2841</v>
      </c>
      <c r="K559" t="s">
        <v>2847</v>
      </c>
      <c r="L559" t="s">
        <v>2856</v>
      </c>
      <c r="M559" t="s">
        <v>2838</v>
      </c>
      <c r="N559" t="s">
        <v>2857</v>
      </c>
    </row>
    <row r="560" spans="1:14">
      <c r="A560">
        <v>380</v>
      </c>
      <c r="B560">
        <v>30.400000000000002</v>
      </c>
      <c r="C560">
        <v>349.6</v>
      </c>
      <c r="D560">
        <v>281.2</v>
      </c>
      <c r="E560">
        <v>68.400000000000034</v>
      </c>
      <c r="F560" s="12">
        <v>0.19565217391304357</v>
      </c>
      <c r="G560">
        <v>2025</v>
      </c>
      <c r="H560">
        <v>5</v>
      </c>
      <c r="I560" t="s">
        <v>2845</v>
      </c>
      <c r="J560" t="s">
        <v>2846</v>
      </c>
      <c r="K560" t="s">
        <v>2852</v>
      </c>
      <c r="L560" t="s">
        <v>2843</v>
      </c>
      <c r="M560" t="s">
        <v>2837</v>
      </c>
      <c r="N560" t="s">
        <v>2844</v>
      </c>
    </row>
    <row r="561" spans="1:14">
      <c r="A561">
        <v>700</v>
      </c>
      <c r="B561">
        <v>0</v>
      </c>
      <c r="C561">
        <v>700</v>
      </c>
      <c r="D561">
        <v>427</v>
      </c>
      <c r="E561">
        <v>273</v>
      </c>
      <c r="F561" s="12">
        <v>0.39</v>
      </c>
      <c r="G561">
        <v>2025</v>
      </c>
      <c r="H561">
        <v>3</v>
      </c>
      <c r="I561" t="s">
        <v>2859</v>
      </c>
      <c r="J561" t="s">
        <v>2851</v>
      </c>
      <c r="K561" t="s">
        <v>2860</v>
      </c>
      <c r="L561" t="s">
        <v>2848</v>
      </c>
      <c r="M561" t="s">
        <v>2838</v>
      </c>
      <c r="N561" t="s">
        <v>2849</v>
      </c>
    </row>
    <row r="562" spans="1:14">
      <c r="A562">
        <v>65</v>
      </c>
      <c r="B562">
        <v>0</v>
      </c>
      <c r="C562">
        <v>65</v>
      </c>
      <c r="D562">
        <v>47.45</v>
      </c>
      <c r="E562">
        <v>17.549999999999997</v>
      </c>
      <c r="F562" s="12">
        <v>0.26999999999999996</v>
      </c>
      <c r="G562">
        <v>2025</v>
      </c>
      <c r="H562">
        <v>4</v>
      </c>
      <c r="I562" t="s">
        <v>2865</v>
      </c>
      <c r="J562" t="s">
        <v>2846</v>
      </c>
      <c r="K562" t="s">
        <v>2860</v>
      </c>
      <c r="L562" t="s">
        <v>2848</v>
      </c>
      <c r="M562" t="s">
        <v>2838</v>
      </c>
      <c r="N562" t="s">
        <v>2844</v>
      </c>
    </row>
    <row r="563" spans="1:14">
      <c r="A563">
        <v>2600</v>
      </c>
      <c r="B563">
        <v>0</v>
      </c>
      <c r="C563">
        <v>2600</v>
      </c>
      <c r="D563">
        <v>1898</v>
      </c>
      <c r="E563">
        <v>702</v>
      </c>
      <c r="F563" s="12">
        <v>0.27</v>
      </c>
      <c r="G563">
        <v>2025</v>
      </c>
      <c r="H563">
        <v>10</v>
      </c>
      <c r="I563" t="s">
        <v>2854</v>
      </c>
      <c r="J563" t="s">
        <v>2855</v>
      </c>
      <c r="K563" t="s">
        <v>2852</v>
      </c>
      <c r="L563" t="s">
        <v>2856</v>
      </c>
      <c r="M563" t="s">
        <v>2839</v>
      </c>
      <c r="N563" t="s">
        <v>2857</v>
      </c>
    </row>
    <row r="564" spans="1:14">
      <c r="A564">
        <v>720</v>
      </c>
      <c r="B564">
        <v>36</v>
      </c>
      <c r="C564">
        <v>684</v>
      </c>
      <c r="D564">
        <v>532.79999999999995</v>
      </c>
      <c r="E564">
        <v>151.20000000000005</v>
      </c>
      <c r="F564" s="12">
        <v>0.22105263157894744</v>
      </c>
      <c r="G564">
        <v>2025</v>
      </c>
      <c r="H564">
        <v>3</v>
      </c>
      <c r="I564" t="s">
        <v>2859</v>
      </c>
      <c r="J564" t="s">
        <v>2851</v>
      </c>
      <c r="K564" t="s">
        <v>2852</v>
      </c>
      <c r="L564" t="s">
        <v>2856</v>
      </c>
      <c r="M564" t="s">
        <v>2838</v>
      </c>
      <c r="N564" t="s">
        <v>2849</v>
      </c>
    </row>
    <row r="565" spans="1:14">
      <c r="A565">
        <v>105</v>
      </c>
      <c r="B565">
        <v>5.25</v>
      </c>
      <c r="C565">
        <v>99.75</v>
      </c>
      <c r="D565">
        <v>72.449999999999989</v>
      </c>
      <c r="E565">
        <v>27.300000000000011</v>
      </c>
      <c r="F565" s="12">
        <v>0.27368421052631592</v>
      </c>
      <c r="G565">
        <v>2025</v>
      </c>
      <c r="H565">
        <v>3</v>
      </c>
      <c r="I565" t="s">
        <v>2859</v>
      </c>
      <c r="J565" t="s">
        <v>2851</v>
      </c>
      <c r="K565" t="s">
        <v>2852</v>
      </c>
      <c r="L565" t="s">
        <v>2843</v>
      </c>
      <c r="M565" t="s">
        <v>2837</v>
      </c>
      <c r="N565" t="s">
        <v>2844</v>
      </c>
    </row>
    <row r="566" spans="1:14">
      <c r="A566">
        <v>22</v>
      </c>
      <c r="B566">
        <v>0.44</v>
      </c>
      <c r="C566">
        <v>21.56</v>
      </c>
      <c r="D566">
        <v>14.96</v>
      </c>
      <c r="E566">
        <v>6.5999999999999979</v>
      </c>
      <c r="F566" s="12">
        <v>0.30612244897959173</v>
      </c>
      <c r="G566">
        <v>2025</v>
      </c>
      <c r="H566">
        <v>5</v>
      </c>
      <c r="I566" t="s">
        <v>2845</v>
      </c>
      <c r="J566" t="s">
        <v>2846</v>
      </c>
      <c r="K566" t="s">
        <v>2860</v>
      </c>
      <c r="L566" t="s">
        <v>2848</v>
      </c>
      <c r="M566" t="s">
        <v>2838</v>
      </c>
      <c r="N566" t="s">
        <v>2844</v>
      </c>
    </row>
    <row r="567" spans="1:14">
      <c r="A567">
        <v>95</v>
      </c>
      <c r="B567">
        <v>7.6000000000000005</v>
      </c>
      <c r="C567">
        <v>87.4</v>
      </c>
      <c r="D567">
        <v>70.3</v>
      </c>
      <c r="E567">
        <v>17.100000000000009</v>
      </c>
      <c r="F567" s="12">
        <v>0.19565217391304357</v>
      </c>
      <c r="G567">
        <v>2025</v>
      </c>
      <c r="H567">
        <v>2</v>
      </c>
      <c r="I567" t="s">
        <v>2861</v>
      </c>
      <c r="J567" t="s">
        <v>2851</v>
      </c>
      <c r="K567" t="s">
        <v>2852</v>
      </c>
      <c r="L567" t="s">
        <v>2843</v>
      </c>
      <c r="M567" t="s">
        <v>2837</v>
      </c>
      <c r="N567" t="s">
        <v>2844</v>
      </c>
    </row>
    <row r="568" spans="1:14">
      <c r="A568">
        <v>65</v>
      </c>
      <c r="B568">
        <v>6.5</v>
      </c>
      <c r="C568">
        <v>58.5</v>
      </c>
      <c r="D568">
        <v>47.45</v>
      </c>
      <c r="E568">
        <v>11.049999999999997</v>
      </c>
      <c r="F568" s="12">
        <v>0.18888888888888883</v>
      </c>
      <c r="G568">
        <v>2025</v>
      </c>
      <c r="H568">
        <v>11</v>
      </c>
      <c r="I568" t="s">
        <v>2862</v>
      </c>
      <c r="J568" t="s">
        <v>2855</v>
      </c>
      <c r="K568" t="s">
        <v>2842</v>
      </c>
      <c r="L568" t="s">
        <v>2843</v>
      </c>
      <c r="M568" t="s">
        <v>2837</v>
      </c>
      <c r="N568" t="s">
        <v>2844</v>
      </c>
    </row>
    <row r="569" spans="1:14">
      <c r="A569">
        <v>66</v>
      </c>
      <c r="B569">
        <v>0</v>
      </c>
      <c r="C569">
        <v>66</v>
      </c>
      <c r="D569">
        <v>44.88</v>
      </c>
      <c r="E569">
        <v>21.119999999999997</v>
      </c>
      <c r="F569" s="12">
        <v>0.31999999999999995</v>
      </c>
      <c r="G569">
        <v>2025</v>
      </c>
      <c r="H569">
        <v>8</v>
      </c>
      <c r="I569" t="s">
        <v>2863</v>
      </c>
      <c r="J569" t="s">
        <v>2841</v>
      </c>
      <c r="K569" t="s">
        <v>2852</v>
      </c>
      <c r="L569" t="s">
        <v>2856</v>
      </c>
      <c r="M569" t="s">
        <v>2839</v>
      </c>
      <c r="N569" t="s">
        <v>2844</v>
      </c>
    </row>
    <row r="570" spans="1:14">
      <c r="A570">
        <v>420</v>
      </c>
      <c r="B570">
        <v>8.4</v>
      </c>
      <c r="C570">
        <v>411.6</v>
      </c>
      <c r="D570">
        <v>273</v>
      </c>
      <c r="E570">
        <v>138.60000000000002</v>
      </c>
      <c r="F570" s="12">
        <v>0.33673469387755106</v>
      </c>
      <c r="G570">
        <v>2025</v>
      </c>
      <c r="H570">
        <v>9</v>
      </c>
      <c r="I570" t="s">
        <v>2853</v>
      </c>
      <c r="J570" t="s">
        <v>2841</v>
      </c>
      <c r="K570" t="s">
        <v>2842</v>
      </c>
      <c r="L570" t="s">
        <v>2856</v>
      </c>
      <c r="M570" t="s">
        <v>2839</v>
      </c>
      <c r="N570" t="s">
        <v>2844</v>
      </c>
    </row>
    <row r="571" spans="1:14">
      <c r="A571">
        <v>220</v>
      </c>
      <c r="B571">
        <v>11</v>
      </c>
      <c r="C571">
        <v>209</v>
      </c>
      <c r="D571">
        <v>145.19999999999999</v>
      </c>
      <c r="E571">
        <v>63.800000000000011</v>
      </c>
      <c r="F571" s="12">
        <v>0.3052631578947369</v>
      </c>
      <c r="G571">
        <v>2025</v>
      </c>
      <c r="H571">
        <v>12</v>
      </c>
      <c r="I571" t="s">
        <v>2858</v>
      </c>
      <c r="J571" t="s">
        <v>2855</v>
      </c>
      <c r="K571" t="s">
        <v>2860</v>
      </c>
      <c r="L571" t="s">
        <v>2856</v>
      </c>
      <c r="M571" t="s">
        <v>2837</v>
      </c>
      <c r="N571" t="s">
        <v>2844</v>
      </c>
    </row>
    <row r="572" spans="1:14">
      <c r="A572">
        <v>1040</v>
      </c>
      <c r="B572">
        <v>83.2</v>
      </c>
      <c r="C572">
        <v>956.8</v>
      </c>
      <c r="D572">
        <v>696.8</v>
      </c>
      <c r="E572">
        <v>260</v>
      </c>
      <c r="F572" s="12">
        <v>0.27173913043478259</v>
      </c>
      <c r="G572">
        <v>2025</v>
      </c>
      <c r="H572">
        <v>5</v>
      </c>
      <c r="I572" t="s">
        <v>2845</v>
      </c>
      <c r="J572" t="s">
        <v>2846</v>
      </c>
      <c r="K572" t="s">
        <v>2847</v>
      </c>
      <c r="L572" t="s">
        <v>2856</v>
      </c>
      <c r="M572" t="s">
        <v>2839</v>
      </c>
      <c r="N572" t="s">
        <v>2849</v>
      </c>
    </row>
    <row r="573" spans="1:14">
      <c r="A573">
        <v>120</v>
      </c>
      <c r="B573">
        <v>0</v>
      </c>
      <c r="C573">
        <v>120</v>
      </c>
      <c r="D573">
        <v>73.2</v>
      </c>
      <c r="E573">
        <v>46.8</v>
      </c>
      <c r="F573" s="12">
        <v>0.38999999999999996</v>
      </c>
      <c r="G573">
        <v>2025</v>
      </c>
      <c r="H573">
        <v>4</v>
      </c>
      <c r="I573" t="s">
        <v>2865</v>
      </c>
      <c r="J573" t="s">
        <v>2846</v>
      </c>
      <c r="K573" t="s">
        <v>2842</v>
      </c>
      <c r="L573" t="s">
        <v>2848</v>
      </c>
      <c r="M573" t="s">
        <v>2838</v>
      </c>
      <c r="N573" t="s">
        <v>2844</v>
      </c>
    </row>
    <row r="574" spans="1:14">
      <c r="A574">
        <v>240</v>
      </c>
      <c r="B574">
        <v>19.2</v>
      </c>
      <c r="C574">
        <v>220.8</v>
      </c>
      <c r="D574">
        <v>146.4</v>
      </c>
      <c r="E574">
        <v>74.400000000000006</v>
      </c>
      <c r="F574" s="12">
        <v>0.33695652173913043</v>
      </c>
      <c r="G574">
        <v>2025</v>
      </c>
      <c r="H574">
        <v>5</v>
      </c>
      <c r="I574" t="s">
        <v>2845</v>
      </c>
      <c r="J574" t="s">
        <v>2846</v>
      </c>
      <c r="K574" t="s">
        <v>2852</v>
      </c>
      <c r="L574" t="s">
        <v>2848</v>
      </c>
      <c r="M574" t="s">
        <v>2838</v>
      </c>
      <c r="N574" t="s">
        <v>2844</v>
      </c>
    </row>
    <row r="575" spans="1:14">
      <c r="A575">
        <v>44</v>
      </c>
      <c r="B575">
        <v>3.52</v>
      </c>
      <c r="C575">
        <v>40.479999999999997</v>
      </c>
      <c r="D575">
        <v>29.92</v>
      </c>
      <c r="E575">
        <v>10.559999999999995</v>
      </c>
      <c r="F575" s="12">
        <v>0.26086956521739119</v>
      </c>
      <c r="G575">
        <v>2025</v>
      </c>
      <c r="H575">
        <v>1</v>
      </c>
      <c r="I575" t="s">
        <v>2850</v>
      </c>
      <c r="J575" t="s">
        <v>2851</v>
      </c>
      <c r="K575" t="s">
        <v>2860</v>
      </c>
      <c r="L575" t="s">
        <v>2848</v>
      </c>
      <c r="M575" t="s">
        <v>2838</v>
      </c>
      <c r="N575" t="s">
        <v>2844</v>
      </c>
    </row>
    <row r="576" spans="1:14">
      <c r="A576">
        <v>435</v>
      </c>
      <c r="B576">
        <v>34.800000000000004</v>
      </c>
      <c r="C576">
        <v>400.2</v>
      </c>
      <c r="D576">
        <v>291.45000000000005</v>
      </c>
      <c r="E576">
        <v>108.74999999999994</v>
      </c>
      <c r="F576" s="12">
        <v>0.27173913043478248</v>
      </c>
      <c r="G576">
        <v>2025</v>
      </c>
      <c r="H576">
        <v>10</v>
      </c>
      <c r="I576" t="s">
        <v>2854</v>
      </c>
      <c r="J576" t="s">
        <v>2855</v>
      </c>
      <c r="K576" t="s">
        <v>2842</v>
      </c>
      <c r="L576" t="s">
        <v>2848</v>
      </c>
      <c r="M576" t="s">
        <v>2838</v>
      </c>
      <c r="N576" t="s">
        <v>2844</v>
      </c>
    </row>
    <row r="577" spans="1:14">
      <c r="A577">
        <v>1260</v>
      </c>
      <c r="B577">
        <v>100.8</v>
      </c>
      <c r="C577">
        <v>1159.2</v>
      </c>
      <c r="D577">
        <v>819</v>
      </c>
      <c r="E577">
        <v>340.20000000000005</v>
      </c>
      <c r="F577" s="12">
        <v>0.29347826086956524</v>
      </c>
      <c r="G577">
        <v>2025</v>
      </c>
      <c r="H577">
        <v>6</v>
      </c>
      <c r="I577" t="s">
        <v>2864</v>
      </c>
      <c r="J577" t="s">
        <v>2846</v>
      </c>
      <c r="K577" t="s">
        <v>2842</v>
      </c>
      <c r="L577" t="s">
        <v>2848</v>
      </c>
      <c r="M577" t="s">
        <v>2838</v>
      </c>
      <c r="N577" t="s">
        <v>2857</v>
      </c>
    </row>
    <row r="578" spans="1:14">
      <c r="A578">
        <v>1040</v>
      </c>
      <c r="B578">
        <v>20.8</v>
      </c>
      <c r="C578">
        <v>1019.2</v>
      </c>
      <c r="D578">
        <v>696.8</v>
      </c>
      <c r="E578">
        <v>322.40000000000009</v>
      </c>
      <c r="F578" s="12">
        <v>0.31632653061224497</v>
      </c>
      <c r="G578">
        <v>2025</v>
      </c>
      <c r="H578">
        <v>7</v>
      </c>
      <c r="I578" t="s">
        <v>2840</v>
      </c>
      <c r="J578" t="s">
        <v>2841</v>
      </c>
      <c r="K578" t="s">
        <v>2860</v>
      </c>
      <c r="L578" t="s">
        <v>2843</v>
      </c>
      <c r="M578" t="s">
        <v>2837</v>
      </c>
      <c r="N578" t="s">
        <v>2857</v>
      </c>
    </row>
    <row r="579" spans="1:14">
      <c r="A579">
        <v>240</v>
      </c>
      <c r="B579">
        <v>12</v>
      </c>
      <c r="C579">
        <v>228</v>
      </c>
      <c r="D579">
        <v>146.4</v>
      </c>
      <c r="E579">
        <v>81.599999999999994</v>
      </c>
      <c r="F579" s="12">
        <v>0.35789473684210527</v>
      </c>
      <c r="G579">
        <v>2025</v>
      </c>
      <c r="H579">
        <v>10</v>
      </c>
      <c r="I579" t="s">
        <v>2854</v>
      </c>
      <c r="J579" t="s">
        <v>2855</v>
      </c>
      <c r="K579" t="s">
        <v>2842</v>
      </c>
      <c r="L579" t="s">
        <v>2848</v>
      </c>
      <c r="M579" t="s">
        <v>2838</v>
      </c>
      <c r="N579" t="s">
        <v>2844</v>
      </c>
    </row>
    <row r="580" spans="1:14">
      <c r="A580">
        <v>110</v>
      </c>
      <c r="B580">
        <v>5.5</v>
      </c>
      <c r="C580">
        <v>104.5</v>
      </c>
      <c r="D580">
        <v>72.599999999999994</v>
      </c>
      <c r="E580">
        <v>31.900000000000006</v>
      </c>
      <c r="F580" s="12">
        <v>0.3052631578947369</v>
      </c>
      <c r="G580">
        <v>2025</v>
      </c>
      <c r="H580">
        <v>2</v>
      </c>
      <c r="I580" t="s">
        <v>2861</v>
      </c>
      <c r="J580" t="s">
        <v>2851</v>
      </c>
      <c r="K580" t="s">
        <v>2852</v>
      </c>
      <c r="L580" t="s">
        <v>2843</v>
      </c>
      <c r="M580" t="s">
        <v>2837</v>
      </c>
      <c r="N580" t="s">
        <v>2844</v>
      </c>
    </row>
    <row r="581" spans="1:14">
      <c r="A581">
        <v>240</v>
      </c>
      <c r="B581">
        <v>4.8</v>
      </c>
      <c r="C581">
        <v>235.2</v>
      </c>
      <c r="D581">
        <v>177.6</v>
      </c>
      <c r="E581">
        <v>57.599999999999994</v>
      </c>
      <c r="F581" s="12">
        <v>0.24489795918367346</v>
      </c>
      <c r="G581">
        <v>2025</v>
      </c>
      <c r="H581">
        <v>7</v>
      </c>
      <c r="I581" t="s">
        <v>2840</v>
      </c>
      <c r="J581" t="s">
        <v>2841</v>
      </c>
      <c r="K581" t="s">
        <v>2847</v>
      </c>
      <c r="L581" t="s">
        <v>2843</v>
      </c>
      <c r="M581" t="s">
        <v>2837</v>
      </c>
      <c r="N581" t="s">
        <v>2844</v>
      </c>
    </row>
    <row r="582" spans="1:14">
      <c r="A582">
        <v>3900</v>
      </c>
      <c r="B582">
        <v>0</v>
      </c>
      <c r="C582">
        <v>3900</v>
      </c>
      <c r="D582">
        <v>2340</v>
      </c>
      <c r="E582">
        <v>1560</v>
      </c>
      <c r="F582" s="12">
        <v>0.4</v>
      </c>
      <c r="G582">
        <v>2025</v>
      </c>
      <c r="H582">
        <v>8</v>
      </c>
      <c r="I582" t="s">
        <v>2863</v>
      </c>
      <c r="J582" t="s">
        <v>2841</v>
      </c>
      <c r="K582" t="s">
        <v>2847</v>
      </c>
      <c r="L582" t="s">
        <v>2856</v>
      </c>
      <c r="M582" t="s">
        <v>2839</v>
      </c>
      <c r="N582" t="s">
        <v>2857</v>
      </c>
    </row>
    <row r="583" spans="1:14">
      <c r="A583">
        <v>2400</v>
      </c>
      <c r="B583">
        <v>0</v>
      </c>
      <c r="C583">
        <v>2400</v>
      </c>
      <c r="D583">
        <v>1464</v>
      </c>
      <c r="E583">
        <v>936</v>
      </c>
      <c r="F583" s="12">
        <v>0.39</v>
      </c>
      <c r="G583">
        <v>2025</v>
      </c>
      <c r="H583">
        <v>12</v>
      </c>
      <c r="I583" t="s">
        <v>2858</v>
      </c>
      <c r="J583" t="s">
        <v>2855</v>
      </c>
      <c r="K583" t="s">
        <v>2852</v>
      </c>
      <c r="L583" t="s">
        <v>2856</v>
      </c>
      <c r="M583" t="s">
        <v>2837</v>
      </c>
      <c r="N583" t="s">
        <v>2857</v>
      </c>
    </row>
    <row r="584" spans="1:14">
      <c r="A584">
        <v>2600</v>
      </c>
      <c r="B584">
        <v>260</v>
      </c>
      <c r="C584">
        <v>2340</v>
      </c>
      <c r="D584">
        <v>1898</v>
      </c>
      <c r="E584">
        <v>442</v>
      </c>
      <c r="F584" s="12">
        <v>0.18888888888888888</v>
      </c>
      <c r="G584">
        <v>2025</v>
      </c>
      <c r="H584">
        <v>5</v>
      </c>
      <c r="I584" t="s">
        <v>2845</v>
      </c>
      <c r="J584" t="s">
        <v>2846</v>
      </c>
      <c r="K584" t="s">
        <v>2860</v>
      </c>
      <c r="L584" t="s">
        <v>2856</v>
      </c>
      <c r="M584" t="s">
        <v>2839</v>
      </c>
      <c r="N584" t="s">
        <v>2857</v>
      </c>
    </row>
    <row r="585" spans="1:14">
      <c r="A585">
        <v>435</v>
      </c>
      <c r="B585">
        <v>34.800000000000004</v>
      </c>
      <c r="C585">
        <v>400.2</v>
      </c>
      <c r="D585">
        <v>291.45000000000005</v>
      </c>
      <c r="E585">
        <v>108.74999999999994</v>
      </c>
      <c r="F585" s="12">
        <v>0.27173913043478248</v>
      </c>
      <c r="G585">
        <v>2025</v>
      </c>
      <c r="H585">
        <v>9</v>
      </c>
      <c r="I585" t="s">
        <v>2853</v>
      </c>
      <c r="J585" t="s">
        <v>2841</v>
      </c>
      <c r="K585" t="s">
        <v>2847</v>
      </c>
      <c r="L585" t="s">
        <v>2843</v>
      </c>
      <c r="M585" t="s">
        <v>2837</v>
      </c>
      <c r="N585" t="s">
        <v>2844</v>
      </c>
    </row>
    <row r="586" spans="1:14">
      <c r="A586">
        <v>132</v>
      </c>
      <c r="B586">
        <v>0</v>
      </c>
      <c r="C586">
        <v>132</v>
      </c>
      <c r="D586">
        <v>89.76</v>
      </c>
      <c r="E586">
        <v>42.239999999999995</v>
      </c>
      <c r="F586" s="12">
        <v>0.31999999999999995</v>
      </c>
      <c r="G586">
        <v>2025</v>
      </c>
      <c r="H586">
        <v>7</v>
      </c>
      <c r="I586" t="s">
        <v>2840</v>
      </c>
      <c r="J586" t="s">
        <v>2841</v>
      </c>
      <c r="K586" t="s">
        <v>2860</v>
      </c>
      <c r="L586" t="s">
        <v>2843</v>
      </c>
      <c r="M586" t="s">
        <v>2837</v>
      </c>
      <c r="N586" t="s">
        <v>2844</v>
      </c>
    </row>
    <row r="587" spans="1:14">
      <c r="A587">
        <v>260</v>
      </c>
      <c r="B587">
        <v>13</v>
      </c>
      <c r="C587">
        <v>247</v>
      </c>
      <c r="D587">
        <v>189.8</v>
      </c>
      <c r="E587">
        <v>57.199999999999989</v>
      </c>
      <c r="F587" s="12">
        <v>0.231578947368421</v>
      </c>
      <c r="G587">
        <v>2025</v>
      </c>
      <c r="H587">
        <v>12</v>
      </c>
      <c r="I587" t="s">
        <v>2858</v>
      </c>
      <c r="J587" t="s">
        <v>2855</v>
      </c>
      <c r="K587" t="s">
        <v>2847</v>
      </c>
      <c r="L587" t="s">
        <v>2848</v>
      </c>
      <c r="M587" t="s">
        <v>2838</v>
      </c>
      <c r="N587" t="s">
        <v>2844</v>
      </c>
    </row>
    <row r="588" spans="1:14">
      <c r="A588">
        <v>1680</v>
      </c>
      <c r="B588">
        <v>84</v>
      </c>
      <c r="C588">
        <v>1596</v>
      </c>
      <c r="D588">
        <v>1092</v>
      </c>
      <c r="E588">
        <v>504</v>
      </c>
      <c r="F588" s="12">
        <v>0.31578947368421051</v>
      </c>
      <c r="G588">
        <v>2025</v>
      </c>
      <c r="H588">
        <v>2</v>
      </c>
      <c r="I588" t="s">
        <v>2861</v>
      </c>
      <c r="J588" t="s">
        <v>2851</v>
      </c>
      <c r="K588" t="s">
        <v>2852</v>
      </c>
      <c r="L588" t="s">
        <v>2843</v>
      </c>
      <c r="M588" t="s">
        <v>2837</v>
      </c>
      <c r="N588" t="s">
        <v>2857</v>
      </c>
    </row>
    <row r="589" spans="1:14">
      <c r="A589">
        <v>96</v>
      </c>
      <c r="B589">
        <v>1.92</v>
      </c>
      <c r="C589">
        <v>94.08</v>
      </c>
      <c r="D589">
        <v>74.88</v>
      </c>
      <c r="E589">
        <v>19.200000000000003</v>
      </c>
      <c r="F589" s="12">
        <v>0.20408163265306126</v>
      </c>
      <c r="G589">
        <v>2025</v>
      </c>
      <c r="H589">
        <v>1</v>
      </c>
      <c r="I589" t="s">
        <v>2850</v>
      </c>
      <c r="J589" t="s">
        <v>2851</v>
      </c>
      <c r="K589" t="s">
        <v>2852</v>
      </c>
      <c r="L589" t="s">
        <v>2856</v>
      </c>
      <c r="M589" t="s">
        <v>2839</v>
      </c>
      <c r="N589" t="s">
        <v>2844</v>
      </c>
    </row>
    <row r="590" spans="1:14">
      <c r="A590">
        <v>570</v>
      </c>
      <c r="B590">
        <v>0</v>
      </c>
      <c r="C590">
        <v>570</v>
      </c>
      <c r="D590">
        <v>444.59999999999997</v>
      </c>
      <c r="E590">
        <v>125.40000000000003</v>
      </c>
      <c r="F590" s="12">
        <v>0.22000000000000006</v>
      </c>
      <c r="G590">
        <v>2025</v>
      </c>
      <c r="H590">
        <v>8</v>
      </c>
      <c r="I590" t="s">
        <v>2863</v>
      </c>
      <c r="J590" t="s">
        <v>2841</v>
      </c>
      <c r="K590" t="s">
        <v>2847</v>
      </c>
      <c r="L590" t="s">
        <v>2856</v>
      </c>
      <c r="M590" t="s">
        <v>2839</v>
      </c>
      <c r="N590" t="s">
        <v>2849</v>
      </c>
    </row>
    <row r="591" spans="1:14">
      <c r="A591">
        <v>2340</v>
      </c>
      <c r="B591">
        <v>187.20000000000002</v>
      </c>
      <c r="C591">
        <v>2152.8000000000002</v>
      </c>
      <c r="D591">
        <v>1404</v>
      </c>
      <c r="E591">
        <v>748.80000000000018</v>
      </c>
      <c r="F591" s="12">
        <v>0.34782608695652178</v>
      </c>
      <c r="G591">
        <v>2025</v>
      </c>
      <c r="H591">
        <v>5</v>
      </c>
      <c r="I591" t="s">
        <v>2845</v>
      </c>
      <c r="J591" t="s">
        <v>2846</v>
      </c>
      <c r="K591" t="s">
        <v>2860</v>
      </c>
      <c r="L591" t="s">
        <v>2843</v>
      </c>
      <c r="M591" t="s">
        <v>2837</v>
      </c>
      <c r="N591" t="s">
        <v>2857</v>
      </c>
    </row>
    <row r="592" spans="1:14">
      <c r="A592">
        <v>195</v>
      </c>
      <c r="B592">
        <v>0</v>
      </c>
      <c r="C592">
        <v>195</v>
      </c>
      <c r="D592">
        <v>142.35000000000002</v>
      </c>
      <c r="E592">
        <v>52.649999999999977</v>
      </c>
      <c r="F592" s="12">
        <v>0.26999999999999991</v>
      </c>
      <c r="G592">
        <v>2025</v>
      </c>
      <c r="H592">
        <v>4</v>
      </c>
      <c r="I592" t="s">
        <v>2865</v>
      </c>
      <c r="J592" t="s">
        <v>2846</v>
      </c>
      <c r="K592" t="s">
        <v>2852</v>
      </c>
      <c r="L592" t="s">
        <v>2843</v>
      </c>
      <c r="M592" t="s">
        <v>2837</v>
      </c>
      <c r="N592" t="s">
        <v>2844</v>
      </c>
    </row>
    <row r="593" spans="1:14">
      <c r="A593">
        <v>1300</v>
      </c>
      <c r="B593">
        <v>65</v>
      </c>
      <c r="C593">
        <v>1235</v>
      </c>
      <c r="D593">
        <v>949</v>
      </c>
      <c r="E593">
        <v>286</v>
      </c>
      <c r="F593" s="12">
        <v>0.23157894736842105</v>
      </c>
      <c r="G593">
        <v>2025</v>
      </c>
      <c r="H593">
        <v>10</v>
      </c>
      <c r="I593" t="s">
        <v>2854</v>
      </c>
      <c r="J593" t="s">
        <v>2855</v>
      </c>
      <c r="K593" t="s">
        <v>2852</v>
      </c>
      <c r="L593" t="s">
        <v>2843</v>
      </c>
      <c r="M593" t="s">
        <v>2837</v>
      </c>
      <c r="N593" t="s">
        <v>2857</v>
      </c>
    </row>
    <row r="594" spans="1:14">
      <c r="A594">
        <v>540</v>
      </c>
      <c r="B594">
        <v>27</v>
      </c>
      <c r="C594">
        <v>513</v>
      </c>
      <c r="D594">
        <v>388.79999999999995</v>
      </c>
      <c r="E594">
        <v>124.20000000000005</v>
      </c>
      <c r="F594" s="12">
        <v>0.24210526315789482</v>
      </c>
      <c r="G594">
        <v>2025</v>
      </c>
      <c r="H594">
        <v>2</v>
      </c>
      <c r="I594" t="s">
        <v>2861</v>
      </c>
      <c r="J594" t="s">
        <v>2851</v>
      </c>
      <c r="K594" t="s">
        <v>2852</v>
      </c>
      <c r="L594" t="s">
        <v>2848</v>
      </c>
      <c r="M594" t="s">
        <v>2838</v>
      </c>
      <c r="N594" t="s">
        <v>2849</v>
      </c>
    </row>
    <row r="595" spans="1:14">
      <c r="A595">
        <v>35</v>
      </c>
      <c r="B595">
        <v>0.70000000000000007</v>
      </c>
      <c r="C595">
        <v>34.299999999999997</v>
      </c>
      <c r="D595">
        <v>24.15</v>
      </c>
      <c r="E595">
        <v>10.149999999999999</v>
      </c>
      <c r="F595" s="12">
        <v>0.29591836734693877</v>
      </c>
      <c r="G595">
        <v>2025</v>
      </c>
      <c r="H595">
        <v>4</v>
      </c>
      <c r="I595" t="s">
        <v>2865</v>
      </c>
      <c r="J595" t="s">
        <v>2846</v>
      </c>
      <c r="K595" t="s">
        <v>2860</v>
      </c>
      <c r="L595" t="s">
        <v>2848</v>
      </c>
      <c r="M595" t="s">
        <v>2838</v>
      </c>
      <c r="N595" t="s">
        <v>2844</v>
      </c>
    </row>
    <row r="596" spans="1:14">
      <c r="A596">
        <v>220</v>
      </c>
      <c r="B596">
        <v>4.4000000000000004</v>
      </c>
      <c r="C596">
        <v>215.6</v>
      </c>
      <c r="D596">
        <v>145.19999999999999</v>
      </c>
      <c r="E596">
        <v>70.400000000000006</v>
      </c>
      <c r="F596" s="12">
        <v>0.32653061224489799</v>
      </c>
      <c r="G596">
        <v>2025</v>
      </c>
      <c r="H596">
        <v>7</v>
      </c>
      <c r="I596" t="s">
        <v>2840</v>
      </c>
      <c r="J596" t="s">
        <v>2841</v>
      </c>
      <c r="K596" t="s">
        <v>2847</v>
      </c>
      <c r="L596" t="s">
        <v>2843</v>
      </c>
      <c r="M596" t="s">
        <v>2837</v>
      </c>
      <c r="N596" t="s">
        <v>2844</v>
      </c>
    </row>
    <row r="597" spans="1:14">
      <c r="A597">
        <v>2080</v>
      </c>
      <c r="B597">
        <v>0</v>
      </c>
      <c r="C597">
        <v>2080</v>
      </c>
      <c r="D597">
        <v>1393.6</v>
      </c>
      <c r="E597">
        <v>686.40000000000009</v>
      </c>
      <c r="F597" s="12">
        <v>0.33000000000000007</v>
      </c>
      <c r="G597">
        <v>2025</v>
      </c>
      <c r="H597">
        <v>4</v>
      </c>
      <c r="I597" t="s">
        <v>2865</v>
      </c>
      <c r="J597" t="s">
        <v>2846</v>
      </c>
      <c r="K597" t="s">
        <v>2842</v>
      </c>
      <c r="L597" t="s">
        <v>2843</v>
      </c>
      <c r="M597" t="s">
        <v>2837</v>
      </c>
      <c r="N597" t="s">
        <v>2857</v>
      </c>
    </row>
    <row r="598" spans="1:14">
      <c r="A598">
        <v>2200</v>
      </c>
      <c r="B598">
        <v>176</v>
      </c>
      <c r="C598">
        <v>2024</v>
      </c>
      <c r="D598">
        <v>1452</v>
      </c>
      <c r="E598">
        <v>572</v>
      </c>
      <c r="F598" s="12">
        <v>0.28260869565217389</v>
      </c>
      <c r="G598">
        <v>2025</v>
      </c>
      <c r="H598">
        <v>6</v>
      </c>
      <c r="I598" t="s">
        <v>2864</v>
      </c>
      <c r="J598" t="s">
        <v>2846</v>
      </c>
      <c r="K598" t="s">
        <v>2847</v>
      </c>
      <c r="L598" t="s">
        <v>2856</v>
      </c>
      <c r="M598" t="s">
        <v>2839</v>
      </c>
      <c r="N598" t="s">
        <v>2857</v>
      </c>
    </row>
    <row r="599" spans="1:14">
      <c r="A599">
        <v>22</v>
      </c>
      <c r="B599">
        <v>1.1000000000000001</v>
      </c>
      <c r="C599">
        <v>20.9</v>
      </c>
      <c r="D599">
        <v>14.96</v>
      </c>
      <c r="E599">
        <v>5.9399999999999977</v>
      </c>
      <c r="F599" s="12">
        <v>0.28421052631578936</v>
      </c>
      <c r="G599">
        <v>2025</v>
      </c>
      <c r="H599">
        <v>11</v>
      </c>
      <c r="I599" t="s">
        <v>2862</v>
      </c>
      <c r="J599" t="s">
        <v>2855</v>
      </c>
      <c r="K599" t="s">
        <v>2847</v>
      </c>
      <c r="L599" t="s">
        <v>2848</v>
      </c>
      <c r="M599" t="s">
        <v>2838</v>
      </c>
      <c r="N599" t="s">
        <v>2844</v>
      </c>
    </row>
    <row r="600" spans="1:14">
      <c r="A600">
        <v>190</v>
      </c>
      <c r="B600">
        <v>3.8000000000000003</v>
      </c>
      <c r="C600">
        <v>186.2</v>
      </c>
      <c r="D600">
        <v>148.19999999999999</v>
      </c>
      <c r="E600">
        <v>38</v>
      </c>
      <c r="F600" s="12">
        <v>0.20408163265306123</v>
      </c>
      <c r="G600">
        <v>2025</v>
      </c>
      <c r="H600">
        <v>1</v>
      </c>
      <c r="I600" t="s">
        <v>2850</v>
      </c>
      <c r="J600" t="s">
        <v>2851</v>
      </c>
      <c r="K600" t="s">
        <v>2842</v>
      </c>
      <c r="L600" t="s">
        <v>2856</v>
      </c>
      <c r="M600" t="s">
        <v>2839</v>
      </c>
      <c r="N600" t="s">
        <v>2844</v>
      </c>
    </row>
    <row r="601" spans="1:14">
      <c r="A601">
        <v>1300</v>
      </c>
      <c r="B601">
        <v>104</v>
      </c>
      <c r="C601">
        <v>1196</v>
      </c>
      <c r="D601">
        <v>949</v>
      </c>
      <c r="E601">
        <v>247</v>
      </c>
      <c r="F601" s="12">
        <v>0.20652173913043478</v>
      </c>
      <c r="G601">
        <v>2025</v>
      </c>
      <c r="H601">
        <v>4</v>
      </c>
      <c r="I601" t="s">
        <v>2865</v>
      </c>
      <c r="J601" t="s">
        <v>2846</v>
      </c>
      <c r="K601" t="s">
        <v>2852</v>
      </c>
      <c r="L601" t="s">
        <v>2843</v>
      </c>
      <c r="M601" t="s">
        <v>2837</v>
      </c>
      <c r="N601" t="s">
        <v>2857</v>
      </c>
    </row>
    <row r="602" spans="1:14">
      <c r="A602">
        <v>600</v>
      </c>
      <c r="B602">
        <v>60</v>
      </c>
      <c r="C602">
        <v>540</v>
      </c>
      <c r="D602">
        <v>366</v>
      </c>
      <c r="E602">
        <v>174</v>
      </c>
      <c r="F602" s="12">
        <v>0.32222222222222224</v>
      </c>
      <c r="G602">
        <v>2025</v>
      </c>
      <c r="H602">
        <v>10</v>
      </c>
      <c r="I602" t="s">
        <v>2854</v>
      </c>
      <c r="J602" t="s">
        <v>2855</v>
      </c>
      <c r="K602" t="s">
        <v>2847</v>
      </c>
      <c r="L602" t="s">
        <v>2856</v>
      </c>
      <c r="M602" t="s">
        <v>2839</v>
      </c>
      <c r="N602" t="s">
        <v>2849</v>
      </c>
    </row>
    <row r="603" spans="1:14">
      <c r="A603">
        <v>95</v>
      </c>
      <c r="B603">
        <v>4.75</v>
      </c>
      <c r="C603">
        <v>90.25</v>
      </c>
      <c r="D603">
        <v>70.3</v>
      </c>
      <c r="E603">
        <v>19.950000000000003</v>
      </c>
      <c r="F603" s="12">
        <v>0.22105263157894739</v>
      </c>
      <c r="G603">
        <v>2025</v>
      </c>
      <c r="H603">
        <v>12</v>
      </c>
      <c r="I603" t="s">
        <v>2858</v>
      </c>
      <c r="J603" t="s">
        <v>2855</v>
      </c>
      <c r="K603" t="s">
        <v>2847</v>
      </c>
      <c r="L603" t="s">
        <v>2843</v>
      </c>
      <c r="M603" t="s">
        <v>2837</v>
      </c>
      <c r="N603" t="s">
        <v>2844</v>
      </c>
    </row>
    <row r="604" spans="1:14">
      <c r="A604">
        <v>870</v>
      </c>
      <c r="B604">
        <v>69.600000000000009</v>
      </c>
      <c r="C604">
        <v>800.4</v>
      </c>
      <c r="D604">
        <v>582.90000000000009</v>
      </c>
      <c r="E604">
        <v>217.49999999999989</v>
      </c>
      <c r="F604" s="12">
        <v>0.27173913043478248</v>
      </c>
      <c r="G604">
        <v>2025</v>
      </c>
      <c r="H604">
        <v>6</v>
      </c>
      <c r="I604" t="s">
        <v>2864</v>
      </c>
      <c r="J604" t="s">
        <v>2846</v>
      </c>
      <c r="K604" t="s">
        <v>2852</v>
      </c>
      <c r="L604" t="s">
        <v>2848</v>
      </c>
      <c r="M604" t="s">
        <v>2838</v>
      </c>
      <c r="N604" t="s">
        <v>2849</v>
      </c>
    </row>
    <row r="605" spans="1:14">
      <c r="A605">
        <v>780</v>
      </c>
      <c r="B605">
        <v>78</v>
      </c>
      <c r="C605">
        <v>702</v>
      </c>
      <c r="D605">
        <v>468</v>
      </c>
      <c r="E605">
        <v>234</v>
      </c>
      <c r="F605" s="12">
        <v>0.33333333333333331</v>
      </c>
      <c r="G605">
        <v>2025</v>
      </c>
      <c r="H605">
        <v>7</v>
      </c>
      <c r="I605" t="s">
        <v>2840</v>
      </c>
      <c r="J605" t="s">
        <v>2841</v>
      </c>
      <c r="K605" t="s">
        <v>2842</v>
      </c>
      <c r="L605" t="s">
        <v>2856</v>
      </c>
      <c r="M605" t="s">
        <v>2839</v>
      </c>
      <c r="N605" t="s">
        <v>2849</v>
      </c>
    </row>
    <row r="606" spans="1:14">
      <c r="A606">
        <v>1400</v>
      </c>
      <c r="B606">
        <v>112</v>
      </c>
      <c r="C606">
        <v>1288</v>
      </c>
      <c r="D606">
        <v>854</v>
      </c>
      <c r="E606">
        <v>434</v>
      </c>
      <c r="F606" s="12">
        <v>0.33695652173913043</v>
      </c>
      <c r="G606">
        <v>2025</v>
      </c>
      <c r="H606">
        <v>9</v>
      </c>
      <c r="I606" t="s">
        <v>2853</v>
      </c>
      <c r="J606" t="s">
        <v>2841</v>
      </c>
      <c r="K606" t="s">
        <v>2842</v>
      </c>
      <c r="L606" t="s">
        <v>2843</v>
      </c>
      <c r="M606" t="s">
        <v>2837</v>
      </c>
      <c r="N606" t="s">
        <v>2857</v>
      </c>
    </row>
    <row r="607" spans="1:14">
      <c r="A607">
        <v>960</v>
      </c>
      <c r="B607">
        <v>48</v>
      </c>
      <c r="C607">
        <v>912</v>
      </c>
      <c r="D607">
        <v>710.4</v>
      </c>
      <c r="E607">
        <v>201.60000000000002</v>
      </c>
      <c r="F607" s="12">
        <v>0.22105263157894739</v>
      </c>
      <c r="G607">
        <v>2025</v>
      </c>
      <c r="H607">
        <v>10</v>
      </c>
      <c r="I607" t="s">
        <v>2854</v>
      </c>
      <c r="J607" t="s">
        <v>2855</v>
      </c>
      <c r="K607" t="s">
        <v>2842</v>
      </c>
      <c r="L607" t="s">
        <v>2856</v>
      </c>
      <c r="M607" t="s">
        <v>2838</v>
      </c>
      <c r="N607" t="s">
        <v>2849</v>
      </c>
    </row>
    <row r="608" spans="1:14">
      <c r="A608">
        <v>380</v>
      </c>
      <c r="B608">
        <v>0</v>
      </c>
      <c r="C608">
        <v>380</v>
      </c>
      <c r="D608">
        <v>281.2</v>
      </c>
      <c r="E608">
        <v>98.800000000000011</v>
      </c>
      <c r="F608" s="12">
        <v>0.26</v>
      </c>
      <c r="G608">
        <v>2025</v>
      </c>
      <c r="H608">
        <v>8</v>
      </c>
      <c r="I608" t="s">
        <v>2863</v>
      </c>
      <c r="J608" t="s">
        <v>2841</v>
      </c>
      <c r="K608" t="s">
        <v>2847</v>
      </c>
      <c r="L608" t="s">
        <v>2843</v>
      </c>
      <c r="M608" t="s">
        <v>2837</v>
      </c>
      <c r="N608" t="s">
        <v>2844</v>
      </c>
    </row>
    <row r="609" spans="1:14">
      <c r="A609">
        <v>780</v>
      </c>
      <c r="B609">
        <v>39</v>
      </c>
      <c r="C609">
        <v>741</v>
      </c>
      <c r="D609">
        <v>468</v>
      </c>
      <c r="E609">
        <v>273</v>
      </c>
      <c r="F609" s="12">
        <v>0.36842105263157893</v>
      </c>
      <c r="G609">
        <v>2025</v>
      </c>
      <c r="H609">
        <v>9</v>
      </c>
      <c r="I609" t="s">
        <v>2853</v>
      </c>
      <c r="J609" t="s">
        <v>2841</v>
      </c>
      <c r="K609" t="s">
        <v>2847</v>
      </c>
      <c r="L609" t="s">
        <v>2848</v>
      </c>
      <c r="M609" t="s">
        <v>2838</v>
      </c>
      <c r="N609" t="s">
        <v>2849</v>
      </c>
    </row>
    <row r="610" spans="1:14">
      <c r="A610">
        <v>1260</v>
      </c>
      <c r="B610">
        <v>63</v>
      </c>
      <c r="C610">
        <v>1197</v>
      </c>
      <c r="D610">
        <v>819</v>
      </c>
      <c r="E610">
        <v>378</v>
      </c>
      <c r="F610" s="12">
        <v>0.31578947368421051</v>
      </c>
      <c r="G610">
        <v>2025</v>
      </c>
      <c r="H610">
        <v>12</v>
      </c>
      <c r="I610" t="s">
        <v>2858</v>
      </c>
      <c r="J610" t="s">
        <v>2855</v>
      </c>
      <c r="K610" t="s">
        <v>2860</v>
      </c>
      <c r="L610" t="s">
        <v>2856</v>
      </c>
      <c r="M610" t="s">
        <v>2839</v>
      </c>
      <c r="N610" t="s">
        <v>2857</v>
      </c>
    </row>
    <row r="611" spans="1:14">
      <c r="A611">
        <v>190</v>
      </c>
      <c r="B611">
        <v>0</v>
      </c>
      <c r="C611">
        <v>190</v>
      </c>
      <c r="D611">
        <v>140.6</v>
      </c>
      <c r="E611">
        <v>49.400000000000006</v>
      </c>
      <c r="F611" s="12">
        <v>0.26</v>
      </c>
      <c r="G611">
        <v>2025</v>
      </c>
      <c r="H611">
        <v>11</v>
      </c>
      <c r="I611" t="s">
        <v>2862</v>
      </c>
      <c r="J611" t="s">
        <v>2855</v>
      </c>
      <c r="K611" t="s">
        <v>2860</v>
      </c>
      <c r="L611" t="s">
        <v>2843</v>
      </c>
      <c r="M611" t="s">
        <v>2837</v>
      </c>
      <c r="N611" t="s">
        <v>2844</v>
      </c>
    </row>
    <row r="612" spans="1:14">
      <c r="A612">
        <v>110</v>
      </c>
      <c r="B612">
        <v>11</v>
      </c>
      <c r="C612">
        <v>99</v>
      </c>
      <c r="D612">
        <v>72.599999999999994</v>
      </c>
      <c r="E612">
        <v>26.400000000000006</v>
      </c>
      <c r="F612" s="12">
        <v>0.26666666666666672</v>
      </c>
      <c r="G612">
        <v>2025</v>
      </c>
      <c r="H612">
        <v>10</v>
      </c>
      <c r="I612" t="s">
        <v>2854</v>
      </c>
      <c r="J612" t="s">
        <v>2855</v>
      </c>
      <c r="K612" t="s">
        <v>2860</v>
      </c>
      <c r="L612" t="s">
        <v>2856</v>
      </c>
      <c r="M612" t="s">
        <v>2839</v>
      </c>
      <c r="N612" t="s">
        <v>2844</v>
      </c>
    </row>
    <row r="613" spans="1:14">
      <c r="A613">
        <v>570</v>
      </c>
      <c r="B613">
        <v>0</v>
      </c>
      <c r="C613">
        <v>570</v>
      </c>
      <c r="D613">
        <v>444.59999999999997</v>
      </c>
      <c r="E613">
        <v>125.40000000000003</v>
      </c>
      <c r="F613" s="12">
        <v>0.22000000000000006</v>
      </c>
      <c r="G613">
        <v>2025</v>
      </c>
      <c r="H613">
        <v>12</v>
      </c>
      <c r="I613" t="s">
        <v>2858</v>
      </c>
      <c r="J613" t="s">
        <v>2855</v>
      </c>
      <c r="K613" t="s">
        <v>2847</v>
      </c>
      <c r="L613" t="s">
        <v>2848</v>
      </c>
      <c r="M613" t="s">
        <v>2838</v>
      </c>
      <c r="N613" t="s">
        <v>2849</v>
      </c>
    </row>
    <row r="614" spans="1:14">
      <c r="A614">
        <v>70</v>
      </c>
      <c r="B614">
        <v>3.5</v>
      </c>
      <c r="C614">
        <v>66.5</v>
      </c>
      <c r="D614">
        <v>48.3</v>
      </c>
      <c r="E614">
        <v>18.200000000000003</v>
      </c>
      <c r="F614" s="12">
        <v>0.27368421052631581</v>
      </c>
      <c r="G614">
        <v>2025</v>
      </c>
      <c r="H614">
        <v>4</v>
      </c>
      <c r="I614" t="s">
        <v>2865</v>
      </c>
      <c r="J614" t="s">
        <v>2846</v>
      </c>
      <c r="K614" t="s">
        <v>2860</v>
      </c>
      <c r="L614" t="s">
        <v>2843</v>
      </c>
      <c r="M614" t="s">
        <v>2837</v>
      </c>
      <c r="N614" t="s">
        <v>2844</v>
      </c>
    </row>
    <row r="615" spans="1:14">
      <c r="A615">
        <v>35</v>
      </c>
      <c r="B615">
        <v>0</v>
      </c>
      <c r="C615">
        <v>35</v>
      </c>
      <c r="D615">
        <v>24.15</v>
      </c>
      <c r="E615">
        <v>10.850000000000001</v>
      </c>
      <c r="F615" s="12">
        <v>0.31000000000000005</v>
      </c>
      <c r="G615">
        <v>2025</v>
      </c>
      <c r="H615">
        <v>7</v>
      </c>
      <c r="I615" t="s">
        <v>2840</v>
      </c>
      <c r="J615" t="s">
        <v>2841</v>
      </c>
      <c r="K615" t="s">
        <v>2842</v>
      </c>
      <c r="L615" t="s">
        <v>2843</v>
      </c>
      <c r="M615" t="s">
        <v>2837</v>
      </c>
      <c r="N615" t="s">
        <v>2844</v>
      </c>
    </row>
    <row r="616" spans="1:14">
      <c r="A616">
        <v>260</v>
      </c>
      <c r="B616">
        <v>0</v>
      </c>
      <c r="C616">
        <v>260</v>
      </c>
      <c r="D616">
        <v>189.8</v>
      </c>
      <c r="E616">
        <v>70.199999999999989</v>
      </c>
      <c r="F616" s="12">
        <v>0.26999999999999996</v>
      </c>
      <c r="G616">
        <v>2025</v>
      </c>
      <c r="H616">
        <v>12</v>
      </c>
      <c r="I616" t="s">
        <v>2858</v>
      </c>
      <c r="J616" t="s">
        <v>2855</v>
      </c>
      <c r="K616" t="s">
        <v>2847</v>
      </c>
      <c r="L616" t="s">
        <v>2843</v>
      </c>
      <c r="M616" t="s">
        <v>2837</v>
      </c>
      <c r="N616" t="s">
        <v>2844</v>
      </c>
    </row>
    <row r="617" spans="1:14">
      <c r="A617">
        <v>260</v>
      </c>
      <c r="B617">
        <v>5.2</v>
      </c>
      <c r="C617">
        <v>254.8</v>
      </c>
      <c r="D617">
        <v>189.8</v>
      </c>
      <c r="E617">
        <v>65</v>
      </c>
      <c r="F617" s="12">
        <v>0.25510204081632654</v>
      </c>
      <c r="G617">
        <v>2025</v>
      </c>
      <c r="H617">
        <v>4</v>
      </c>
      <c r="I617" t="s">
        <v>2865</v>
      </c>
      <c r="J617" t="s">
        <v>2846</v>
      </c>
      <c r="K617" t="s">
        <v>2842</v>
      </c>
      <c r="L617" t="s">
        <v>2848</v>
      </c>
      <c r="M617" t="s">
        <v>2838</v>
      </c>
      <c r="N617" t="s">
        <v>2844</v>
      </c>
    </row>
    <row r="618" spans="1:14">
      <c r="A618">
        <v>1050</v>
      </c>
      <c r="B618">
        <v>0</v>
      </c>
      <c r="C618">
        <v>1050</v>
      </c>
      <c r="D618">
        <v>640.5</v>
      </c>
      <c r="E618">
        <v>409.5</v>
      </c>
      <c r="F618" s="12">
        <v>0.39</v>
      </c>
      <c r="G618">
        <v>2025</v>
      </c>
      <c r="H618">
        <v>12</v>
      </c>
      <c r="I618" t="s">
        <v>2858</v>
      </c>
      <c r="J618" t="s">
        <v>2855</v>
      </c>
      <c r="K618" t="s">
        <v>2847</v>
      </c>
      <c r="L618" t="s">
        <v>2843</v>
      </c>
      <c r="M618" t="s">
        <v>2837</v>
      </c>
      <c r="N618" t="s">
        <v>2857</v>
      </c>
    </row>
    <row r="619" spans="1:14">
      <c r="A619">
        <v>475</v>
      </c>
      <c r="B619">
        <v>0</v>
      </c>
      <c r="C619">
        <v>475</v>
      </c>
      <c r="D619">
        <v>351.5</v>
      </c>
      <c r="E619">
        <v>123.5</v>
      </c>
      <c r="F619" s="12">
        <v>0.26</v>
      </c>
      <c r="G619">
        <v>2025</v>
      </c>
      <c r="H619">
        <v>5</v>
      </c>
      <c r="I619" t="s">
        <v>2845</v>
      </c>
      <c r="J619" t="s">
        <v>2846</v>
      </c>
      <c r="K619" t="s">
        <v>2842</v>
      </c>
      <c r="L619" t="s">
        <v>2843</v>
      </c>
      <c r="M619" t="s">
        <v>2839</v>
      </c>
      <c r="N619" t="s">
        <v>2844</v>
      </c>
    </row>
    <row r="620" spans="1:14">
      <c r="A620">
        <v>145</v>
      </c>
      <c r="B620">
        <v>7.25</v>
      </c>
      <c r="C620">
        <v>137.75</v>
      </c>
      <c r="D620">
        <v>97.15</v>
      </c>
      <c r="E620">
        <v>40.599999999999994</v>
      </c>
      <c r="F620" s="12">
        <v>0.29473684210526313</v>
      </c>
      <c r="G620">
        <v>2025</v>
      </c>
      <c r="H620">
        <v>9</v>
      </c>
      <c r="I620" t="s">
        <v>2853</v>
      </c>
      <c r="J620" t="s">
        <v>2841</v>
      </c>
      <c r="K620" t="s">
        <v>2860</v>
      </c>
      <c r="L620" t="s">
        <v>2856</v>
      </c>
      <c r="M620" t="s">
        <v>2839</v>
      </c>
      <c r="N620" t="s">
        <v>2844</v>
      </c>
    </row>
    <row r="621" spans="1:14">
      <c r="A621">
        <v>520</v>
      </c>
      <c r="B621">
        <v>52</v>
      </c>
      <c r="C621">
        <v>468</v>
      </c>
      <c r="D621">
        <v>348.4</v>
      </c>
      <c r="E621">
        <v>119.60000000000002</v>
      </c>
      <c r="F621" s="12">
        <v>0.25555555555555559</v>
      </c>
      <c r="G621">
        <v>2025</v>
      </c>
      <c r="H621">
        <v>7</v>
      </c>
      <c r="I621" t="s">
        <v>2840</v>
      </c>
      <c r="J621" t="s">
        <v>2841</v>
      </c>
      <c r="K621" t="s">
        <v>2842</v>
      </c>
      <c r="L621" t="s">
        <v>2856</v>
      </c>
      <c r="M621" t="s">
        <v>2839</v>
      </c>
      <c r="N621" t="s">
        <v>2844</v>
      </c>
    </row>
    <row r="622" spans="1:14">
      <c r="A622">
        <v>192</v>
      </c>
      <c r="B622">
        <v>15.36</v>
      </c>
      <c r="C622">
        <v>176.64</v>
      </c>
      <c r="D622">
        <v>149.76</v>
      </c>
      <c r="E622">
        <v>26.879999999999995</v>
      </c>
      <c r="F622" s="12">
        <v>0.15217391304347824</v>
      </c>
      <c r="G622">
        <v>2025</v>
      </c>
      <c r="H622">
        <v>11</v>
      </c>
      <c r="I622" t="s">
        <v>2862</v>
      </c>
      <c r="J622" t="s">
        <v>2855</v>
      </c>
      <c r="K622" t="s">
        <v>2847</v>
      </c>
      <c r="L622" t="s">
        <v>2856</v>
      </c>
      <c r="M622" t="s">
        <v>2839</v>
      </c>
      <c r="N622" t="s">
        <v>2844</v>
      </c>
    </row>
    <row r="623" spans="1:14">
      <c r="A623">
        <v>1750</v>
      </c>
      <c r="B623">
        <v>0</v>
      </c>
      <c r="C623">
        <v>1750</v>
      </c>
      <c r="D623">
        <v>1067.5</v>
      </c>
      <c r="E623">
        <v>682.5</v>
      </c>
      <c r="F623" s="12">
        <v>0.39</v>
      </c>
      <c r="G623">
        <v>2025</v>
      </c>
      <c r="H623">
        <v>6</v>
      </c>
      <c r="I623" t="s">
        <v>2864</v>
      </c>
      <c r="J623" t="s">
        <v>2846</v>
      </c>
      <c r="K623" t="s">
        <v>2852</v>
      </c>
      <c r="L623" t="s">
        <v>2848</v>
      </c>
      <c r="M623" t="s">
        <v>2839</v>
      </c>
      <c r="N623" t="s">
        <v>2857</v>
      </c>
    </row>
    <row r="624" spans="1:14">
      <c r="A624">
        <v>3500</v>
      </c>
      <c r="B624">
        <v>175</v>
      </c>
      <c r="C624">
        <v>3325</v>
      </c>
      <c r="D624">
        <v>2135</v>
      </c>
      <c r="E624">
        <v>1190</v>
      </c>
      <c r="F624" s="12">
        <v>0.35789473684210527</v>
      </c>
      <c r="G624">
        <v>2025</v>
      </c>
      <c r="H624">
        <v>3</v>
      </c>
      <c r="I624" t="s">
        <v>2859</v>
      </c>
      <c r="J624" t="s">
        <v>2851</v>
      </c>
      <c r="K624" t="s">
        <v>2847</v>
      </c>
      <c r="L624" t="s">
        <v>2843</v>
      </c>
      <c r="M624" t="s">
        <v>2837</v>
      </c>
      <c r="N624" t="s">
        <v>2857</v>
      </c>
    </row>
    <row r="625" spans="1:14">
      <c r="A625">
        <v>240</v>
      </c>
      <c r="B625">
        <v>0</v>
      </c>
      <c r="C625">
        <v>240</v>
      </c>
      <c r="D625">
        <v>177.6</v>
      </c>
      <c r="E625">
        <v>62.400000000000006</v>
      </c>
      <c r="F625" s="12">
        <v>0.26</v>
      </c>
      <c r="G625">
        <v>2025</v>
      </c>
      <c r="H625">
        <v>8</v>
      </c>
      <c r="I625" t="s">
        <v>2863</v>
      </c>
      <c r="J625" t="s">
        <v>2841</v>
      </c>
      <c r="K625" t="s">
        <v>2842</v>
      </c>
      <c r="L625" t="s">
        <v>2856</v>
      </c>
      <c r="M625" t="s">
        <v>2839</v>
      </c>
      <c r="N625" t="s">
        <v>2844</v>
      </c>
    </row>
    <row r="626" spans="1:14">
      <c r="A626">
        <v>240</v>
      </c>
      <c r="B626">
        <v>12</v>
      </c>
      <c r="C626">
        <v>228</v>
      </c>
      <c r="D626">
        <v>177.6</v>
      </c>
      <c r="E626">
        <v>50.400000000000006</v>
      </c>
      <c r="F626" s="12">
        <v>0.22105263157894739</v>
      </c>
      <c r="G626">
        <v>2025</v>
      </c>
      <c r="H626">
        <v>12</v>
      </c>
      <c r="I626" t="s">
        <v>2858</v>
      </c>
      <c r="J626" t="s">
        <v>2855</v>
      </c>
      <c r="K626" t="s">
        <v>2847</v>
      </c>
      <c r="L626" t="s">
        <v>2856</v>
      </c>
      <c r="M626" t="s">
        <v>2839</v>
      </c>
      <c r="N626" t="s">
        <v>2844</v>
      </c>
    </row>
    <row r="627" spans="1:14">
      <c r="A627">
        <v>1440</v>
      </c>
      <c r="B627">
        <v>115.2</v>
      </c>
      <c r="C627">
        <v>1324.8</v>
      </c>
      <c r="D627">
        <v>1065.5999999999999</v>
      </c>
      <c r="E627">
        <v>259.20000000000005</v>
      </c>
      <c r="F627" s="12">
        <v>0.19565217391304351</v>
      </c>
      <c r="G627">
        <v>2025</v>
      </c>
      <c r="H627">
        <v>3</v>
      </c>
      <c r="I627" t="s">
        <v>2859</v>
      </c>
      <c r="J627" t="s">
        <v>2851</v>
      </c>
      <c r="K627" t="s">
        <v>2847</v>
      </c>
      <c r="L627" t="s">
        <v>2856</v>
      </c>
      <c r="M627" t="s">
        <v>2839</v>
      </c>
      <c r="N627" t="s">
        <v>2857</v>
      </c>
    </row>
    <row r="628" spans="1:14">
      <c r="A628">
        <v>350</v>
      </c>
      <c r="B628">
        <v>0</v>
      </c>
      <c r="C628">
        <v>350</v>
      </c>
      <c r="D628">
        <v>213.5</v>
      </c>
      <c r="E628">
        <v>136.5</v>
      </c>
      <c r="F628" s="12">
        <v>0.39</v>
      </c>
      <c r="G628">
        <v>2025</v>
      </c>
      <c r="H628">
        <v>10</v>
      </c>
      <c r="I628" t="s">
        <v>2854</v>
      </c>
      <c r="J628" t="s">
        <v>2855</v>
      </c>
      <c r="K628" t="s">
        <v>2842</v>
      </c>
      <c r="L628" t="s">
        <v>2848</v>
      </c>
      <c r="M628" t="s">
        <v>2838</v>
      </c>
      <c r="N628" t="s">
        <v>2844</v>
      </c>
    </row>
    <row r="629" spans="1:14">
      <c r="A629">
        <v>360</v>
      </c>
      <c r="B629">
        <v>0</v>
      </c>
      <c r="C629">
        <v>360</v>
      </c>
      <c r="D629">
        <v>219.60000000000002</v>
      </c>
      <c r="E629">
        <v>140.39999999999998</v>
      </c>
      <c r="F629" s="12">
        <v>0.38999999999999996</v>
      </c>
      <c r="G629">
        <v>2025</v>
      </c>
      <c r="H629">
        <v>10</v>
      </c>
      <c r="I629" t="s">
        <v>2854</v>
      </c>
      <c r="J629" t="s">
        <v>2855</v>
      </c>
      <c r="K629" t="s">
        <v>2860</v>
      </c>
      <c r="L629" t="s">
        <v>2848</v>
      </c>
      <c r="M629" t="s">
        <v>2838</v>
      </c>
      <c r="N629" t="s">
        <v>2844</v>
      </c>
    </row>
    <row r="630" spans="1:14">
      <c r="A630">
        <v>840</v>
      </c>
      <c r="B630">
        <v>0</v>
      </c>
      <c r="C630">
        <v>840</v>
      </c>
      <c r="D630">
        <v>546</v>
      </c>
      <c r="E630">
        <v>294</v>
      </c>
      <c r="F630" s="12">
        <v>0.35</v>
      </c>
      <c r="G630">
        <v>2025</v>
      </c>
      <c r="H630">
        <v>11</v>
      </c>
      <c r="I630" t="s">
        <v>2862</v>
      </c>
      <c r="J630" t="s">
        <v>2855</v>
      </c>
      <c r="K630" t="s">
        <v>2860</v>
      </c>
      <c r="L630" t="s">
        <v>2856</v>
      </c>
      <c r="M630" t="s">
        <v>2839</v>
      </c>
      <c r="N630" t="s">
        <v>2849</v>
      </c>
    </row>
    <row r="631" spans="1:14">
      <c r="A631">
        <v>120</v>
      </c>
      <c r="B631">
        <v>2.4</v>
      </c>
      <c r="C631">
        <v>117.6</v>
      </c>
      <c r="D631">
        <v>73.2</v>
      </c>
      <c r="E631">
        <v>44.399999999999991</v>
      </c>
      <c r="F631" s="12">
        <v>0.37755102040816318</v>
      </c>
      <c r="G631">
        <v>2025</v>
      </c>
      <c r="H631">
        <v>6</v>
      </c>
      <c r="I631" t="s">
        <v>2864</v>
      </c>
      <c r="J631" t="s">
        <v>2846</v>
      </c>
      <c r="K631" t="s">
        <v>2860</v>
      </c>
      <c r="L631" t="s">
        <v>2856</v>
      </c>
      <c r="M631" t="s">
        <v>2839</v>
      </c>
      <c r="N631" t="s">
        <v>2844</v>
      </c>
    </row>
    <row r="632" spans="1:14">
      <c r="A632">
        <v>220</v>
      </c>
      <c r="B632">
        <v>4.4000000000000004</v>
      </c>
      <c r="C632">
        <v>215.6</v>
      </c>
      <c r="D632">
        <v>145.19999999999999</v>
      </c>
      <c r="E632">
        <v>70.400000000000006</v>
      </c>
      <c r="F632" s="12">
        <v>0.32653061224489799</v>
      </c>
      <c r="G632">
        <v>2025</v>
      </c>
      <c r="H632">
        <v>11</v>
      </c>
      <c r="I632" t="s">
        <v>2862</v>
      </c>
      <c r="J632" t="s">
        <v>2855</v>
      </c>
      <c r="K632" t="s">
        <v>2842</v>
      </c>
      <c r="L632" t="s">
        <v>2856</v>
      </c>
      <c r="M632" t="s">
        <v>2839</v>
      </c>
      <c r="N632" t="s">
        <v>2844</v>
      </c>
    </row>
    <row r="633" spans="1:14">
      <c r="A633">
        <v>96</v>
      </c>
      <c r="B633">
        <v>0</v>
      </c>
      <c r="C633">
        <v>96</v>
      </c>
      <c r="D633">
        <v>74.88</v>
      </c>
      <c r="E633">
        <v>21.120000000000005</v>
      </c>
      <c r="F633" s="12">
        <v>0.22000000000000006</v>
      </c>
      <c r="G633">
        <v>2025</v>
      </c>
      <c r="H633">
        <v>8</v>
      </c>
      <c r="I633" t="s">
        <v>2863</v>
      </c>
      <c r="J633" t="s">
        <v>2841</v>
      </c>
      <c r="K633" t="s">
        <v>2842</v>
      </c>
      <c r="L633" t="s">
        <v>2843</v>
      </c>
      <c r="M633" t="s">
        <v>2837</v>
      </c>
      <c r="N633" t="s">
        <v>2844</v>
      </c>
    </row>
    <row r="634" spans="1:14">
      <c r="A634">
        <v>145</v>
      </c>
      <c r="B634">
        <v>0</v>
      </c>
      <c r="C634">
        <v>145</v>
      </c>
      <c r="D634">
        <v>97.15</v>
      </c>
      <c r="E634">
        <v>47.849999999999994</v>
      </c>
      <c r="F634" s="12">
        <v>0.32999999999999996</v>
      </c>
      <c r="G634">
        <v>2025</v>
      </c>
      <c r="H634">
        <v>12</v>
      </c>
      <c r="I634" t="s">
        <v>2858</v>
      </c>
      <c r="J634" t="s">
        <v>2855</v>
      </c>
      <c r="K634" t="s">
        <v>2847</v>
      </c>
      <c r="L634" t="s">
        <v>2856</v>
      </c>
      <c r="M634" t="s">
        <v>2839</v>
      </c>
      <c r="N634" t="s">
        <v>2844</v>
      </c>
    </row>
    <row r="635" spans="1:14">
      <c r="A635">
        <v>180</v>
      </c>
      <c r="B635">
        <v>0</v>
      </c>
      <c r="C635">
        <v>180</v>
      </c>
      <c r="D635">
        <v>129.6</v>
      </c>
      <c r="E635">
        <v>50.400000000000006</v>
      </c>
      <c r="F635" s="12">
        <v>0.28000000000000003</v>
      </c>
      <c r="G635">
        <v>2025</v>
      </c>
      <c r="H635">
        <v>7</v>
      </c>
      <c r="I635" t="s">
        <v>2840</v>
      </c>
      <c r="J635" t="s">
        <v>2841</v>
      </c>
      <c r="K635" t="s">
        <v>2860</v>
      </c>
      <c r="L635" t="s">
        <v>2843</v>
      </c>
      <c r="M635" t="s">
        <v>2837</v>
      </c>
      <c r="N635" t="s">
        <v>2844</v>
      </c>
    </row>
    <row r="636" spans="1:14">
      <c r="A636">
        <v>190</v>
      </c>
      <c r="B636">
        <v>9.5</v>
      </c>
      <c r="C636">
        <v>180.5</v>
      </c>
      <c r="D636">
        <v>148.19999999999999</v>
      </c>
      <c r="E636">
        <v>32.300000000000011</v>
      </c>
      <c r="F636" s="12">
        <v>0.17894736842105269</v>
      </c>
      <c r="G636">
        <v>2025</v>
      </c>
      <c r="H636">
        <v>12</v>
      </c>
      <c r="I636" t="s">
        <v>2858</v>
      </c>
      <c r="J636" t="s">
        <v>2855</v>
      </c>
      <c r="K636" t="s">
        <v>2842</v>
      </c>
      <c r="L636" t="s">
        <v>2856</v>
      </c>
      <c r="M636" t="s">
        <v>2839</v>
      </c>
      <c r="N636" t="s">
        <v>2844</v>
      </c>
    </row>
    <row r="637" spans="1:14">
      <c r="A637">
        <v>220</v>
      </c>
      <c r="B637">
        <v>0</v>
      </c>
      <c r="C637">
        <v>220</v>
      </c>
      <c r="D637">
        <v>145.19999999999999</v>
      </c>
      <c r="E637">
        <v>74.800000000000011</v>
      </c>
      <c r="F637" s="12">
        <v>0.34</v>
      </c>
      <c r="G637">
        <v>2025</v>
      </c>
      <c r="H637">
        <v>7</v>
      </c>
      <c r="I637" t="s">
        <v>2840</v>
      </c>
      <c r="J637" t="s">
        <v>2841</v>
      </c>
      <c r="K637" t="s">
        <v>2847</v>
      </c>
      <c r="L637" t="s">
        <v>2848</v>
      </c>
      <c r="M637" t="s">
        <v>2838</v>
      </c>
      <c r="N637" t="s">
        <v>2844</v>
      </c>
    </row>
    <row r="638" spans="1:14">
      <c r="A638">
        <v>1200</v>
      </c>
      <c r="B638">
        <v>96</v>
      </c>
      <c r="C638">
        <v>1104</v>
      </c>
      <c r="D638">
        <v>888</v>
      </c>
      <c r="E638">
        <v>216</v>
      </c>
      <c r="F638" s="12">
        <v>0.19565217391304349</v>
      </c>
      <c r="G638">
        <v>2025</v>
      </c>
      <c r="H638">
        <v>11</v>
      </c>
      <c r="I638" t="s">
        <v>2862</v>
      </c>
      <c r="J638" t="s">
        <v>2855</v>
      </c>
      <c r="K638" t="s">
        <v>2847</v>
      </c>
      <c r="L638" t="s">
        <v>2843</v>
      </c>
      <c r="M638" t="s">
        <v>2837</v>
      </c>
      <c r="N638" t="s">
        <v>2857</v>
      </c>
    </row>
    <row r="639" spans="1:14">
      <c r="A639">
        <v>725</v>
      </c>
      <c r="B639">
        <v>0</v>
      </c>
      <c r="C639">
        <v>725</v>
      </c>
      <c r="D639">
        <v>485.75</v>
      </c>
      <c r="E639">
        <v>239.25</v>
      </c>
      <c r="F639" s="12">
        <v>0.33</v>
      </c>
      <c r="G639">
        <v>2025</v>
      </c>
      <c r="H639">
        <v>6</v>
      </c>
      <c r="I639" t="s">
        <v>2864</v>
      </c>
      <c r="J639" t="s">
        <v>2846</v>
      </c>
      <c r="K639" t="s">
        <v>2847</v>
      </c>
      <c r="L639" t="s">
        <v>2843</v>
      </c>
      <c r="M639" t="s">
        <v>2837</v>
      </c>
      <c r="N639" t="s">
        <v>2849</v>
      </c>
    </row>
    <row r="640" spans="1:14">
      <c r="A640">
        <v>840</v>
      </c>
      <c r="B640">
        <v>0</v>
      </c>
      <c r="C640">
        <v>840</v>
      </c>
      <c r="D640">
        <v>546</v>
      </c>
      <c r="E640">
        <v>294</v>
      </c>
      <c r="F640" s="12">
        <v>0.35</v>
      </c>
      <c r="G640">
        <v>2025</v>
      </c>
      <c r="H640">
        <v>3</v>
      </c>
      <c r="I640" t="s">
        <v>2859</v>
      </c>
      <c r="J640" t="s">
        <v>2851</v>
      </c>
      <c r="K640" t="s">
        <v>2852</v>
      </c>
      <c r="L640" t="s">
        <v>2856</v>
      </c>
      <c r="M640" t="s">
        <v>2839</v>
      </c>
      <c r="N640" t="s">
        <v>2849</v>
      </c>
    </row>
    <row r="641" spans="1:14">
      <c r="A641">
        <v>1140</v>
      </c>
      <c r="B641">
        <v>22.8</v>
      </c>
      <c r="C641">
        <v>1117.2</v>
      </c>
      <c r="D641">
        <v>889.19999999999993</v>
      </c>
      <c r="E641">
        <v>228.00000000000011</v>
      </c>
      <c r="F641" s="12">
        <v>0.20408163265306131</v>
      </c>
      <c r="G641">
        <v>2025</v>
      </c>
      <c r="H641">
        <v>9</v>
      </c>
      <c r="I641" t="s">
        <v>2853</v>
      </c>
      <c r="J641" t="s">
        <v>2841</v>
      </c>
      <c r="K641" t="s">
        <v>2852</v>
      </c>
      <c r="L641" t="s">
        <v>2843</v>
      </c>
      <c r="M641" t="s">
        <v>2837</v>
      </c>
      <c r="N641" t="s">
        <v>2857</v>
      </c>
    </row>
    <row r="642" spans="1:14">
      <c r="A642">
        <v>220</v>
      </c>
      <c r="B642">
        <v>4.4000000000000004</v>
      </c>
      <c r="C642">
        <v>215.6</v>
      </c>
      <c r="D642">
        <v>149.60000000000002</v>
      </c>
      <c r="E642">
        <v>65.999999999999972</v>
      </c>
      <c r="F642" s="12">
        <v>0.30612244897959173</v>
      </c>
      <c r="G642">
        <v>2025</v>
      </c>
      <c r="H642">
        <v>12</v>
      </c>
      <c r="I642" t="s">
        <v>2858</v>
      </c>
      <c r="J642" t="s">
        <v>2855</v>
      </c>
      <c r="K642" t="s">
        <v>2847</v>
      </c>
      <c r="L642" t="s">
        <v>2856</v>
      </c>
      <c r="M642" t="s">
        <v>2839</v>
      </c>
      <c r="N642" t="s">
        <v>2844</v>
      </c>
    </row>
    <row r="643" spans="1:14">
      <c r="A643">
        <v>144</v>
      </c>
      <c r="B643">
        <v>0</v>
      </c>
      <c r="C643">
        <v>144</v>
      </c>
      <c r="D643">
        <v>112.32</v>
      </c>
      <c r="E643">
        <v>31.680000000000007</v>
      </c>
      <c r="F643" s="12">
        <v>0.22000000000000006</v>
      </c>
      <c r="G643">
        <v>2025</v>
      </c>
      <c r="H643">
        <v>12</v>
      </c>
      <c r="I643" t="s">
        <v>2858</v>
      </c>
      <c r="J643" t="s">
        <v>2855</v>
      </c>
      <c r="K643" t="s">
        <v>2842</v>
      </c>
      <c r="L643" t="s">
        <v>2843</v>
      </c>
      <c r="M643" t="s">
        <v>2837</v>
      </c>
      <c r="N643" t="s">
        <v>2844</v>
      </c>
    </row>
    <row r="644" spans="1:14">
      <c r="A644">
        <v>480</v>
      </c>
      <c r="B644">
        <v>48</v>
      </c>
      <c r="C644">
        <v>432</v>
      </c>
      <c r="D644">
        <v>355.2</v>
      </c>
      <c r="E644">
        <v>76.800000000000011</v>
      </c>
      <c r="F644" s="12">
        <v>0.17777777777777781</v>
      </c>
      <c r="G644">
        <v>2025</v>
      </c>
      <c r="H644">
        <v>2</v>
      </c>
      <c r="I644" t="s">
        <v>2861</v>
      </c>
      <c r="J644" t="s">
        <v>2851</v>
      </c>
      <c r="K644" t="s">
        <v>2852</v>
      </c>
      <c r="L644" t="s">
        <v>2848</v>
      </c>
      <c r="M644" t="s">
        <v>2838</v>
      </c>
      <c r="N644" t="s">
        <v>2844</v>
      </c>
    </row>
    <row r="645" spans="1:14">
      <c r="A645">
        <v>190</v>
      </c>
      <c r="B645">
        <v>0</v>
      </c>
      <c r="C645">
        <v>190</v>
      </c>
      <c r="D645">
        <v>148.19999999999999</v>
      </c>
      <c r="E645">
        <v>41.800000000000011</v>
      </c>
      <c r="F645" s="12">
        <v>0.22000000000000006</v>
      </c>
      <c r="G645">
        <v>2025</v>
      </c>
      <c r="H645">
        <v>5</v>
      </c>
      <c r="I645" t="s">
        <v>2845</v>
      </c>
      <c r="J645" t="s">
        <v>2846</v>
      </c>
      <c r="K645" t="s">
        <v>2860</v>
      </c>
      <c r="L645" t="s">
        <v>2856</v>
      </c>
      <c r="M645" t="s">
        <v>2837</v>
      </c>
      <c r="N645" t="s">
        <v>2844</v>
      </c>
    </row>
    <row r="646" spans="1:14">
      <c r="A646">
        <v>350</v>
      </c>
      <c r="B646">
        <v>7</v>
      </c>
      <c r="C646">
        <v>343</v>
      </c>
      <c r="D646">
        <v>213.5</v>
      </c>
      <c r="E646">
        <v>129.5</v>
      </c>
      <c r="F646" s="12">
        <v>0.37755102040816324</v>
      </c>
      <c r="G646">
        <v>2025</v>
      </c>
      <c r="H646">
        <v>6</v>
      </c>
      <c r="I646" t="s">
        <v>2864</v>
      </c>
      <c r="J646" t="s">
        <v>2846</v>
      </c>
      <c r="K646" t="s">
        <v>2842</v>
      </c>
      <c r="L646" t="s">
        <v>2856</v>
      </c>
      <c r="M646" t="s">
        <v>2839</v>
      </c>
      <c r="N646" t="s">
        <v>2844</v>
      </c>
    </row>
    <row r="647" spans="1:14">
      <c r="A647">
        <v>780</v>
      </c>
      <c r="B647">
        <v>39</v>
      </c>
      <c r="C647">
        <v>741</v>
      </c>
      <c r="D647">
        <v>468</v>
      </c>
      <c r="E647">
        <v>273</v>
      </c>
      <c r="F647" s="12">
        <v>0.36842105263157893</v>
      </c>
      <c r="G647">
        <v>2025</v>
      </c>
      <c r="H647">
        <v>1</v>
      </c>
      <c r="I647" t="s">
        <v>2850</v>
      </c>
      <c r="J647" t="s">
        <v>2851</v>
      </c>
      <c r="K647" t="s">
        <v>2860</v>
      </c>
      <c r="L647" t="s">
        <v>2848</v>
      </c>
      <c r="M647" t="s">
        <v>2838</v>
      </c>
      <c r="N647" t="s">
        <v>2849</v>
      </c>
    </row>
    <row r="648" spans="1:14">
      <c r="A648">
        <v>190</v>
      </c>
      <c r="B648">
        <v>0</v>
      </c>
      <c r="C648">
        <v>190</v>
      </c>
      <c r="D648">
        <v>140.6</v>
      </c>
      <c r="E648">
        <v>49.400000000000006</v>
      </c>
      <c r="F648" s="12">
        <v>0.26</v>
      </c>
      <c r="G648">
        <v>2025</v>
      </c>
      <c r="H648">
        <v>8</v>
      </c>
      <c r="I648" t="s">
        <v>2863</v>
      </c>
      <c r="J648" t="s">
        <v>2841</v>
      </c>
      <c r="K648" t="s">
        <v>2847</v>
      </c>
      <c r="L648" t="s">
        <v>2848</v>
      </c>
      <c r="M648" t="s">
        <v>2838</v>
      </c>
      <c r="N648" t="s">
        <v>2844</v>
      </c>
    </row>
    <row r="649" spans="1:14">
      <c r="A649">
        <v>145</v>
      </c>
      <c r="B649">
        <v>2.9</v>
      </c>
      <c r="C649">
        <v>142.1</v>
      </c>
      <c r="D649">
        <v>97.15</v>
      </c>
      <c r="E649">
        <v>44.949999999999989</v>
      </c>
      <c r="F649" s="12">
        <v>0.31632653061224481</v>
      </c>
      <c r="G649">
        <v>2025</v>
      </c>
      <c r="H649">
        <v>5</v>
      </c>
      <c r="I649" t="s">
        <v>2845</v>
      </c>
      <c r="J649" t="s">
        <v>2846</v>
      </c>
      <c r="K649" t="s">
        <v>2847</v>
      </c>
      <c r="L649" t="s">
        <v>2843</v>
      </c>
      <c r="M649" t="s">
        <v>2837</v>
      </c>
      <c r="N649" t="s">
        <v>2844</v>
      </c>
    </row>
    <row r="650" spans="1:14">
      <c r="A650">
        <v>2080</v>
      </c>
      <c r="B650">
        <v>0</v>
      </c>
      <c r="C650">
        <v>2080</v>
      </c>
      <c r="D650">
        <v>1393.6</v>
      </c>
      <c r="E650">
        <v>686.40000000000009</v>
      </c>
      <c r="F650" s="12">
        <v>0.33000000000000007</v>
      </c>
      <c r="G650">
        <v>2025</v>
      </c>
      <c r="H650">
        <v>3</v>
      </c>
      <c r="I650" t="s">
        <v>2859</v>
      </c>
      <c r="J650" t="s">
        <v>2851</v>
      </c>
      <c r="K650" t="s">
        <v>2852</v>
      </c>
      <c r="L650" t="s">
        <v>2843</v>
      </c>
      <c r="M650" t="s">
        <v>2837</v>
      </c>
      <c r="N650" t="s">
        <v>2857</v>
      </c>
    </row>
    <row r="651" spans="1:14">
      <c r="A651">
        <v>3120</v>
      </c>
      <c r="B651">
        <v>312</v>
      </c>
      <c r="C651">
        <v>2808</v>
      </c>
      <c r="D651">
        <v>1872</v>
      </c>
      <c r="E651">
        <v>936</v>
      </c>
      <c r="F651" s="12">
        <v>0.33333333333333331</v>
      </c>
      <c r="G651">
        <v>2025</v>
      </c>
      <c r="H651">
        <v>5</v>
      </c>
      <c r="I651" t="s">
        <v>2845</v>
      </c>
      <c r="J651" t="s">
        <v>2846</v>
      </c>
      <c r="K651" t="s">
        <v>2860</v>
      </c>
      <c r="L651" t="s">
        <v>2856</v>
      </c>
      <c r="M651" t="s">
        <v>2838</v>
      </c>
      <c r="N651" t="s">
        <v>2857</v>
      </c>
    </row>
    <row r="652" spans="1:14">
      <c r="A652">
        <v>720</v>
      </c>
      <c r="B652">
        <v>72</v>
      </c>
      <c r="C652">
        <v>648</v>
      </c>
      <c r="D652">
        <v>532.79999999999995</v>
      </c>
      <c r="E652">
        <v>115.20000000000005</v>
      </c>
      <c r="F652" s="12">
        <v>0.17777777777777784</v>
      </c>
      <c r="G652">
        <v>2025</v>
      </c>
      <c r="H652">
        <v>10</v>
      </c>
      <c r="I652" t="s">
        <v>2854</v>
      </c>
      <c r="J652" t="s">
        <v>2855</v>
      </c>
      <c r="K652" t="s">
        <v>2852</v>
      </c>
      <c r="L652" t="s">
        <v>2856</v>
      </c>
      <c r="M652" t="s">
        <v>2839</v>
      </c>
      <c r="N652" t="s">
        <v>2849</v>
      </c>
    </row>
    <row r="653" spans="1:14">
      <c r="A653">
        <v>520</v>
      </c>
      <c r="B653">
        <v>41.6</v>
      </c>
      <c r="C653">
        <v>478.4</v>
      </c>
      <c r="D653">
        <v>348.4</v>
      </c>
      <c r="E653">
        <v>130</v>
      </c>
      <c r="F653" s="12">
        <v>0.27173913043478259</v>
      </c>
      <c r="G653">
        <v>2025</v>
      </c>
      <c r="H653">
        <v>12</v>
      </c>
      <c r="I653" t="s">
        <v>2858</v>
      </c>
      <c r="J653" t="s">
        <v>2855</v>
      </c>
      <c r="K653" t="s">
        <v>2860</v>
      </c>
      <c r="L653" t="s">
        <v>2843</v>
      </c>
      <c r="M653" t="s">
        <v>2837</v>
      </c>
      <c r="N653" t="s">
        <v>2844</v>
      </c>
    </row>
    <row r="654" spans="1:14">
      <c r="A654">
        <v>120</v>
      </c>
      <c r="B654">
        <v>0</v>
      </c>
      <c r="C654">
        <v>120</v>
      </c>
      <c r="D654">
        <v>73.2</v>
      </c>
      <c r="E654">
        <v>46.8</v>
      </c>
      <c r="F654" s="12">
        <v>0.38999999999999996</v>
      </c>
      <c r="G654">
        <v>2025</v>
      </c>
      <c r="H654">
        <v>12</v>
      </c>
      <c r="I654" t="s">
        <v>2858</v>
      </c>
      <c r="J654" t="s">
        <v>2855</v>
      </c>
      <c r="K654" t="s">
        <v>2860</v>
      </c>
      <c r="L654" t="s">
        <v>2848</v>
      </c>
      <c r="M654" t="s">
        <v>2838</v>
      </c>
      <c r="N654" t="s">
        <v>2844</v>
      </c>
    </row>
    <row r="655" spans="1:14">
      <c r="A655">
        <v>580</v>
      </c>
      <c r="B655">
        <v>11.6</v>
      </c>
      <c r="C655">
        <v>568.4</v>
      </c>
      <c r="D655">
        <v>388.6</v>
      </c>
      <c r="E655">
        <v>179.79999999999995</v>
      </c>
      <c r="F655" s="12">
        <v>0.31632653061224481</v>
      </c>
      <c r="G655">
        <v>2025</v>
      </c>
      <c r="H655">
        <v>4</v>
      </c>
      <c r="I655" t="s">
        <v>2865</v>
      </c>
      <c r="J655" t="s">
        <v>2846</v>
      </c>
      <c r="K655" t="s">
        <v>2860</v>
      </c>
      <c r="L655" t="s">
        <v>2848</v>
      </c>
      <c r="M655" t="s">
        <v>2839</v>
      </c>
      <c r="N655" t="s">
        <v>2849</v>
      </c>
    </row>
    <row r="656" spans="1:14">
      <c r="A656">
        <v>48</v>
      </c>
      <c r="B656">
        <v>0</v>
      </c>
      <c r="C656">
        <v>48</v>
      </c>
      <c r="D656">
        <v>37.44</v>
      </c>
      <c r="E656">
        <v>10.560000000000002</v>
      </c>
      <c r="F656" s="12">
        <v>0.22000000000000006</v>
      </c>
      <c r="G656">
        <v>2025</v>
      </c>
      <c r="H656">
        <v>1</v>
      </c>
      <c r="I656" t="s">
        <v>2850</v>
      </c>
      <c r="J656" t="s">
        <v>2851</v>
      </c>
      <c r="K656" t="s">
        <v>2852</v>
      </c>
      <c r="L656" t="s">
        <v>2843</v>
      </c>
      <c r="M656" t="s">
        <v>2837</v>
      </c>
      <c r="N656" t="s">
        <v>2844</v>
      </c>
    </row>
    <row r="657" spans="1:14">
      <c r="A657">
        <v>2600</v>
      </c>
      <c r="B657">
        <v>260</v>
      </c>
      <c r="C657">
        <v>2340</v>
      </c>
      <c r="D657">
        <v>1742</v>
      </c>
      <c r="E657">
        <v>598</v>
      </c>
      <c r="F657" s="12">
        <v>0.25555555555555554</v>
      </c>
      <c r="G657">
        <v>2025</v>
      </c>
      <c r="H657">
        <v>4</v>
      </c>
      <c r="I657" t="s">
        <v>2865</v>
      </c>
      <c r="J657" t="s">
        <v>2846</v>
      </c>
      <c r="K657" t="s">
        <v>2852</v>
      </c>
      <c r="L657" t="s">
        <v>2856</v>
      </c>
      <c r="M657" t="s">
        <v>2839</v>
      </c>
      <c r="N657" t="s">
        <v>2857</v>
      </c>
    </row>
    <row r="658" spans="1:14">
      <c r="A658">
        <v>65</v>
      </c>
      <c r="B658">
        <v>0</v>
      </c>
      <c r="C658">
        <v>65</v>
      </c>
      <c r="D658">
        <v>47.45</v>
      </c>
      <c r="E658">
        <v>17.549999999999997</v>
      </c>
      <c r="F658" s="12">
        <v>0.26999999999999996</v>
      </c>
      <c r="G658">
        <v>2025</v>
      </c>
      <c r="H658">
        <v>5</v>
      </c>
      <c r="I658" t="s">
        <v>2845</v>
      </c>
      <c r="J658" t="s">
        <v>2846</v>
      </c>
      <c r="K658" t="s">
        <v>2842</v>
      </c>
      <c r="L658" t="s">
        <v>2843</v>
      </c>
      <c r="M658" t="s">
        <v>2837</v>
      </c>
      <c r="N658" t="s">
        <v>2844</v>
      </c>
    </row>
    <row r="659" spans="1:14">
      <c r="A659">
        <v>120</v>
      </c>
      <c r="B659">
        <v>0</v>
      </c>
      <c r="C659">
        <v>120</v>
      </c>
      <c r="D659">
        <v>73.2</v>
      </c>
      <c r="E659">
        <v>46.8</v>
      </c>
      <c r="F659" s="12">
        <v>0.38999999999999996</v>
      </c>
      <c r="G659">
        <v>2025</v>
      </c>
      <c r="H659">
        <v>3</v>
      </c>
      <c r="I659" t="s">
        <v>2859</v>
      </c>
      <c r="J659" t="s">
        <v>2851</v>
      </c>
      <c r="K659" t="s">
        <v>2847</v>
      </c>
      <c r="L659" t="s">
        <v>2856</v>
      </c>
      <c r="M659" t="s">
        <v>2839</v>
      </c>
      <c r="N659" t="s">
        <v>2844</v>
      </c>
    </row>
    <row r="660" spans="1:14">
      <c r="A660">
        <v>65</v>
      </c>
      <c r="B660">
        <v>5.2</v>
      </c>
      <c r="C660">
        <v>59.8</v>
      </c>
      <c r="D660">
        <v>47.45</v>
      </c>
      <c r="E660">
        <v>12.349999999999994</v>
      </c>
      <c r="F660" s="12">
        <v>0.2065217391304347</v>
      </c>
      <c r="G660">
        <v>2025</v>
      </c>
      <c r="H660">
        <v>8</v>
      </c>
      <c r="I660" t="s">
        <v>2863</v>
      </c>
      <c r="J660" t="s">
        <v>2841</v>
      </c>
      <c r="K660" t="s">
        <v>2852</v>
      </c>
      <c r="L660" t="s">
        <v>2848</v>
      </c>
      <c r="M660" t="s">
        <v>2838</v>
      </c>
      <c r="N660" t="s">
        <v>2844</v>
      </c>
    </row>
    <row r="661" spans="1:14">
      <c r="A661">
        <v>1560</v>
      </c>
      <c r="B661">
        <v>124.8</v>
      </c>
      <c r="C661">
        <v>1435.2</v>
      </c>
      <c r="D661">
        <v>936</v>
      </c>
      <c r="E661">
        <v>499.20000000000005</v>
      </c>
      <c r="F661" s="12">
        <v>0.34782608695652178</v>
      </c>
      <c r="G661">
        <v>2025</v>
      </c>
      <c r="H661">
        <v>6</v>
      </c>
      <c r="I661" t="s">
        <v>2864</v>
      </c>
      <c r="J661" t="s">
        <v>2846</v>
      </c>
      <c r="K661" t="s">
        <v>2842</v>
      </c>
      <c r="L661" t="s">
        <v>2848</v>
      </c>
      <c r="M661" t="s">
        <v>2838</v>
      </c>
      <c r="N661" t="s">
        <v>2857</v>
      </c>
    </row>
    <row r="662" spans="1:14">
      <c r="A662">
        <v>420</v>
      </c>
      <c r="B662">
        <v>0</v>
      </c>
      <c r="C662">
        <v>420</v>
      </c>
      <c r="D662">
        <v>273</v>
      </c>
      <c r="E662">
        <v>147</v>
      </c>
      <c r="F662" s="12">
        <v>0.35</v>
      </c>
      <c r="G662">
        <v>2025</v>
      </c>
      <c r="H662">
        <v>4</v>
      </c>
      <c r="I662" t="s">
        <v>2865</v>
      </c>
      <c r="J662" t="s">
        <v>2846</v>
      </c>
      <c r="K662" t="s">
        <v>2847</v>
      </c>
      <c r="L662" t="s">
        <v>2843</v>
      </c>
      <c r="M662" t="s">
        <v>2837</v>
      </c>
      <c r="N662" t="s">
        <v>2844</v>
      </c>
    </row>
    <row r="663" spans="1:14">
      <c r="A663">
        <v>96</v>
      </c>
      <c r="B663">
        <v>1.92</v>
      </c>
      <c r="C663">
        <v>94.08</v>
      </c>
      <c r="D663">
        <v>74.88</v>
      </c>
      <c r="E663">
        <v>19.200000000000003</v>
      </c>
      <c r="F663" s="12">
        <v>0.20408163265306126</v>
      </c>
      <c r="G663">
        <v>2025</v>
      </c>
      <c r="H663">
        <v>7</v>
      </c>
      <c r="I663" t="s">
        <v>2840</v>
      </c>
      <c r="J663" t="s">
        <v>2841</v>
      </c>
      <c r="K663" t="s">
        <v>2842</v>
      </c>
      <c r="L663" t="s">
        <v>2856</v>
      </c>
      <c r="M663" t="s">
        <v>2839</v>
      </c>
      <c r="N663" t="s">
        <v>2844</v>
      </c>
    </row>
    <row r="664" spans="1:14">
      <c r="A664">
        <v>260</v>
      </c>
      <c r="B664">
        <v>5.2</v>
      </c>
      <c r="C664">
        <v>254.8</v>
      </c>
      <c r="D664">
        <v>189.8</v>
      </c>
      <c r="E664">
        <v>65</v>
      </c>
      <c r="F664" s="12">
        <v>0.25510204081632654</v>
      </c>
      <c r="G664">
        <v>2025</v>
      </c>
      <c r="H664">
        <v>3</v>
      </c>
      <c r="I664" t="s">
        <v>2859</v>
      </c>
      <c r="J664" t="s">
        <v>2851</v>
      </c>
      <c r="K664" t="s">
        <v>2852</v>
      </c>
      <c r="L664" t="s">
        <v>2848</v>
      </c>
      <c r="M664" t="s">
        <v>2838</v>
      </c>
      <c r="N664" t="s">
        <v>2844</v>
      </c>
    </row>
    <row r="665" spans="1:14">
      <c r="A665">
        <v>650</v>
      </c>
      <c r="B665">
        <v>0</v>
      </c>
      <c r="C665">
        <v>650</v>
      </c>
      <c r="D665">
        <v>474.5</v>
      </c>
      <c r="E665">
        <v>175.5</v>
      </c>
      <c r="F665" s="12">
        <v>0.27</v>
      </c>
      <c r="G665">
        <v>2025</v>
      </c>
      <c r="H665">
        <v>10</v>
      </c>
      <c r="I665" t="s">
        <v>2854</v>
      </c>
      <c r="J665" t="s">
        <v>2855</v>
      </c>
      <c r="K665" t="s">
        <v>2860</v>
      </c>
      <c r="L665" t="s">
        <v>2856</v>
      </c>
      <c r="M665" t="s">
        <v>2839</v>
      </c>
      <c r="N665" t="s">
        <v>2849</v>
      </c>
    </row>
    <row r="666" spans="1:14">
      <c r="A666">
        <v>260</v>
      </c>
      <c r="B666">
        <v>5.2</v>
      </c>
      <c r="C666">
        <v>254.8</v>
      </c>
      <c r="D666">
        <v>189.8</v>
      </c>
      <c r="E666">
        <v>65</v>
      </c>
      <c r="F666" s="12">
        <v>0.25510204081632654</v>
      </c>
      <c r="G666">
        <v>2025</v>
      </c>
      <c r="H666">
        <v>4</v>
      </c>
      <c r="I666" t="s">
        <v>2865</v>
      </c>
      <c r="J666" t="s">
        <v>2846</v>
      </c>
      <c r="K666" t="s">
        <v>2852</v>
      </c>
      <c r="L666" t="s">
        <v>2843</v>
      </c>
      <c r="M666" t="s">
        <v>2837</v>
      </c>
      <c r="N666" t="s">
        <v>2844</v>
      </c>
    </row>
    <row r="667" spans="1:14">
      <c r="A667">
        <v>420</v>
      </c>
      <c r="B667">
        <v>0</v>
      </c>
      <c r="C667">
        <v>420</v>
      </c>
      <c r="D667">
        <v>273</v>
      </c>
      <c r="E667">
        <v>147</v>
      </c>
      <c r="F667" s="12">
        <v>0.35</v>
      </c>
      <c r="G667">
        <v>2025</v>
      </c>
      <c r="H667">
        <v>2</v>
      </c>
      <c r="I667" t="s">
        <v>2861</v>
      </c>
      <c r="J667" t="s">
        <v>2851</v>
      </c>
      <c r="K667" t="s">
        <v>2852</v>
      </c>
      <c r="L667" t="s">
        <v>2848</v>
      </c>
      <c r="M667" t="s">
        <v>2838</v>
      </c>
      <c r="N667" t="s">
        <v>2844</v>
      </c>
    </row>
    <row r="668" spans="1:14">
      <c r="A668">
        <v>70</v>
      </c>
      <c r="B668">
        <v>0</v>
      </c>
      <c r="C668">
        <v>70</v>
      </c>
      <c r="D668">
        <v>48.3</v>
      </c>
      <c r="E668">
        <v>21.700000000000003</v>
      </c>
      <c r="F668" s="12">
        <v>0.31000000000000005</v>
      </c>
      <c r="G668">
        <v>2025</v>
      </c>
      <c r="H668">
        <v>4</v>
      </c>
      <c r="I668" t="s">
        <v>2865</v>
      </c>
      <c r="J668" t="s">
        <v>2846</v>
      </c>
      <c r="K668" t="s">
        <v>2860</v>
      </c>
      <c r="L668" t="s">
        <v>2856</v>
      </c>
      <c r="M668" t="s">
        <v>2839</v>
      </c>
      <c r="N668" t="s">
        <v>2844</v>
      </c>
    </row>
    <row r="669" spans="1:14">
      <c r="A669">
        <v>285</v>
      </c>
      <c r="B669">
        <v>14.25</v>
      </c>
      <c r="C669">
        <v>270.75</v>
      </c>
      <c r="D669">
        <v>210.89999999999998</v>
      </c>
      <c r="E669">
        <v>59.850000000000023</v>
      </c>
      <c r="F669" s="12">
        <v>0.22105263157894744</v>
      </c>
      <c r="G669">
        <v>2025</v>
      </c>
      <c r="H669">
        <v>3</v>
      </c>
      <c r="I669" t="s">
        <v>2859</v>
      </c>
      <c r="J669" t="s">
        <v>2851</v>
      </c>
      <c r="K669" t="s">
        <v>2852</v>
      </c>
      <c r="L669" t="s">
        <v>2856</v>
      </c>
      <c r="M669" t="s">
        <v>2837</v>
      </c>
      <c r="N669" t="s">
        <v>2844</v>
      </c>
    </row>
    <row r="670" spans="1:14">
      <c r="A670">
        <v>260</v>
      </c>
      <c r="B670">
        <v>5.2</v>
      </c>
      <c r="C670">
        <v>254.8</v>
      </c>
      <c r="D670">
        <v>189.8</v>
      </c>
      <c r="E670">
        <v>65</v>
      </c>
      <c r="F670" s="12">
        <v>0.25510204081632654</v>
      </c>
      <c r="G670">
        <v>2025</v>
      </c>
      <c r="H670">
        <v>8</v>
      </c>
      <c r="I670" t="s">
        <v>2863</v>
      </c>
      <c r="J670" t="s">
        <v>2841</v>
      </c>
      <c r="K670" t="s">
        <v>2860</v>
      </c>
      <c r="L670" t="s">
        <v>2866</v>
      </c>
      <c r="M670" t="s">
        <v>2838</v>
      </c>
      <c r="N670" t="s">
        <v>2844</v>
      </c>
    </row>
    <row r="671" spans="1:14">
      <c r="A671">
        <v>720</v>
      </c>
      <c r="B671">
        <v>14.4</v>
      </c>
      <c r="C671">
        <v>705.6</v>
      </c>
      <c r="D671">
        <v>532.79999999999995</v>
      </c>
      <c r="E671">
        <v>172.80000000000007</v>
      </c>
      <c r="F671" s="12">
        <v>0.24489795918367355</v>
      </c>
      <c r="G671">
        <v>2025</v>
      </c>
      <c r="H671">
        <v>6</v>
      </c>
      <c r="I671" t="s">
        <v>2864</v>
      </c>
      <c r="J671" t="s">
        <v>2846</v>
      </c>
      <c r="K671" t="s">
        <v>2860</v>
      </c>
      <c r="L671" t="s">
        <v>2843</v>
      </c>
      <c r="M671" t="s">
        <v>2837</v>
      </c>
      <c r="N671" t="s">
        <v>2849</v>
      </c>
    </row>
    <row r="672" spans="1:14">
      <c r="A672">
        <v>435</v>
      </c>
      <c r="B672">
        <v>0</v>
      </c>
      <c r="C672">
        <v>435</v>
      </c>
      <c r="D672">
        <v>291.45000000000005</v>
      </c>
      <c r="E672">
        <v>143.54999999999995</v>
      </c>
      <c r="F672" s="12">
        <v>0.3299999999999999</v>
      </c>
      <c r="G672">
        <v>2025</v>
      </c>
      <c r="H672">
        <v>11</v>
      </c>
      <c r="I672" t="s">
        <v>2862</v>
      </c>
      <c r="J672" t="s">
        <v>2855</v>
      </c>
      <c r="K672" t="s">
        <v>2852</v>
      </c>
      <c r="L672" t="s">
        <v>2843</v>
      </c>
      <c r="M672" t="s">
        <v>2837</v>
      </c>
      <c r="N672" t="s">
        <v>2844</v>
      </c>
    </row>
    <row r="673" spans="1:14">
      <c r="A673">
        <v>840</v>
      </c>
      <c r="B673">
        <v>0</v>
      </c>
      <c r="C673">
        <v>840</v>
      </c>
      <c r="D673">
        <v>546</v>
      </c>
      <c r="E673">
        <v>294</v>
      </c>
      <c r="F673" s="12">
        <v>0.35</v>
      </c>
      <c r="G673">
        <v>2025</v>
      </c>
      <c r="H673">
        <v>1</v>
      </c>
      <c r="I673" t="s">
        <v>2850</v>
      </c>
      <c r="J673" t="s">
        <v>2851</v>
      </c>
      <c r="K673" t="s">
        <v>2842</v>
      </c>
      <c r="L673" t="s">
        <v>2856</v>
      </c>
      <c r="M673" t="s">
        <v>2838</v>
      </c>
      <c r="N673" t="s">
        <v>2849</v>
      </c>
    </row>
    <row r="674" spans="1:14">
      <c r="A674">
        <v>2340</v>
      </c>
      <c r="B674">
        <v>187.20000000000002</v>
      </c>
      <c r="C674">
        <v>2152.8000000000002</v>
      </c>
      <c r="D674">
        <v>1404</v>
      </c>
      <c r="E674">
        <v>748.80000000000018</v>
      </c>
      <c r="F674" s="12">
        <v>0.34782608695652178</v>
      </c>
      <c r="G674">
        <v>2025</v>
      </c>
      <c r="H674">
        <v>8</v>
      </c>
      <c r="I674" t="s">
        <v>2863</v>
      </c>
      <c r="J674" t="s">
        <v>2841</v>
      </c>
      <c r="K674" t="s">
        <v>2852</v>
      </c>
      <c r="L674" t="s">
        <v>2856</v>
      </c>
      <c r="M674" t="s">
        <v>2839</v>
      </c>
      <c r="N674" t="s">
        <v>2857</v>
      </c>
    </row>
    <row r="675" spans="1:14">
      <c r="A675">
        <v>290</v>
      </c>
      <c r="B675">
        <v>29</v>
      </c>
      <c r="C675">
        <v>261</v>
      </c>
      <c r="D675">
        <v>194.3</v>
      </c>
      <c r="E675">
        <v>66.699999999999989</v>
      </c>
      <c r="F675" s="12">
        <v>0.25555555555555554</v>
      </c>
      <c r="G675">
        <v>2025</v>
      </c>
      <c r="H675">
        <v>3</v>
      </c>
      <c r="I675" t="s">
        <v>2859</v>
      </c>
      <c r="J675" t="s">
        <v>2851</v>
      </c>
      <c r="K675" t="s">
        <v>2847</v>
      </c>
      <c r="L675" t="s">
        <v>2866</v>
      </c>
      <c r="M675" t="s">
        <v>2838</v>
      </c>
      <c r="N675" t="s">
        <v>2844</v>
      </c>
    </row>
    <row r="676" spans="1:14">
      <c r="A676">
        <v>240</v>
      </c>
      <c r="B676">
        <v>12</v>
      </c>
      <c r="C676">
        <v>228</v>
      </c>
      <c r="D676">
        <v>177.6</v>
      </c>
      <c r="E676">
        <v>50.400000000000006</v>
      </c>
      <c r="F676" s="12">
        <v>0.22105263157894739</v>
      </c>
      <c r="G676">
        <v>2025</v>
      </c>
      <c r="H676">
        <v>11</v>
      </c>
      <c r="I676" t="s">
        <v>2862</v>
      </c>
      <c r="J676" t="s">
        <v>2855</v>
      </c>
      <c r="K676" t="s">
        <v>2842</v>
      </c>
      <c r="L676" t="s">
        <v>2843</v>
      </c>
      <c r="M676" t="s">
        <v>2837</v>
      </c>
      <c r="N676" t="s">
        <v>2844</v>
      </c>
    </row>
    <row r="677" spans="1:14">
      <c r="A677">
        <v>290</v>
      </c>
      <c r="B677">
        <v>29</v>
      </c>
      <c r="C677">
        <v>261</v>
      </c>
      <c r="D677">
        <v>194.3</v>
      </c>
      <c r="E677">
        <v>66.699999999999989</v>
      </c>
      <c r="F677" s="12">
        <v>0.25555555555555554</v>
      </c>
      <c r="G677">
        <v>2025</v>
      </c>
      <c r="H677">
        <v>9</v>
      </c>
      <c r="I677" t="s">
        <v>2853</v>
      </c>
      <c r="J677" t="s">
        <v>2841</v>
      </c>
      <c r="K677" t="s">
        <v>2852</v>
      </c>
      <c r="L677" t="s">
        <v>2848</v>
      </c>
      <c r="M677" t="s">
        <v>2838</v>
      </c>
      <c r="N677" t="s">
        <v>2844</v>
      </c>
    </row>
    <row r="678" spans="1:14">
      <c r="A678">
        <v>190</v>
      </c>
      <c r="B678">
        <v>0</v>
      </c>
      <c r="C678">
        <v>190</v>
      </c>
      <c r="D678">
        <v>140.6</v>
      </c>
      <c r="E678">
        <v>49.400000000000006</v>
      </c>
      <c r="F678" s="12">
        <v>0.26</v>
      </c>
      <c r="G678">
        <v>2025</v>
      </c>
      <c r="H678">
        <v>3</v>
      </c>
      <c r="I678" t="s">
        <v>2859</v>
      </c>
      <c r="J678" t="s">
        <v>2851</v>
      </c>
      <c r="K678" t="s">
        <v>2847</v>
      </c>
      <c r="L678" t="s">
        <v>2856</v>
      </c>
      <c r="M678" t="s">
        <v>2839</v>
      </c>
      <c r="N678" t="s">
        <v>2844</v>
      </c>
    </row>
    <row r="679" spans="1:14">
      <c r="A679">
        <v>780</v>
      </c>
      <c r="B679">
        <v>39</v>
      </c>
      <c r="C679">
        <v>741</v>
      </c>
      <c r="D679">
        <v>569.40000000000009</v>
      </c>
      <c r="E679">
        <v>171.59999999999991</v>
      </c>
      <c r="F679" s="12">
        <v>0.23157894736842094</v>
      </c>
      <c r="G679">
        <v>2025</v>
      </c>
      <c r="H679">
        <v>7</v>
      </c>
      <c r="I679" t="s">
        <v>2840</v>
      </c>
      <c r="J679" t="s">
        <v>2841</v>
      </c>
      <c r="K679" t="s">
        <v>2852</v>
      </c>
      <c r="L679" t="s">
        <v>2856</v>
      </c>
      <c r="M679" t="s">
        <v>2837</v>
      </c>
      <c r="N679" t="s">
        <v>2849</v>
      </c>
    </row>
    <row r="680" spans="1:14">
      <c r="A680">
        <v>88</v>
      </c>
      <c r="B680">
        <v>1.76</v>
      </c>
      <c r="C680">
        <v>86.24</v>
      </c>
      <c r="D680">
        <v>59.84</v>
      </c>
      <c r="E680">
        <v>26.399999999999991</v>
      </c>
      <c r="F680" s="12">
        <v>0.30612244897959173</v>
      </c>
      <c r="G680">
        <v>2025</v>
      </c>
      <c r="H680">
        <v>4</v>
      </c>
      <c r="I680" t="s">
        <v>2865</v>
      </c>
      <c r="J680" t="s">
        <v>2846</v>
      </c>
      <c r="K680" t="s">
        <v>2842</v>
      </c>
      <c r="L680" t="s">
        <v>2848</v>
      </c>
      <c r="M680" t="s">
        <v>2839</v>
      </c>
      <c r="N680" t="s">
        <v>2844</v>
      </c>
    </row>
    <row r="681" spans="1:14">
      <c r="A681">
        <v>1200</v>
      </c>
      <c r="B681">
        <v>60</v>
      </c>
      <c r="C681">
        <v>1140</v>
      </c>
      <c r="D681">
        <v>888</v>
      </c>
      <c r="E681">
        <v>252</v>
      </c>
      <c r="F681" s="12">
        <v>0.22105263157894736</v>
      </c>
      <c r="G681">
        <v>2025</v>
      </c>
      <c r="H681">
        <v>1</v>
      </c>
      <c r="I681" t="s">
        <v>2850</v>
      </c>
      <c r="J681" t="s">
        <v>2851</v>
      </c>
      <c r="K681" t="s">
        <v>2842</v>
      </c>
      <c r="L681" t="s">
        <v>2856</v>
      </c>
      <c r="M681" t="s">
        <v>2838</v>
      </c>
      <c r="N681" t="s">
        <v>2857</v>
      </c>
    </row>
    <row r="682" spans="1:14">
      <c r="A682">
        <v>220</v>
      </c>
      <c r="B682">
        <v>0</v>
      </c>
      <c r="C682">
        <v>220</v>
      </c>
      <c r="D682">
        <v>145.19999999999999</v>
      </c>
      <c r="E682">
        <v>74.800000000000011</v>
      </c>
      <c r="F682" s="12">
        <v>0.34</v>
      </c>
      <c r="G682">
        <v>2025</v>
      </c>
      <c r="H682">
        <v>11</v>
      </c>
      <c r="I682" t="s">
        <v>2862</v>
      </c>
      <c r="J682" t="s">
        <v>2855</v>
      </c>
      <c r="K682" t="s">
        <v>2860</v>
      </c>
      <c r="L682" t="s">
        <v>2856</v>
      </c>
      <c r="M682" t="s">
        <v>2839</v>
      </c>
      <c r="N682" t="s">
        <v>2844</v>
      </c>
    </row>
    <row r="683" spans="1:14">
      <c r="A683">
        <v>95</v>
      </c>
      <c r="B683">
        <v>4.75</v>
      </c>
      <c r="C683">
        <v>90.25</v>
      </c>
      <c r="D683">
        <v>70.3</v>
      </c>
      <c r="E683">
        <v>19.950000000000003</v>
      </c>
      <c r="F683" s="12">
        <v>0.22105263157894739</v>
      </c>
      <c r="G683">
        <v>2025</v>
      </c>
      <c r="H683">
        <v>10</v>
      </c>
      <c r="I683" t="s">
        <v>2854</v>
      </c>
      <c r="J683" t="s">
        <v>2855</v>
      </c>
      <c r="K683" t="s">
        <v>2842</v>
      </c>
      <c r="L683" t="s">
        <v>2848</v>
      </c>
      <c r="M683" t="s">
        <v>2838</v>
      </c>
      <c r="N683" t="s">
        <v>2844</v>
      </c>
    </row>
    <row r="684" spans="1:14">
      <c r="A684">
        <v>780</v>
      </c>
      <c r="B684">
        <v>0</v>
      </c>
      <c r="C684">
        <v>780</v>
      </c>
      <c r="D684">
        <v>468</v>
      </c>
      <c r="E684">
        <v>312</v>
      </c>
      <c r="F684" s="12">
        <v>0.4</v>
      </c>
      <c r="G684">
        <v>2025</v>
      </c>
      <c r="H684">
        <v>6</v>
      </c>
      <c r="I684" t="s">
        <v>2864</v>
      </c>
      <c r="J684" t="s">
        <v>2846</v>
      </c>
      <c r="K684" t="s">
        <v>2852</v>
      </c>
      <c r="L684" t="s">
        <v>2848</v>
      </c>
      <c r="M684" t="s">
        <v>2839</v>
      </c>
      <c r="N684" t="s">
        <v>2849</v>
      </c>
    </row>
    <row r="685" spans="1:14">
      <c r="A685">
        <v>195</v>
      </c>
      <c r="B685">
        <v>0</v>
      </c>
      <c r="C685">
        <v>195</v>
      </c>
      <c r="D685">
        <v>142.35000000000002</v>
      </c>
      <c r="E685">
        <v>52.649999999999977</v>
      </c>
      <c r="F685" s="12">
        <v>0.26999999999999991</v>
      </c>
      <c r="G685">
        <v>2025</v>
      </c>
      <c r="H685">
        <v>3</v>
      </c>
      <c r="I685" t="s">
        <v>2859</v>
      </c>
      <c r="J685" t="s">
        <v>2851</v>
      </c>
      <c r="K685" t="s">
        <v>2847</v>
      </c>
      <c r="L685" t="s">
        <v>2848</v>
      </c>
      <c r="M685" t="s">
        <v>2838</v>
      </c>
      <c r="N685" t="s">
        <v>2844</v>
      </c>
    </row>
    <row r="686" spans="1:14">
      <c r="A686">
        <v>66</v>
      </c>
      <c r="B686">
        <v>3.3000000000000003</v>
      </c>
      <c r="C686">
        <v>62.7</v>
      </c>
      <c r="D686">
        <v>44.88</v>
      </c>
      <c r="E686">
        <v>17.82</v>
      </c>
      <c r="F686" s="12">
        <v>0.28421052631578947</v>
      </c>
      <c r="G686">
        <v>2025</v>
      </c>
      <c r="H686">
        <v>1</v>
      </c>
      <c r="I686" t="s">
        <v>2850</v>
      </c>
      <c r="J686" t="s">
        <v>2851</v>
      </c>
      <c r="K686" t="s">
        <v>2842</v>
      </c>
      <c r="L686" t="s">
        <v>2856</v>
      </c>
      <c r="M686" t="s">
        <v>2839</v>
      </c>
      <c r="N686" t="s">
        <v>2844</v>
      </c>
    </row>
    <row r="687" spans="1:14">
      <c r="A687">
        <v>1680</v>
      </c>
      <c r="B687">
        <v>0</v>
      </c>
      <c r="C687">
        <v>1680</v>
      </c>
      <c r="D687">
        <v>1092</v>
      </c>
      <c r="E687">
        <v>588</v>
      </c>
      <c r="F687" s="12">
        <v>0.35</v>
      </c>
      <c r="G687">
        <v>2025</v>
      </c>
      <c r="H687">
        <v>4</v>
      </c>
      <c r="I687" t="s">
        <v>2865</v>
      </c>
      <c r="J687" t="s">
        <v>2846</v>
      </c>
      <c r="K687" t="s">
        <v>2860</v>
      </c>
      <c r="L687" t="s">
        <v>2843</v>
      </c>
      <c r="M687" t="s">
        <v>2837</v>
      </c>
      <c r="N687" t="s">
        <v>2857</v>
      </c>
    </row>
    <row r="688" spans="1:14">
      <c r="A688">
        <v>440</v>
      </c>
      <c r="B688">
        <v>8.8000000000000007</v>
      </c>
      <c r="C688">
        <v>431.2</v>
      </c>
      <c r="D688">
        <v>290.39999999999998</v>
      </c>
      <c r="E688">
        <v>140.80000000000001</v>
      </c>
      <c r="F688" s="12">
        <v>0.32653061224489799</v>
      </c>
      <c r="G688">
        <v>2025</v>
      </c>
      <c r="H688">
        <v>9</v>
      </c>
      <c r="I688" t="s">
        <v>2853</v>
      </c>
      <c r="J688" t="s">
        <v>2841</v>
      </c>
      <c r="K688" t="s">
        <v>2842</v>
      </c>
      <c r="L688" t="s">
        <v>2848</v>
      </c>
      <c r="M688" t="s">
        <v>2838</v>
      </c>
      <c r="N688" t="s">
        <v>2844</v>
      </c>
    </row>
    <row r="689" spans="1:14">
      <c r="A689">
        <v>780</v>
      </c>
      <c r="B689">
        <v>0</v>
      </c>
      <c r="C689">
        <v>780</v>
      </c>
      <c r="D689">
        <v>468</v>
      </c>
      <c r="E689">
        <v>312</v>
      </c>
      <c r="F689" s="12">
        <v>0.4</v>
      </c>
      <c r="G689">
        <v>2025</v>
      </c>
      <c r="H689">
        <v>10</v>
      </c>
      <c r="I689" t="s">
        <v>2854</v>
      </c>
      <c r="J689" t="s">
        <v>2855</v>
      </c>
      <c r="K689" t="s">
        <v>2842</v>
      </c>
      <c r="L689" t="s">
        <v>2848</v>
      </c>
      <c r="M689" t="s">
        <v>2838</v>
      </c>
      <c r="N689" t="s">
        <v>2849</v>
      </c>
    </row>
    <row r="690" spans="1:14">
      <c r="A690">
        <v>44</v>
      </c>
      <c r="B690">
        <v>4.4000000000000004</v>
      </c>
      <c r="C690">
        <v>39.6</v>
      </c>
      <c r="D690">
        <v>29.92</v>
      </c>
      <c r="E690">
        <v>9.68</v>
      </c>
      <c r="F690" s="12">
        <v>0.24444444444444444</v>
      </c>
      <c r="G690">
        <v>2025</v>
      </c>
      <c r="H690">
        <v>9</v>
      </c>
      <c r="I690" t="s">
        <v>2853</v>
      </c>
      <c r="J690" t="s">
        <v>2841</v>
      </c>
      <c r="K690" t="s">
        <v>2847</v>
      </c>
      <c r="L690" t="s">
        <v>2843</v>
      </c>
      <c r="M690" t="s">
        <v>2837</v>
      </c>
      <c r="N690" t="s">
        <v>2844</v>
      </c>
    </row>
    <row r="691" spans="1:14">
      <c r="A691">
        <v>480</v>
      </c>
      <c r="B691">
        <v>38.4</v>
      </c>
      <c r="C691">
        <v>441.6</v>
      </c>
      <c r="D691">
        <v>355.2</v>
      </c>
      <c r="E691">
        <v>86.400000000000034</v>
      </c>
      <c r="F691" s="12">
        <v>0.19565217391304354</v>
      </c>
      <c r="G691">
        <v>2025</v>
      </c>
      <c r="H691">
        <v>5</v>
      </c>
      <c r="I691" t="s">
        <v>2845</v>
      </c>
      <c r="J691" t="s">
        <v>2846</v>
      </c>
      <c r="K691" t="s">
        <v>2842</v>
      </c>
      <c r="L691" t="s">
        <v>2856</v>
      </c>
      <c r="M691" t="s">
        <v>2839</v>
      </c>
      <c r="N691" t="s">
        <v>2844</v>
      </c>
    </row>
    <row r="692" spans="1:14">
      <c r="A692">
        <v>110</v>
      </c>
      <c r="B692">
        <v>11</v>
      </c>
      <c r="C692">
        <v>99</v>
      </c>
      <c r="D692">
        <v>72.599999999999994</v>
      </c>
      <c r="E692">
        <v>26.400000000000006</v>
      </c>
      <c r="F692" s="12">
        <v>0.26666666666666672</v>
      </c>
      <c r="G692">
        <v>2025</v>
      </c>
      <c r="H692">
        <v>2</v>
      </c>
      <c r="I692" t="s">
        <v>2861</v>
      </c>
      <c r="J692" t="s">
        <v>2851</v>
      </c>
      <c r="K692" t="s">
        <v>2860</v>
      </c>
      <c r="L692" t="s">
        <v>2843</v>
      </c>
      <c r="M692" t="s">
        <v>2839</v>
      </c>
      <c r="N692" t="s">
        <v>2844</v>
      </c>
    </row>
    <row r="693" spans="1:14">
      <c r="A693">
        <v>435</v>
      </c>
      <c r="B693">
        <v>21.75</v>
      </c>
      <c r="C693">
        <v>413.25</v>
      </c>
      <c r="D693">
        <v>291.45000000000005</v>
      </c>
      <c r="E693">
        <v>121.79999999999995</v>
      </c>
      <c r="F693" s="12">
        <v>0.29473684210526307</v>
      </c>
      <c r="G693">
        <v>2025</v>
      </c>
      <c r="H693">
        <v>12</v>
      </c>
      <c r="I693" t="s">
        <v>2858</v>
      </c>
      <c r="J693" t="s">
        <v>2855</v>
      </c>
      <c r="K693" t="s">
        <v>2860</v>
      </c>
      <c r="L693" t="s">
        <v>2848</v>
      </c>
      <c r="M693" t="s">
        <v>2838</v>
      </c>
      <c r="N693" t="s">
        <v>2844</v>
      </c>
    </row>
    <row r="694" spans="1:14">
      <c r="A694">
        <v>35</v>
      </c>
      <c r="B694">
        <v>0</v>
      </c>
      <c r="C694">
        <v>35</v>
      </c>
      <c r="D694">
        <v>24.15</v>
      </c>
      <c r="E694">
        <v>10.850000000000001</v>
      </c>
      <c r="F694" s="12">
        <v>0.31000000000000005</v>
      </c>
      <c r="G694">
        <v>2025</v>
      </c>
      <c r="H694">
        <v>9</v>
      </c>
      <c r="I694" t="s">
        <v>2853</v>
      </c>
      <c r="J694" t="s">
        <v>2841</v>
      </c>
      <c r="K694" t="s">
        <v>2860</v>
      </c>
      <c r="L694" t="s">
        <v>2856</v>
      </c>
      <c r="M694" t="s">
        <v>2837</v>
      </c>
      <c r="N694" t="s">
        <v>2844</v>
      </c>
    </row>
    <row r="695" spans="1:14">
      <c r="A695">
        <v>580</v>
      </c>
      <c r="B695">
        <v>11.6</v>
      </c>
      <c r="C695">
        <v>568.4</v>
      </c>
      <c r="D695">
        <v>388.6</v>
      </c>
      <c r="E695">
        <v>179.79999999999995</v>
      </c>
      <c r="F695" s="12">
        <v>0.31632653061224481</v>
      </c>
      <c r="G695">
        <v>2025</v>
      </c>
      <c r="H695">
        <v>7</v>
      </c>
      <c r="I695" t="s">
        <v>2840</v>
      </c>
      <c r="J695" t="s">
        <v>2841</v>
      </c>
      <c r="K695" t="s">
        <v>2842</v>
      </c>
      <c r="L695" t="s">
        <v>2843</v>
      </c>
      <c r="M695" t="s">
        <v>2837</v>
      </c>
      <c r="N695" t="s">
        <v>2849</v>
      </c>
    </row>
    <row r="696" spans="1:14">
      <c r="A696">
        <v>840</v>
      </c>
      <c r="B696">
        <v>67.2</v>
      </c>
      <c r="C696">
        <v>772.8</v>
      </c>
      <c r="D696">
        <v>546</v>
      </c>
      <c r="E696">
        <v>226.79999999999995</v>
      </c>
      <c r="F696" s="12">
        <v>0.29347826086956519</v>
      </c>
      <c r="G696">
        <v>2025</v>
      </c>
      <c r="H696">
        <v>11</v>
      </c>
      <c r="I696" t="s">
        <v>2862</v>
      </c>
      <c r="J696" t="s">
        <v>2855</v>
      </c>
      <c r="K696" t="s">
        <v>2847</v>
      </c>
      <c r="L696" t="s">
        <v>2856</v>
      </c>
      <c r="M696" t="s">
        <v>2839</v>
      </c>
      <c r="N696" t="s">
        <v>2849</v>
      </c>
    </row>
    <row r="697" spans="1:14">
      <c r="A697">
        <v>600</v>
      </c>
      <c r="B697">
        <v>0</v>
      </c>
      <c r="C697">
        <v>600</v>
      </c>
      <c r="D697">
        <v>366</v>
      </c>
      <c r="E697">
        <v>234</v>
      </c>
      <c r="F697" s="12">
        <v>0.39</v>
      </c>
      <c r="G697">
        <v>2025</v>
      </c>
      <c r="H697">
        <v>1</v>
      </c>
      <c r="I697" t="s">
        <v>2850</v>
      </c>
      <c r="J697" t="s">
        <v>2851</v>
      </c>
      <c r="K697" t="s">
        <v>2860</v>
      </c>
      <c r="L697" t="s">
        <v>2843</v>
      </c>
      <c r="M697" t="s">
        <v>2839</v>
      </c>
      <c r="N697" t="s">
        <v>2849</v>
      </c>
    </row>
    <row r="698" spans="1:14">
      <c r="A698">
        <v>190</v>
      </c>
      <c r="B698">
        <v>0</v>
      </c>
      <c r="C698">
        <v>190</v>
      </c>
      <c r="D698">
        <v>148.19999999999999</v>
      </c>
      <c r="E698">
        <v>41.800000000000011</v>
      </c>
      <c r="F698" s="12">
        <v>0.22000000000000006</v>
      </c>
      <c r="G698">
        <v>2025</v>
      </c>
      <c r="H698">
        <v>7</v>
      </c>
      <c r="I698" t="s">
        <v>2840</v>
      </c>
      <c r="J698" t="s">
        <v>2841</v>
      </c>
      <c r="K698" t="s">
        <v>2847</v>
      </c>
      <c r="L698" t="s">
        <v>2843</v>
      </c>
      <c r="M698" t="s">
        <v>2837</v>
      </c>
      <c r="N698" t="s">
        <v>2844</v>
      </c>
    </row>
    <row r="699" spans="1:14">
      <c r="A699">
        <v>780</v>
      </c>
      <c r="B699">
        <v>78</v>
      </c>
      <c r="C699">
        <v>702</v>
      </c>
      <c r="D699">
        <v>468</v>
      </c>
      <c r="E699">
        <v>234</v>
      </c>
      <c r="F699" s="12">
        <v>0.33333333333333331</v>
      </c>
      <c r="G699">
        <v>2025</v>
      </c>
      <c r="H699">
        <v>12</v>
      </c>
      <c r="I699" t="s">
        <v>2858</v>
      </c>
      <c r="J699" t="s">
        <v>2855</v>
      </c>
      <c r="K699" t="s">
        <v>2852</v>
      </c>
      <c r="L699" t="s">
        <v>2843</v>
      </c>
      <c r="M699" t="s">
        <v>2837</v>
      </c>
      <c r="N699" t="s">
        <v>2849</v>
      </c>
    </row>
    <row r="700" spans="1:14">
      <c r="A700">
        <v>260</v>
      </c>
      <c r="B700">
        <v>20.8</v>
      </c>
      <c r="C700">
        <v>239.2</v>
      </c>
      <c r="D700">
        <v>189.8</v>
      </c>
      <c r="E700">
        <v>49.399999999999977</v>
      </c>
      <c r="F700" s="12">
        <v>0.2065217391304347</v>
      </c>
      <c r="G700">
        <v>2025</v>
      </c>
      <c r="H700">
        <v>4</v>
      </c>
      <c r="I700" t="s">
        <v>2865</v>
      </c>
      <c r="J700" t="s">
        <v>2846</v>
      </c>
      <c r="K700" t="s">
        <v>2847</v>
      </c>
      <c r="L700" t="s">
        <v>2848</v>
      </c>
      <c r="M700" t="s">
        <v>2838</v>
      </c>
      <c r="N700" t="s">
        <v>2844</v>
      </c>
    </row>
    <row r="701" spans="1:14">
      <c r="A701">
        <v>760</v>
      </c>
      <c r="B701">
        <v>15.200000000000001</v>
      </c>
      <c r="C701">
        <v>744.8</v>
      </c>
      <c r="D701">
        <v>592.79999999999995</v>
      </c>
      <c r="E701">
        <v>152</v>
      </c>
      <c r="F701" s="12">
        <v>0.20408163265306123</v>
      </c>
      <c r="G701">
        <v>2025</v>
      </c>
      <c r="H701">
        <v>2</v>
      </c>
      <c r="I701" t="s">
        <v>2861</v>
      </c>
      <c r="J701" t="s">
        <v>2851</v>
      </c>
      <c r="K701" t="s">
        <v>2842</v>
      </c>
      <c r="L701" t="s">
        <v>2843</v>
      </c>
      <c r="M701" t="s">
        <v>2837</v>
      </c>
      <c r="N701" t="s">
        <v>2849</v>
      </c>
    </row>
    <row r="702" spans="1:14">
      <c r="A702">
        <v>1560</v>
      </c>
      <c r="B702">
        <v>31.2</v>
      </c>
      <c r="C702">
        <v>1528.8</v>
      </c>
      <c r="D702">
        <v>936</v>
      </c>
      <c r="E702">
        <v>592.79999999999995</v>
      </c>
      <c r="F702" s="12">
        <v>0.38775510204081631</v>
      </c>
      <c r="G702">
        <v>2025</v>
      </c>
      <c r="H702">
        <v>2</v>
      </c>
      <c r="I702" t="s">
        <v>2861</v>
      </c>
      <c r="J702" t="s">
        <v>2851</v>
      </c>
      <c r="K702" t="s">
        <v>2847</v>
      </c>
      <c r="L702" t="s">
        <v>2848</v>
      </c>
      <c r="M702" t="s">
        <v>2838</v>
      </c>
      <c r="N702" t="s">
        <v>2857</v>
      </c>
    </row>
    <row r="703" spans="1:14">
      <c r="A703">
        <v>95</v>
      </c>
      <c r="B703">
        <v>0</v>
      </c>
      <c r="C703">
        <v>95</v>
      </c>
      <c r="D703">
        <v>70.3</v>
      </c>
      <c r="E703">
        <v>24.700000000000003</v>
      </c>
      <c r="F703" s="12">
        <v>0.26</v>
      </c>
      <c r="G703">
        <v>2025</v>
      </c>
      <c r="H703">
        <v>5</v>
      </c>
      <c r="I703" t="s">
        <v>2845</v>
      </c>
      <c r="J703" t="s">
        <v>2846</v>
      </c>
      <c r="K703" t="s">
        <v>2842</v>
      </c>
      <c r="L703" t="s">
        <v>2856</v>
      </c>
      <c r="M703" t="s">
        <v>2839</v>
      </c>
      <c r="N703" t="s">
        <v>2844</v>
      </c>
    </row>
    <row r="704" spans="1:14">
      <c r="A704">
        <v>600</v>
      </c>
      <c r="B704">
        <v>12</v>
      </c>
      <c r="C704">
        <v>588</v>
      </c>
      <c r="D704">
        <v>366</v>
      </c>
      <c r="E704">
        <v>222</v>
      </c>
      <c r="F704" s="12">
        <v>0.37755102040816324</v>
      </c>
      <c r="G704">
        <v>2025</v>
      </c>
      <c r="H704">
        <v>10</v>
      </c>
      <c r="I704" t="s">
        <v>2854</v>
      </c>
      <c r="J704" t="s">
        <v>2855</v>
      </c>
      <c r="K704" t="s">
        <v>2852</v>
      </c>
      <c r="L704" t="s">
        <v>2856</v>
      </c>
      <c r="M704" t="s">
        <v>2839</v>
      </c>
      <c r="N704" t="s">
        <v>2849</v>
      </c>
    </row>
    <row r="705" spans="1:14">
      <c r="A705">
        <v>190</v>
      </c>
      <c r="B705">
        <v>19</v>
      </c>
      <c r="C705">
        <v>171</v>
      </c>
      <c r="D705">
        <v>140.6</v>
      </c>
      <c r="E705">
        <v>30.400000000000006</v>
      </c>
      <c r="F705" s="12">
        <v>0.17777777777777781</v>
      </c>
      <c r="G705">
        <v>2025</v>
      </c>
      <c r="H705">
        <v>11</v>
      </c>
      <c r="I705" t="s">
        <v>2862</v>
      </c>
      <c r="J705" t="s">
        <v>2855</v>
      </c>
      <c r="K705" t="s">
        <v>2852</v>
      </c>
      <c r="L705" t="s">
        <v>2848</v>
      </c>
      <c r="M705" t="s">
        <v>2838</v>
      </c>
      <c r="N705" t="s">
        <v>2844</v>
      </c>
    </row>
    <row r="706" spans="1:14">
      <c r="A706">
        <v>360</v>
      </c>
      <c r="B706">
        <v>28.8</v>
      </c>
      <c r="C706">
        <v>331.2</v>
      </c>
      <c r="D706">
        <v>259.2</v>
      </c>
      <c r="E706">
        <v>72</v>
      </c>
      <c r="F706" s="12">
        <v>0.21739130434782608</v>
      </c>
      <c r="G706">
        <v>2025</v>
      </c>
      <c r="H706">
        <v>3</v>
      </c>
      <c r="I706" t="s">
        <v>2859</v>
      </c>
      <c r="J706" t="s">
        <v>2851</v>
      </c>
      <c r="K706" t="s">
        <v>2852</v>
      </c>
      <c r="L706" t="s">
        <v>2856</v>
      </c>
      <c r="M706" t="s">
        <v>2839</v>
      </c>
      <c r="N706" t="s">
        <v>2844</v>
      </c>
    </row>
    <row r="707" spans="1:14">
      <c r="A707">
        <v>180</v>
      </c>
      <c r="B707">
        <v>14.4</v>
      </c>
      <c r="C707">
        <v>165.6</v>
      </c>
      <c r="D707">
        <v>129.6</v>
      </c>
      <c r="E707">
        <v>36</v>
      </c>
      <c r="F707" s="12">
        <v>0.21739130434782608</v>
      </c>
      <c r="G707">
        <v>2025</v>
      </c>
      <c r="H707">
        <v>5</v>
      </c>
      <c r="I707" t="s">
        <v>2845</v>
      </c>
      <c r="J707" t="s">
        <v>2846</v>
      </c>
      <c r="K707" t="s">
        <v>2852</v>
      </c>
      <c r="L707" t="s">
        <v>2843</v>
      </c>
      <c r="M707" t="s">
        <v>2837</v>
      </c>
      <c r="N707" t="s">
        <v>2844</v>
      </c>
    </row>
    <row r="708" spans="1:14">
      <c r="A708">
        <v>48</v>
      </c>
      <c r="B708">
        <v>0</v>
      </c>
      <c r="C708">
        <v>48</v>
      </c>
      <c r="D708">
        <v>37.44</v>
      </c>
      <c r="E708">
        <v>10.560000000000002</v>
      </c>
      <c r="F708" s="12">
        <v>0.22000000000000006</v>
      </c>
      <c r="G708">
        <v>2025</v>
      </c>
      <c r="H708">
        <v>12</v>
      </c>
      <c r="I708" t="s">
        <v>2858</v>
      </c>
      <c r="J708" t="s">
        <v>2855</v>
      </c>
      <c r="K708" t="s">
        <v>2860</v>
      </c>
      <c r="L708" t="s">
        <v>2843</v>
      </c>
      <c r="M708" t="s">
        <v>2837</v>
      </c>
      <c r="N708" t="s">
        <v>2844</v>
      </c>
    </row>
    <row r="709" spans="1:14">
      <c r="A709">
        <v>550</v>
      </c>
      <c r="B709">
        <v>27.5</v>
      </c>
      <c r="C709">
        <v>522.5</v>
      </c>
      <c r="D709">
        <v>363</v>
      </c>
      <c r="E709">
        <v>159.5</v>
      </c>
      <c r="F709" s="12">
        <v>0.30526315789473685</v>
      </c>
      <c r="G709">
        <v>2025</v>
      </c>
      <c r="H709">
        <v>8</v>
      </c>
      <c r="I709" t="s">
        <v>2863</v>
      </c>
      <c r="J709" t="s">
        <v>2841</v>
      </c>
      <c r="K709" t="s">
        <v>2842</v>
      </c>
      <c r="L709" t="s">
        <v>2848</v>
      </c>
      <c r="M709" t="s">
        <v>2838</v>
      </c>
      <c r="N709" t="s">
        <v>2849</v>
      </c>
    </row>
    <row r="710" spans="1:14">
      <c r="A710">
        <v>88</v>
      </c>
      <c r="B710">
        <v>7.04</v>
      </c>
      <c r="C710">
        <v>80.959999999999994</v>
      </c>
      <c r="D710">
        <v>59.84</v>
      </c>
      <c r="E710">
        <v>21.11999999999999</v>
      </c>
      <c r="F710" s="12">
        <v>0.26086956521739119</v>
      </c>
      <c r="G710">
        <v>2025</v>
      </c>
      <c r="H710">
        <v>3</v>
      </c>
      <c r="I710" t="s">
        <v>2859</v>
      </c>
      <c r="J710" t="s">
        <v>2851</v>
      </c>
      <c r="K710" t="s">
        <v>2847</v>
      </c>
      <c r="L710" t="s">
        <v>2843</v>
      </c>
      <c r="M710" t="s">
        <v>2837</v>
      </c>
      <c r="N710" t="s">
        <v>2844</v>
      </c>
    </row>
    <row r="711" spans="1:14">
      <c r="A711">
        <v>540</v>
      </c>
      <c r="B711">
        <v>54</v>
      </c>
      <c r="C711">
        <v>486</v>
      </c>
      <c r="D711">
        <v>388.79999999999995</v>
      </c>
      <c r="E711">
        <v>97.200000000000045</v>
      </c>
      <c r="F711" s="12">
        <v>0.20000000000000009</v>
      </c>
      <c r="G711">
        <v>2025</v>
      </c>
      <c r="H711">
        <v>7</v>
      </c>
      <c r="I711" t="s">
        <v>2840</v>
      </c>
      <c r="J711" t="s">
        <v>2841</v>
      </c>
      <c r="K711" t="s">
        <v>2847</v>
      </c>
      <c r="L711" t="s">
        <v>2856</v>
      </c>
      <c r="M711" t="s">
        <v>2839</v>
      </c>
      <c r="N711" t="s">
        <v>2844</v>
      </c>
    </row>
    <row r="712" spans="1:14">
      <c r="A712">
        <v>195</v>
      </c>
      <c r="B712">
        <v>0</v>
      </c>
      <c r="C712">
        <v>195</v>
      </c>
      <c r="D712">
        <v>142.35000000000002</v>
      </c>
      <c r="E712">
        <v>52.649999999999977</v>
      </c>
      <c r="F712" s="12">
        <v>0.26999999999999991</v>
      </c>
      <c r="G712">
        <v>2025</v>
      </c>
      <c r="H712">
        <v>11</v>
      </c>
      <c r="I712" t="s">
        <v>2862</v>
      </c>
      <c r="J712" t="s">
        <v>2855</v>
      </c>
      <c r="K712" t="s">
        <v>2847</v>
      </c>
      <c r="L712" t="s">
        <v>2856</v>
      </c>
      <c r="M712" t="s">
        <v>2839</v>
      </c>
      <c r="N712" t="s">
        <v>2844</v>
      </c>
    </row>
    <row r="713" spans="1:14">
      <c r="A713">
        <v>1560</v>
      </c>
      <c r="B713">
        <v>0</v>
      </c>
      <c r="C713">
        <v>1560</v>
      </c>
      <c r="D713">
        <v>1045.1999999999998</v>
      </c>
      <c r="E713">
        <v>514.80000000000018</v>
      </c>
      <c r="F713" s="12">
        <v>0.33000000000000013</v>
      </c>
      <c r="G713">
        <v>2025</v>
      </c>
      <c r="H713">
        <v>2</v>
      </c>
      <c r="I713" t="s">
        <v>2861</v>
      </c>
      <c r="J713" t="s">
        <v>2851</v>
      </c>
      <c r="K713" t="s">
        <v>2847</v>
      </c>
      <c r="L713" t="s">
        <v>2856</v>
      </c>
      <c r="M713" t="s">
        <v>2839</v>
      </c>
      <c r="N713" t="s">
        <v>2857</v>
      </c>
    </row>
    <row r="714" spans="1:14">
      <c r="A714">
        <v>1450</v>
      </c>
      <c r="B714">
        <v>0</v>
      </c>
      <c r="C714">
        <v>1450</v>
      </c>
      <c r="D714">
        <v>971.5</v>
      </c>
      <c r="E714">
        <v>478.5</v>
      </c>
      <c r="F714" s="12">
        <v>0.33</v>
      </c>
      <c r="G714">
        <v>2025</v>
      </c>
      <c r="H714">
        <v>2</v>
      </c>
      <c r="I714" t="s">
        <v>2861</v>
      </c>
      <c r="J714" t="s">
        <v>2851</v>
      </c>
      <c r="K714" t="s">
        <v>2860</v>
      </c>
      <c r="L714" t="s">
        <v>2848</v>
      </c>
      <c r="M714" t="s">
        <v>2838</v>
      </c>
      <c r="N714" t="s">
        <v>2857</v>
      </c>
    </row>
    <row r="715" spans="1:14">
      <c r="A715">
        <v>540</v>
      </c>
      <c r="B715">
        <v>0</v>
      </c>
      <c r="C715">
        <v>540</v>
      </c>
      <c r="D715">
        <v>388.79999999999995</v>
      </c>
      <c r="E715">
        <v>151.20000000000005</v>
      </c>
      <c r="F715" s="12">
        <v>0.28000000000000008</v>
      </c>
      <c r="G715">
        <v>2025</v>
      </c>
      <c r="H715">
        <v>12</v>
      </c>
      <c r="I715" t="s">
        <v>2858</v>
      </c>
      <c r="J715" t="s">
        <v>2855</v>
      </c>
      <c r="K715" t="s">
        <v>2852</v>
      </c>
      <c r="L715" t="s">
        <v>2843</v>
      </c>
      <c r="M715" t="s">
        <v>2837</v>
      </c>
      <c r="N715" t="s">
        <v>2849</v>
      </c>
    </row>
    <row r="716" spans="1:14">
      <c r="A716">
        <v>960</v>
      </c>
      <c r="B716">
        <v>96</v>
      </c>
      <c r="C716">
        <v>864</v>
      </c>
      <c r="D716">
        <v>710.4</v>
      </c>
      <c r="E716">
        <v>153.60000000000002</v>
      </c>
      <c r="F716" s="12">
        <v>0.17777777777777781</v>
      </c>
      <c r="G716">
        <v>2025</v>
      </c>
      <c r="H716">
        <v>5</v>
      </c>
      <c r="I716" t="s">
        <v>2845</v>
      </c>
      <c r="J716" t="s">
        <v>2846</v>
      </c>
      <c r="K716" t="s">
        <v>2842</v>
      </c>
      <c r="L716" t="s">
        <v>2856</v>
      </c>
      <c r="M716" t="s">
        <v>2839</v>
      </c>
      <c r="N716" t="s">
        <v>2849</v>
      </c>
    </row>
    <row r="717" spans="1:14">
      <c r="A717">
        <v>420</v>
      </c>
      <c r="B717">
        <v>33.6</v>
      </c>
      <c r="C717">
        <v>386.4</v>
      </c>
      <c r="D717">
        <v>273</v>
      </c>
      <c r="E717">
        <v>113.39999999999998</v>
      </c>
      <c r="F717" s="12">
        <v>0.29347826086956519</v>
      </c>
      <c r="G717">
        <v>2025</v>
      </c>
      <c r="H717">
        <v>2</v>
      </c>
      <c r="I717" t="s">
        <v>2861</v>
      </c>
      <c r="J717" t="s">
        <v>2851</v>
      </c>
      <c r="K717" t="s">
        <v>2852</v>
      </c>
      <c r="L717" t="s">
        <v>2848</v>
      </c>
      <c r="M717" t="s">
        <v>2838</v>
      </c>
      <c r="N717" t="s">
        <v>2844</v>
      </c>
    </row>
    <row r="718" spans="1:14">
      <c r="A718">
        <v>70</v>
      </c>
      <c r="B718">
        <v>7</v>
      </c>
      <c r="C718">
        <v>63</v>
      </c>
      <c r="D718">
        <v>48.3</v>
      </c>
      <c r="E718">
        <v>14.700000000000003</v>
      </c>
      <c r="F718" s="12">
        <v>0.23333333333333336</v>
      </c>
      <c r="G718">
        <v>2025</v>
      </c>
      <c r="H718">
        <v>6</v>
      </c>
      <c r="I718" t="s">
        <v>2864</v>
      </c>
      <c r="J718" t="s">
        <v>2846</v>
      </c>
      <c r="K718" t="s">
        <v>2847</v>
      </c>
      <c r="L718" t="s">
        <v>2848</v>
      </c>
      <c r="M718" t="s">
        <v>2838</v>
      </c>
      <c r="N718" t="s">
        <v>2844</v>
      </c>
    </row>
    <row r="719" spans="1:14">
      <c r="A719">
        <v>780</v>
      </c>
      <c r="B719">
        <v>39</v>
      </c>
      <c r="C719">
        <v>741</v>
      </c>
      <c r="D719">
        <v>468</v>
      </c>
      <c r="E719">
        <v>273</v>
      </c>
      <c r="F719" s="12">
        <v>0.36842105263157893</v>
      </c>
      <c r="G719">
        <v>2025</v>
      </c>
      <c r="H719">
        <v>8</v>
      </c>
      <c r="I719" t="s">
        <v>2863</v>
      </c>
      <c r="J719" t="s">
        <v>2841</v>
      </c>
      <c r="K719" t="s">
        <v>2852</v>
      </c>
      <c r="L719" t="s">
        <v>2856</v>
      </c>
      <c r="M719" t="s">
        <v>2837</v>
      </c>
      <c r="N719" t="s">
        <v>2849</v>
      </c>
    </row>
    <row r="720" spans="1:14">
      <c r="A720">
        <v>1050</v>
      </c>
      <c r="B720">
        <v>21</v>
      </c>
      <c r="C720">
        <v>1029</v>
      </c>
      <c r="D720">
        <v>640.5</v>
      </c>
      <c r="E720">
        <v>388.5</v>
      </c>
      <c r="F720" s="12">
        <v>0.37755102040816324</v>
      </c>
      <c r="G720">
        <v>2025</v>
      </c>
      <c r="H720">
        <v>3</v>
      </c>
      <c r="I720" t="s">
        <v>2859</v>
      </c>
      <c r="J720" t="s">
        <v>2851</v>
      </c>
      <c r="K720" t="s">
        <v>2852</v>
      </c>
      <c r="L720" t="s">
        <v>2856</v>
      </c>
      <c r="M720" t="s">
        <v>2839</v>
      </c>
      <c r="N720" t="s">
        <v>2857</v>
      </c>
    </row>
    <row r="721" spans="1:14">
      <c r="A721">
        <v>145</v>
      </c>
      <c r="B721">
        <v>14.5</v>
      </c>
      <c r="C721">
        <v>130.5</v>
      </c>
      <c r="D721">
        <v>97.15</v>
      </c>
      <c r="E721">
        <v>33.349999999999994</v>
      </c>
      <c r="F721" s="12">
        <v>0.25555555555555554</v>
      </c>
      <c r="G721">
        <v>2025</v>
      </c>
      <c r="H721">
        <v>5</v>
      </c>
      <c r="I721" t="s">
        <v>2845</v>
      </c>
      <c r="J721" t="s">
        <v>2846</v>
      </c>
      <c r="K721" t="s">
        <v>2842</v>
      </c>
      <c r="L721" t="s">
        <v>2856</v>
      </c>
      <c r="M721" t="s">
        <v>2839</v>
      </c>
      <c r="N721" t="s">
        <v>2844</v>
      </c>
    </row>
    <row r="722" spans="1:14">
      <c r="A722">
        <v>475</v>
      </c>
      <c r="B722">
        <v>23.75</v>
      </c>
      <c r="C722">
        <v>451.25</v>
      </c>
      <c r="D722">
        <v>351.5</v>
      </c>
      <c r="E722">
        <v>99.75</v>
      </c>
      <c r="F722" s="12">
        <v>0.22105263157894736</v>
      </c>
      <c r="G722">
        <v>2025</v>
      </c>
      <c r="H722">
        <v>6</v>
      </c>
      <c r="I722" t="s">
        <v>2864</v>
      </c>
      <c r="J722" t="s">
        <v>2846</v>
      </c>
      <c r="K722" t="s">
        <v>2860</v>
      </c>
      <c r="L722" t="s">
        <v>2856</v>
      </c>
      <c r="M722" t="s">
        <v>2839</v>
      </c>
      <c r="N722" t="s">
        <v>2844</v>
      </c>
    </row>
    <row r="723" spans="1:14">
      <c r="A723">
        <v>520</v>
      </c>
      <c r="B723">
        <v>26</v>
      </c>
      <c r="C723">
        <v>494</v>
      </c>
      <c r="D723">
        <v>348.4</v>
      </c>
      <c r="E723">
        <v>145.60000000000002</v>
      </c>
      <c r="F723" s="12">
        <v>0.29473684210526319</v>
      </c>
      <c r="G723">
        <v>2025</v>
      </c>
      <c r="H723">
        <v>3</v>
      </c>
      <c r="I723" t="s">
        <v>2859</v>
      </c>
      <c r="J723" t="s">
        <v>2851</v>
      </c>
      <c r="K723" t="s">
        <v>2860</v>
      </c>
      <c r="L723" t="s">
        <v>2848</v>
      </c>
      <c r="M723" t="s">
        <v>2839</v>
      </c>
      <c r="N723" t="s">
        <v>2844</v>
      </c>
    </row>
    <row r="724" spans="1:14">
      <c r="A724">
        <v>325</v>
      </c>
      <c r="B724">
        <v>0</v>
      </c>
      <c r="C724">
        <v>325</v>
      </c>
      <c r="D724">
        <v>237.25</v>
      </c>
      <c r="E724">
        <v>87.75</v>
      </c>
      <c r="F724" s="12">
        <v>0.27</v>
      </c>
      <c r="G724">
        <v>2025</v>
      </c>
      <c r="H724">
        <v>9</v>
      </c>
      <c r="I724" t="s">
        <v>2853</v>
      </c>
      <c r="J724" t="s">
        <v>2841</v>
      </c>
      <c r="K724" t="s">
        <v>2860</v>
      </c>
      <c r="L724" t="s">
        <v>2848</v>
      </c>
      <c r="M724" t="s">
        <v>2839</v>
      </c>
      <c r="N724" t="s">
        <v>2844</v>
      </c>
    </row>
    <row r="725" spans="1:14">
      <c r="A725">
        <v>44</v>
      </c>
      <c r="B725">
        <v>0</v>
      </c>
      <c r="C725">
        <v>44</v>
      </c>
      <c r="D725">
        <v>29.92</v>
      </c>
      <c r="E725">
        <v>14.079999999999998</v>
      </c>
      <c r="F725" s="12">
        <v>0.31999999999999995</v>
      </c>
      <c r="G725">
        <v>2025</v>
      </c>
      <c r="H725">
        <v>12</v>
      </c>
      <c r="I725" t="s">
        <v>2858</v>
      </c>
      <c r="J725" t="s">
        <v>2855</v>
      </c>
      <c r="K725" t="s">
        <v>2847</v>
      </c>
      <c r="L725" t="s">
        <v>2843</v>
      </c>
      <c r="M725" t="s">
        <v>2837</v>
      </c>
      <c r="N725" t="s">
        <v>2844</v>
      </c>
    </row>
    <row r="726" spans="1:14">
      <c r="A726">
        <v>2520</v>
      </c>
      <c r="B726">
        <v>0</v>
      </c>
      <c r="C726">
        <v>2520</v>
      </c>
      <c r="D726">
        <v>1638</v>
      </c>
      <c r="E726">
        <v>882</v>
      </c>
      <c r="F726" s="12">
        <v>0.35</v>
      </c>
      <c r="G726">
        <v>2025</v>
      </c>
      <c r="H726">
        <v>5</v>
      </c>
      <c r="I726" t="s">
        <v>2845</v>
      </c>
      <c r="J726" t="s">
        <v>2846</v>
      </c>
      <c r="K726" t="s">
        <v>2860</v>
      </c>
      <c r="L726" t="s">
        <v>2856</v>
      </c>
      <c r="M726" t="s">
        <v>2838</v>
      </c>
      <c r="N726" t="s">
        <v>2857</v>
      </c>
    </row>
    <row r="727" spans="1:14">
      <c r="A727">
        <v>3800</v>
      </c>
      <c r="B727">
        <v>0</v>
      </c>
      <c r="C727">
        <v>3800</v>
      </c>
      <c r="D727">
        <v>2964</v>
      </c>
      <c r="E727">
        <v>836</v>
      </c>
      <c r="F727" s="12">
        <v>0.22</v>
      </c>
      <c r="G727">
        <v>2025</v>
      </c>
      <c r="H727">
        <v>12</v>
      </c>
      <c r="I727" t="s">
        <v>2858</v>
      </c>
      <c r="J727" t="s">
        <v>2855</v>
      </c>
      <c r="K727" t="s">
        <v>2860</v>
      </c>
      <c r="L727" t="s">
        <v>2843</v>
      </c>
      <c r="M727" t="s">
        <v>2837</v>
      </c>
      <c r="N727" t="s">
        <v>2857</v>
      </c>
    </row>
    <row r="728" spans="1:14">
      <c r="A728">
        <v>65</v>
      </c>
      <c r="B728">
        <v>0</v>
      </c>
      <c r="C728">
        <v>65</v>
      </c>
      <c r="D728">
        <v>47.45</v>
      </c>
      <c r="E728">
        <v>17.549999999999997</v>
      </c>
      <c r="F728" s="12">
        <v>0.26999999999999996</v>
      </c>
      <c r="G728">
        <v>2025</v>
      </c>
      <c r="H728">
        <v>1</v>
      </c>
      <c r="I728" t="s">
        <v>2850</v>
      </c>
      <c r="J728" t="s">
        <v>2851</v>
      </c>
      <c r="K728" t="s">
        <v>2860</v>
      </c>
      <c r="L728" t="s">
        <v>2843</v>
      </c>
      <c r="M728" t="s">
        <v>2837</v>
      </c>
      <c r="N728" t="s">
        <v>2844</v>
      </c>
    </row>
    <row r="729" spans="1:14">
      <c r="A729">
        <v>480</v>
      </c>
      <c r="B729">
        <v>0</v>
      </c>
      <c r="C729">
        <v>480</v>
      </c>
      <c r="D729">
        <v>292.8</v>
      </c>
      <c r="E729">
        <v>187.2</v>
      </c>
      <c r="F729" s="12">
        <v>0.38999999999999996</v>
      </c>
      <c r="G729">
        <v>2025</v>
      </c>
      <c r="H729">
        <v>9</v>
      </c>
      <c r="I729" t="s">
        <v>2853</v>
      </c>
      <c r="J729" t="s">
        <v>2841</v>
      </c>
      <c r="K729" t="s">
        <v>2842</v>
      </c>
      <c r="L729" t="s">
        <v>2843</v>
      </c>
      <c r="M729" t="s">
        <v>2837</v>
      </c>
      <c r="N729" t="s">
        <v>2844</v>
      </c>
    </row>
    <row r="730" spans="1:14">
      <c r="A730">
        <v>475</v>
      </c>
      <c r="B730">
        <v>47.5</v>
      </c>
      <c r="C730">
        <v>427.5</v>
      </c>
      <c r="D730">
        <v>351.5</v>
      </c>
      <c r="E730">
        <v>76</v>
      </c>
      <c r="F730" s="12">
        <v>0.17777777777777778</v>
      </c>
      <c r="G730">
        <v>2025</v>
      </c>
      <c r="H730">
        <v>5</v>
      </c>
      <c r="I730" t="s">
        <v>2845</v>
      </c>
      <c r="J730" t="s">
        <v>2846</v>
      </c>
      <c r="K730" t="s">
        <v>2860</v>
      </c>
      <c r="L730" t="s">
        <v>2843</v>
      </c>
      <c r="M730" t="s">
        <v>2839</v>
      </c>
      <c r="N730" t="s">
        <v>2844</v>
      </c>
    </row>
    <row r="731" spans="1:14">
      <c r="A731">
        <v>420</v>
      </c>
      <c r="B731">
        <v>21</v>
      </c>
      <c r="C731">
        <v>399</v>
      </c>
      <c r="D731">
        <v>273</v>
      </c>
      <c r="E731">
        <v>126</v>
      </c>
      <c r="F731" s="12">
        <v>0.31578947368421051</v>
      </c>
      <c r="G731">
        <v>2025</v>
      </c>
      <c r="H731">
        <v>2</v>
      </c>
      <c r="I731" t="s">
        <v>2861</v>
      </c>
      <c r="J731" t="s">
        <v>2851</v>
      </c>
      <c r="K731" t="s">
        <v>2842</v>
      </c>
      <c r="L731" t="s">
        <v>2856</v>
      </c>
      <c r="M731" t="s">
        <v>2839</v>
      </c>
      <c r="N731" t="s">
        <v>2844</v>
      </c>
    </row>
    <row r="732" spans="1:14">
      <c r="A732">
        <v>5200</v>
      </c>
      <c r="B732">
        <v>0</v>
      </c>
      <c r="C732">
        <v>5200</v>
      </c>
      <c r="D732">
        <v>3796</v>
      </c>
      <c r="E732">
        <v>1404</v>
      </c>
      <c r="F732" s="12">
        <v>0.27</v>
      </c>
      <c r="G732">
        <v>2025</v>
      </c>
      <c r="H732">
        <v>9</v>
      </c>
      <c r="I732" t="s">
        <v>2853</v>
      </c>
      <c r="J732" t="s">
        <v>2841</v>
      </c>
      <c r="K732" t="s">
        <v>2852</v>
      </c>
      <c r="L732" t="s">
        <v>2848</v>
      </c>
      <c r="M732" t="s">
        <v>2839</v>
      </c>
      <c r="N732" t="s">
        <v>2857</v>
      </c>
    </row>
    <row r="733" spans="1:14">
      <c r="A733">
        <v>360</v>
      </c>
      <c r="B733">
        <v>36</v>
      </c>
      <c r="C733">
        <v>324</v>
      </c>
      <c r="D733">
        <v>259.2</v>
      </c>
      <c r="E733">
        <v>64.800000000000011</v>
      </c>
      <c r="F733" s="12">
        <v>0.20000000000000004</v>
      </c>
      <c r="G733">
        <v>2025</v>
      </c>
      <c r="H733">
        <v>5</v>
      </c>
      <c r="I733" t="s">
        <v>2845</v>
      </c>
      <c r="J733" t="s">
        <v>2846</v>
      </c>
      <c r="K733" t="s">
        <v>2842</v>
      </c>
      <c r="L733" t="s">
        <v>2843</v>
      </c>
      <c r="M733" t="s">
        <v>2837</v>
      </c>
      <c r="N733" t="s">
        <v>2844</v>
      </c>
    </row>
    <row r="734" spans="1:14">
      <c r="A734">
        <v>440</v>
      </c>
      <c r="B734">
        <v>0</v>
      </c>
      <c r="C734">
        <v>440</v>
      </c>
      <c r="D734">
        <v>290.39999999999998</v>
      </c>
      <c r="E734">
        <v>149.60000000000002</v>
      </c>
      <c r="F734" s="12">
        <v>0.34</v>
      </c>
      <c r="G734">
        <v>2025</v>
      </c>
      <c r="H734">
        <v>12</v>
      </c>
      <c r="I734" t="s">
        <v>2858</v>
      </c>
      <c r="J734" t="s">
        <v>2855</v>
      </c>
      <c r="K734" t="s">
        <v>2847</v>
      </c>
      <c r="L734" t="s">
        <v>2856</v>
      </c>
      <c r="M734" t="s">
        <v>2839</v>
      </c>
      <c r="N734" t="s">
        <v>2844</v>
      </c>
    </row>
    <row r="735" spans="1:14">
      <c r="A735">
        <v>1300</v>
      </c>
      <c r="B735">
        <v>104</v>
      </c>
      <c r="C735">
        <v>1196</v>
      </c>
      <c r="D735">
        <v>949</v>
      </c>
      <c r="E735">
        <v>247</v>
      </c>
      <c r="F735" s="12">
        <v>0.20652173913043478</v>
      </c>
      <c r="G735">
        <v>2025</v>
      </c>
      <c r="H735">
        <v>9</v>
      </c>
      <c r="I735" t="s">
        <v>2853</v>
      </c>
      <c r="J735" t="s">
        <v>2841</v>
      </c>
      <c r="K735" t="s">
        <v>2852</v>
      </c>
      <c r="L735" t="s">
        <v>2848</v>
      </c>
      <c r="M735" t="s">
        <v>2838</v>
      </c>
      <c r="N735" t="s">
        <v>2857</v>
      </c>
    </row>
    <row r="736" spans="1:14">
      <c r="A736">
        <v>190</v>
      </c>
      <c r="B736">
        <v>0</v>
      </c>
      <c r="C736">
        <v>190</v>
      </c>
      <c r="D736">
        <v>140.6</v>
      </c>
      <c r="E736">
        <v>49.400000000000006</v>
      </c>
      <c r="F736" s="12">
        <v>0.26</v>
      </c>
      <c r="G736">
        <v>2025</v>
      </c>
      <c r="H736">
        <v>2</v>
      </c>
      <c r="I736" t="s">
        <v>2861</v>
      </c>
      <c r="J736" t="s">
        <v>2851</v>
      </c>
      <c r="K736" t="s">
        <v>2842</v>
      </c>
      <c r="L736" t="s">
        <v>2856</v>
      </c>
      <c r="M736" t="s">
        <v>2839</v>
      </c>
      <c r="N736" t="s">
        <v>2844</v>
      </c>
    </row>
    <row r="737" spans="1:14">
      <c r="A737">
        <v>520</v>
      </c>
      <c r="B737">
        <v>10.4</v>
      </c>
      <c r="C737">
        <v>509.6</v>
      </c>
      <c r="D737">
        <v>379.6</v>
      </c>
      <c r="E737">
        <v>130</v>
      </c>
      <c r="F737" s="12">
        <v>0.25510204081632654</v>
      </c>
      <c r="G737">
        <v>2025</v>
      </c>
      <c r="H737">
        <v>5</v>
      </c>
      <c r="I737" t="s">
        <v>2845</v>
      </c>
      <c r="J737" t="s">
        <v>2846</v>
      </c>
      <c r="K737" t="s">
        <v>2860</v>
      </c>
      <c r="L737" t="s">
        <v>2856</v>
      </c>
      <c r="M737" t="s">
        <v>2839</v>
      </c>
      <c r="N737" t="s">
        <v>2849</v>
      </c>
    </row>
    <row r="738" spans="1:14">
      <c r="A738">
        <v>480</v>
      </c>
      <c r="B738">
        <v>9.6</v>
      </c>
      <c r="C738">
        <v>470.4</v>
      </c>
      <c r="D738">
        <v>355.2</v>
      </c>
      <c r="E738">
        <v>115.19999999999999</v>
      </c>
      <c r="F738" s="12">
        <v>0.24489795918367346</v>
      </c>
      <c r="G738">
        <v>2025</v>
      </c>
      <c r="H738">
        <v>8</v>
      </c>
      <c r="I738" t="s">
        <v>2863</v>
      </c>
      <c r="J738" t="s">
        <v>2841</v>
      </c>
      <c r="K738" t="s">
        <v>2842</v>
      </c>
      <c r="L738" t="s">
        <v>2856</v>
      </c>
      <c r="M738" t="s">
        <v>2839</v>
      </c>
      <c r="N738" t="s">
        <v>2844</v>
      </c>
    </row>
    <row r="739" spans="1:14">
      <c r="A739">
        <v>1260</v>
      </c>
      <c r="B739">
        <v>0</v>
      </c>
      <c r="C739">
        <v>1260</v>
      </c>
      <c r="D739">
        <v>819</v>
      </c>
      <c r="E739">
        <v>441</v>
      </c>
      <c r="F739" s="12">
        <v>0.35</v>
      </c>
      <c r="G739">
        <v>2025</v>
      </c>
      <c r="H739">
        <v>9</v>
      </c>
      <c r="I739" t="s">
        <v>2853</v>
      </c>
      <c r="J739" t="s">
        <v>2841</v>
      </c>
      <c r="K739" t="s">
        <v>2842</v>
      </c>
      <c r="L739" t="s">
        <v>2856</v>
      </c>
      <c r="M739" t="s">
        <v>2839</v>
      </c>
      <c r="N739" t="s">
        <v>2857</v>
      </c>
    </row>
    <row r="740" spans="1:14">
      <c r="A740">
        <v>570</v>
      </c>
      <c r="B740">
        <v>0</v>
      </c>
      <c r="C740">
        <v>570</v>
      </c>
      <c r="D740">
        <v>421.79999999999995</v>
      </c>
      <c r="E740">
        <v>148.20000000000005</v>
      </c>
      <c r="F740" s="12">
        <v>0.26000000000000006</v>
      </c>
      <c r="G740">
        <v>2025</v>
      </c>
      <c r="H740">
        <v>6</v>
      </c>
      <c r="I740" t="s">
        <v>2864</v>
      </c>
      <c r="J740" t="s">
        <v>2846</v>
      </c>
      <c r="K740" t="s">
        <v>2860</v>
      </c>
      <c r="L740" t="s">
        <v>2848</v>
      </c>
      <c r="M740" t="s">
        <v>2838</v>
      </c>
      <c r="N740" t="s">
        <v>2849</v>
      </c>
    </row>
    <row r="741" spans="1:14">
      <c r="A741">
        <v>190</v>
      </c>
      <c r="B741">
        <v>3.8000000000000003</v>
      </c>
      <c r="C741">
        <v>186.2</v>
      </c>
      <c r="D741">
        <v>140.6</v>
      </c>
      <c r="E741">
        <v>45.599999999999994</v>
      </c>
      <c r="F741" s="12">
        <v>0.24489795918367346</v>
      </c>
      <c r="G741">
        <v>2025</v>
      </c>
      <c r="H741">
        <v>6</v>
      </c>
      <c r="I741" t="s">
        <v>2864</v>
      </c>
      <c r="J741" t="s">
        <v>2846</v>
      </c>
      <c r="K741" t="s">
        <v>2847</v>
      </c>
      <c r="L741" t="s">
        <v>2848</v>
      </c>
      <c r="M741" t="s">
        <v>2838</v>
      </c>
      <c r="N741" t="s">
        <v>2844</v>
      </c>
    </row>
    <row r="742" spans="1:14">
      <c r="A742">
        <v>290</v>
      </c>
      <c r="B742">
        <v>23.2</v>
      </c>
      <c r="C742">
        <v>266.8</v>
      </c>
      <c r="D742">
        <v>194.3</v>
      </c>
      <c r="E742">
        <v>72.5</v>
      </c>
      <c r="F742" s="12">
        <v>0.27173913043478259</v>
      </c>
      <c r="G742">
        <v>2025</v>
      </c>
      <c r="H742">
        <v>12</v>
      </c>
      <c r="I742" t="s">
        <v>2858</v>
      </c>
      <c r="J742" t="s">
        <v>2855</v>
      </c>
      <c r="K742" t="s">
        <v>2842</v>
      </c>
      <c r="L742" t="s">
        <v>2843</v>
      </c>
      <c r="M742" t="s">
        <v>2837</v>
      </c>
      <c r="N742" t="s">
        <v>2844</v>
      </c>
    </row>
    <row r="743" spans="1:14">
      <c r="A743">
        <v>145</v>
      </c>
      <c r="B743">
        <v>11.6</v>
      </c>
      <c r="C743">
        <v>133.4</v>
      </c>
      <c r="D743">
        <v>97.15</v>
      </c>
      <c r="E743">
        <v>36.25</v>
      </c>
      <c r="F743" s="12">
        <v>0.27173913043478259</v>
      </c>
      <c r="G743">
        <v>2025</v>
      </c>
      <c r="H743">
        <v>9</v>
      </c>
      <c r="I743" t="s">
        <v>2853</v>
      </c>
      <c r="J743" t="s">
        <v>2841</v>
      </c>
      <c r="K743" t="s">
        <v>2860</v>
      </c>
      <c r="L743" t="s">
        <v>2848</v>
      </c>
      <c r="M743" t="s">
        <v>2838</v>
      </c>
      <c r="N743" t="s">
        <v>2844</v>
      </c>
    </row>
    <row r="744" spans="1:14">
      <c r="A744">
        <v>960</v>
      </c>
      <c r="B744">
        <v>0</v>
      </c>
      <c r="C744">
        <v>960</v>
      </c>
      <c r="D744">
        <v>710.4</v>
      </c>
      <c r="E744">
        <v>249.60000000000002</v>
      </c>
      <c r="F744" s="12">
        <v>0.26</v>
      </c>
      <c r="G744">
        <v>2025</v>
      </c>
      <c r="H744">
        <v>11</v>
      </c>
      <c r="I744" t="s">
        <v>2862</v>
      </c>
      <c r="J744" t="s">
        <v>2855</v>
      </c>
      <c r="K744" t="s">
        <v>2860</v>
      </c>
      <c r="L744" t="s">
        <v>2843</v>
      </c>
      <c r="M744" t="s">
        <v>2837</v>
      </c>
      <c r="N744" t="s">
        <v>2849</v>
      </c>
    </row>
    <row r="745" spans="1:14">
      <c r="A745">
        <v>48</v>
      </c>
      <c r="B745">
        <v>0</v>
      </c>
      <c r="C745">
        <v>48</v>
      </c>
      <c r="D745">
        <v>37.44</v>
      </c>
      <c r="E745">
        <v>10.560000000000002</v>
      </c>
      <c r="F745" s="12">
        <v>0.22000000000000006</v>
      </c>
      <c r="G745">
        <v>2025</v>
      </c>
      <c r="H745">
        <v>3</v>
      </c>
      <c r="I745" t="s">
        <v>2859</v>
      </c>
      <c r="J745" t="s">
        <v>2851</v>
      </c>
      <c r="K745" t="s">
        <v>2860</v>
      </c>
      <c r="L745" t="s">
        <v>2848</v>
      </c>
      <c r="M745" t="s">
        <v>2839</v>
      </c>
      <c r="N745" t="s">
        <v>2844</v>
      </c>
    </row>
    <row r="746" spans="1:14">
      <c r="A746">
        <v>440</v>
      </c>
      <c r="B746">
        <v>0</v>
      </c>
      <c r="C746">
        <v>440</v>
      </c>
      <c r="D746">
        <v>290.39999999999998</v>
      </c>
      <c r="E746">
        <v>149.60000000000002</v>
      </c>
      <c r="F746" s="12">
        <v>0.34</v>
      </c>
      <c r="G746">
        <v>2025</v>
      </c>
      <c r="H746">
        <v>4</v>
      </c>
      <c r="I746" t="s">
        <v>2865</v>
      </c>
      <c r="J746" t="s">
        <v>2846</v>
      </c>
      <c r="K746" t="s">
        <v>2860</v>
      </c>
      <c r="L746" t="s">
        <v>2843</v>
      </c>
      <c r="M746" t="s">
        <v>2837</v>
      </c>
      <c r="N746" t="s">
        <v>2844</v>
      </c>
    </row>
    <row r="747" spans="1:14">
      <c r="A747">
        <v>1300</v>
      </c>
      <c r="B747">
        <v>104</v>
      </c>
      <c r="C747">
        <v>1196</v>
      </c>
      <c r="D747">
        <v>949</v>
      </c>
      <c r="E747">
        <v>247</v>
      </c>
      <c r="F747" s="12">
        <v>0.20652173913043478</v>
      </c>
      <c r="G747">
        <v>2025</v>
      </c>
      <c r="H747">
        <v>1</v>
      </c>
      <c r="I747" t="s">
        <v>2850</v>
      </c>
      <c r="J747" t="s">
        <v>2851</v>
      </c>
      <c r="K747" t="s">
        <v>2852</v>
      </c>
      <c r="L747" t="s">
        <v>2848</v>
      </c>
      <c r="M747" t="s">
        <v>2838</v>
      </c>
      <c r="N747" t="s">
        <v>2857</v>
      </c>
    </row>
    <row r="748" spans="1:14">
      <c r="A748">
        <v>65</v>
      </c>
      <c r="B748">
        <v>0</v>
      </c>
      <c r="C748">
        <v>65</v>
      </c>
      <c r="D748">
        <v>47.45</v>
      </c>
      <c r="E748">
        <v>17.549999999999997</v>
      </c>
      <c r="F748" s="12">
        <v>0.26999999999999996</v>
      </c>
      <c r="G748">
        <v>2025</v>
      </c>
      <c r="H748">
        <v>3</v>
      </c>
      <c r="I748" t="s">
        <v>2859</v>
      </c>
      <c r="J748" t="s">
        <v>2851</v>
      </c>
      <c r="K748" t="s">
        <v>2842</v>
      </c>
      <c r="L748" t="s">
        <v>2843</v>
      </c>
      <c r="M748" t="s">
        <v>2837</v>
      </c>
      <c r="N748" t="s">
        <v>2844</v>
      </c>
    </row>
    <row r="749" spans="1:14">
      <c r="A749">
        <v>1050</v>
      </c>
      <c r="B749">
        <v>0</v>
      </c>
      <c r="C749">
        <v>1050</v>
      </c>
      <c r="D749">
        <v>640.5</v>
      </c>
      <c r="E749">
        <v>409.5</v>
      </c>
      <c r="F749" s="12">
        <v>0.39</v>
      </c>
      <c r="G749">
        <v>2025</v>
      </c>
      <c r="H749">
        <v>2</v>
      </c>
      <c r="I749" t="s">
        <v>2861</v>
      </c>
      <c r="J749" t="s">
        <v>2851</v>
      </c>
      <c r="K749" t="s">
        <v>2860</v>
      </c>
      <c r="L749" t="s">
        <v>2848</v>
      </c>
      <c r="M749" t="s">
        <v>2838</v>
      </c>
      <c r="N749" t="s">
        <v>2857</v>
      </c>
    </row>
    <row r="750" spans="1:14">
      <c r="A750">
        <v>435</v>
      </c>
      <c r="B750">
        <v>0</v>
      </c>
      <c r="C750">
        <v>435</v>
      </c>
      <c r="D750">
        <v>291.45000000000005</v>
      </c>
      <c r="E750">
        <v>143.54999999999995</v>
      </c>
      <c r="F750" s="12">
        <v>0.3299999999999999</v>
      </c>
      <c r="G750">
        <v>2025</v>
      </c>
      <c r="H750">
        <v>12</v>
      </c>
      <c r="I750" t="s">
        <v>2858</v>
      </c>
      <c r="J750" t="s">
        <v>2855</v>
      </c>
      <c r="K750" t="s">
        <v>2847</v>
      </c>
      <c r="L750" t="s">
        <v>2856</v>
      </c>
      <c r="M750" t="s">
        <v>2838</v>
      </c>
      <c r="N750" t="s">
        <v>2844</v>
      </c>
    </row>
    <row r="751" spans="1:14">
      <c r="A751">
        <v>105</v>
      </c>
      <c r="B751">
        <v>10.5</v>
      </c>
      <c r="C751">
        <v>94.5</v>
      </c>
      <c r="D751">
        <v>72.449999999999989</v>
      </c>
      <c r="E751">
        <v>22.050000000000011</v>
      </c>
      <c r="F751" s="12">
        <v>0.23333333333333345</v>
      </c>
      <c r="G751">
        <v>2025</v>
      </c>
      <c r="H751">
        <v>10</v>
      </c>
      <c r="I751" t="s">
        <v>2854</v>
      </c>
      <c r="J751" t="s">
        <v>2855</v>
      </c>
      <c r="K751" t="s">
        <v>2847</v>
      </c>
      <c r="L751" t="s">
        <v>2856</v>
      </c>
      <c r="M751" t="s">
        <v>2837</v>
      </c>
      <c r="N751" t="s">
        <v>2844</v>
      </c>
    </row>
    <row r="752" spans="1:14">
      <c r="A752">
        <v>1450</v>
      </c>
      <c r="B752">
        <v>0</v>
      </c>
      <c r="C752">
        <v>1450</v>
      </c>
      <c r="D752">
        <v>971.5</v>
      </c>
      <c r="E752">
        <v>478.5</v>
      </c>
      <c r="F752" s="12">
        <v>0.33</v>
      </c>
      <c r="G752">
        <v>2025</v>
      </c>
      <c r="H752">
        <v>1</v>
      </c>
      <c r="I752" t="s">
        <v>2850</v>
      </c>
      <c r="J752" t="s">
        <v>2851</v>
      </c>
      <c r="K752" t="s">
        <v>2842</v>
      </c>
      <c r="L752" t="s">
        <v>2843</v>
      </c>
      <c r="M752" t="s">
        <v>2837</v>
      </c>
      <c r="N752" t="s">
        <v>2857</v>
      </c>
    </row>
    <row r="753" spans="1:14">
      <c r="A753">
        <v>520</v>
      </c>
      <c r="B753">
        <v>10.4</v>
      </c>
      <c r="C753">
        <v>509.6</v>
      </c>
      <c r="D753">
        <v>348.4</v>
      </c>
      <c r="E753">
        <v>161.20000000000005</v>
      </c>
      <c r="F753" s="12">
        <v>0.31632653061224497</v>
      </c>
      <c r="G753">
        <v>2025</v>
      </c>
      <c r="H753">
        <v>7</v>
      </c>
      <c r="I753" t="s">
        <v>2840</v>
      </c>
      <c r="J753" t="s">
        <v>2841</v>
      </c>
      <c r="K753" t="s">
        <v>2847</v>
      </c>
      <c r="L753" t="s">
        <v>2843</v>
      </c>
      <c r="M753" t="s">
        <v>2837</v>
      </c>
      <c r="N753" t="s">
        <v>2849</v>
      </c>
    </row>
    <row r="754" spans="1:14">
      <c r="A754">
        <v>66</v>
      </c>
      <c r="B754">
        <v>1.32</v>
      </c>
      <c r="C754">
        <v>64.680000000000007</v>
      </c>
      <c r="D754">
        <v>44.88</v>
      </c>
      <c r="E754">
        <v>19.800000000000004</v>
      </c>
      <c r="F754" s="12">
        <v>0.30612244897959184</v>
      </c>
      <c r="G754">
        <v>2025</v>
      </c>
      <c r="H754">
        <v>5</v>
      </c>
      <c r="I754" t="s">
        <v>2845</v>
      </c>
      <c r="J754" t="s">
        <v>2846</v>
      </c>
      <c r="K754" t="s">
        <v>2852</v>
      </c>
      <c r="L754" t="s">
        <v>2843</v>
      </c>
      <c r="M754" t="s">
        <v>2839</v>
      </c>
      <c r="N754" t="s">
        <v>2844</v>
      </c>
    </row>
    <row r="755" spans="1:14">
      <c r="A755">
        <v>1040</v>
      </c>
      <c r="B755">
        <v>0</v>
      </c>
      <c r="C755">
        <v>1040</v>
      </c>
      <c r="D755">
        <v>696.8</v>
      </c>
      <c r="E755">
        <v>343.20000000000005</v>
      </c>
      <c r="F755" s="12">
        <v>0.33000000000000007</v>
      </c>
      <c r="G755">
        <v>2025</v>
      </c>
      <c r="H755">
        <v>12</v>
      </c>
      <c r="I755" t="s">
        <v>2858</v>
      </c>
      <c r="J755" t="s">
        <v>2855</v>
      </c>
      <c r="K755" t="s">
        <v>2847</v>
      </c>
      <c r="L755" t="s">
        <v>2843</v>
      </c>
      <c r="M755" t="s">
        <v>2837</v>
      </c>
      <c r="N755" t="s">
        <v>2857</v>
      </c>
    </row>
    <row r="756" spans="1:14">
      <c r="A756">
        <v>120</v>
      </c>
      <c r="B756">
        <v>9.6</v>
      </c>
      <c r="C756">
        <v>110.4</v>
      </c>
      <c r="D756">
        <v>73.2</v>
      </c>
      <c r="E756">
        <v>37.200000000000003</v>
      </c>
      <c r="F756" s="12">
        <v>0.33695652173913043</v>
      </c>
      <c r="G756">
        <v>2025</v>
      </c>
      <c r="H756">
        <v>5</v>
      </c>
      <c r="I756" t="s">
        <v>2845</v>
      </c>
      <c r="J756" t="s">
        <v>2846</v>
      </c>
      <c r="K756" t="s">
        <v>2852</v>
      </c>
      <c r="L756" t="s">
        <v>2848</v>
      </c>
      <c r="M756" t="s">
        <v>2838</v>
      </c>
      <c r="N756" t="s">
        <v>2844</v>
      </c>
    </row>
    <row r="757" spans="1:14">
      <c r="A757">
        <v>480</v>
      </c>
      <c r="B757">
        <v>9.6</v>
      </c>
      <c r="C757">
        <v>470.4</v>
      </c>
      <c r="D757">
        <v>355.2</v>
      </c>
      <c r="E757">
        <v>115.19999999999999</v>
      </c>
      <c r="F757" s="12">
        <v>0.24489795918367346</v>
      </c>
      <c r="G757">
        <v>2025</v>
      </c>
      <c r="H757">
        <v>9</v>
      </c>
      <c r="I757" t="s">
        <v>2853</v>
      </c>
      <c r="J757" t="s">
        <v>2841</v>
      </c>
      <c r="K757" t="s">
        <v>2847</v>
      </c>
      <c r="L757" t="s">
        <v>2848</v>
      </c>
      <c r="M757" t="s">
        <v>2839</v>
      </c>
      <c r="N757" t="s">
        <v>2844</v>
      </c>
    </row>
    <row r="758" spans="1:14">
      <c r="A758">
        <v>780</v>
      </c>
      <c r="B758">
        <v>0</v>
      </c>
      <c r="C758">
        <v>780</v>
      </c>
      <c r="D758">
        <v>569.40000000000009</v>
      </c>
      <c r="E758">
        <v>210.59999999999991</v>
      </c>
      <c r="F758" s="12">
        <v>0.26999999999999991</v>
      </c>
      <c r="G758">
        <v>2025</v>
      </c>
      <c r="H758">
        <v>12</v>
      </c>
      <c r="I758" t="s">
        <v>2858</v>
      </c>
      <c r="J758" t="s">
        <v>2855</v>
      </c>
      <c r="K758" t="s">
        <v>2852</v>
      </c>
      <c r="L758" t="s">
        <v>2856</v>
      </c>
      <c r="M758" t="s">
        <v>2837</v>
      </c>
      <c r="N758" t="s">
        <v>2849</v>
      </c>
    </row>
    <row r="759" spans="1:14">
      <c r="A759">
        <v>720</v>
      </c>
      <c r="B759">
        <v>0</v>
      </c>
      <c r="C759">
        <v>720</v>
      </c>
      <c r="D759">
        <v>518.4</v>
      </c>
      <c r="E759">
        <v>201.60000000000002</v>
      </c>
      <c r="F759" s="12">
        <v>0.28000000000000003</v>
      </c>
      <c r="G759">
        <v>2025</v>
      </c>
      <c r="H759">
        <v>5</v>
      </c>
      <c r="I759" t="s">
        <v>2845</v>
      </c>
      <c r="J759" t="s">
        <v>2846</v>
      </c>
      <c r="K759" t="s">
        <v>2852</v>
      </c>
      <c r="L759" t="s">
        <v>2843</v>
      </c>
      <c r="M759" t="s">
        <v>2837</v>
      </c>
      <c r="N759" t="s">
        <v>2849</v>
      </c>
    </row>
    <row r="760" spans="1:14">
      <c r="A760">
        <v>120</v>
      </c>
      <c r="B760">
        <v>9.6</v>
      </c>
      <c r="C760">
        <v>110.4</v>
      </c>
      <c r="D760">
        <v>73.2</v>
      </c>
      <c r="E760">
        <v>37.200000000000003</v>
      </c>
      <c r="F760" s="12">
        <v>0.33695652173913043</v>
      </c>
      <c r="G760">
        <v>2025</v>
      </c>
      <c r="H760">
        <v>12</v>
      </c>
      <c r="I760" t="s">
        <v>2858</v>
      </c>
      <c r="J760" t="s">
        <v>2855</v>
      </c>
      <c r="K760" t="s">
        <v>2847</v>
      </c>
      <c r="L760" t="s">
        <v>2843</v>
      </c>
      <c r="M760" t="s">
        <v>2837</v>
      </c>
      <c r="N760" t="s">
        <v>2844</v>
      </c>
    </row>
    <row r="761" spans="1:14">
      <c r="A761">
        <v>360</v>
      </c>
      <c r="B761">
        <v>7.2</v>
      </c>
      <c r="C761">
        <v>352.8</v>
      </c>
      <c r="D761">
        <v>259.2</v>
      </c>
      <c r="E761">
        <v>93.600000000000023</v>
      </c>
      <c r="F761" s="12">
        <v>0.26530612244897966</v>
      </c>
      <c r="G761">
        <v>2025</v>
      </c>
      <c r="H761">
        <v>9</v>
      </c>
      <c r="I761" t="s">
        <v>2853</v>
      </c>
      <c r="J761" t="s">
        <v>2841</v>
      </c>
      <c r="K761" t="s">
        <v>2842</v>
      </c>
      <c r="L761" t="s">
        <v>2848</v>
      </c>
      <c r="M761" t="s">
        <v>2838</v>
      </c>
      <c r="N761" t="s">
        <v>2844</v>
      </c>
    </row>
    <row r="762" spans="1:14">
      <c r="A762">
        <v>1080</v>
      </c>
      <c r="B762">
        <v>0</v>
      </c>
      <c r="C762">
        <v>1080</v>
      </c>
      <c r="D762">
        <v>777.59999999999991</v>
      </c>
      <c r="E762">
        <v>302.40000000000009</v>
      </c>
      <c r="F762" s="12">
        <v>0.28000000000000008</v>
      </c>
      <c r="G762">
        <v>2025</v>
      </c>
      <c r="H762">
        <v>7</v>
      </c>
      <c r="I762" t="s">
        <v>2840</v>
      </c>
      <c r="J762" t="s">
        <v>2841</v>
      </c>
      <c r="K762" t="s">
        <v>2852</v>
      </c>
      <c r="L762" t="s">
        <v>2843</v>
      </c>
      <c r="M762" t="s">
        <v>2839</v>
      </c>
      <c r="N762" t="s">
        <v>2857</v>
      </c>
    </row>
    <row r="763" spans="1:14">
      <c r="A763">
        <v>145</v>
      </c>
      <c r="B763">
        <v>0</v>
      </c>
      <c r="C763">
        <v>145</v>
      </c>
      <c r="D763">
        <v>97.15</v>
      </c>
      <c r="E763">
        <v>47.849999999999994</v>
      </c>
      <c r="F763" s="12">
        <v>0.32999999999999996</v>
      </c>
      <c r="G763">
        <v>2025</v>
      </c>
      <c r="H763">
        <v>7</v>
      </c>
      <c r="I763" t="s">
        <v>2840</v>
      </c>
      <c r="J763" t="s">
        <v>2841</v>
      </c>
      <c r="K763" t="s">
        <v>2852</v>
      </c>
      <c r="L763" t="s">
        <v>2856</v>
      </c>
      <c r="M763" t="s">
        <v>2839</v>
      </c>
      <c r="N763" t="s">
        <v>2844</v>
      </c>
    </row>
    <row r="764" spans="1:14">
      <c r="A764">
        <v>780</v>
      </c>
      <c r="B764">
        <v>0</v>
      </c>
      <c r="C764">
        <v>780</v>
      </c>
      <c r="D764">
        <v>468</v>
      </c>
      <c r="E764">
        <v>312</v>
      </c>
      <c r="F764" s="12">
        <v>0.4</v>
      </c>
      <c r="G764">
        <v>2025</v>
      </c>
      <c r="H764">
        <v>5</v>
      </c>
      <c r="I764" t="s">
        <v>2845</v>
      </c>
      <c r="J764" t="s">
        <v>2846</v>
      </c>
      <c r="K764" t="s">
        <v>2842</v>
      </c>
      <c r="L764" t="s">
        <v>2848</v>
      </c>
      <c r="M764" t="s">
        <v>2838</v>
      </c>
      <c r="N764" t="s">
        <v>2849</v>
      </c>
    </row>
    <row r="765" spans="1:14">
      <c r="A765">
        <v>65</v>
      </c>
      <c r="B765">
        <v>0</v>
      </c>
      <c r="C765">
        <v>65</v>
      </c>
      <c r="D765">
        <v>47.45</v>
      </c>
      <c r="E765">
        <v>17.549999999999997</v>
      </c>
      <c r="F765" s="12">
        <v>0.26999999999999996</v>
      </c>
      <c r="G765">
        <v>2025</v>
      </c>
      <c r="H765">
        <v>4</v>
      </c>
      <c r="I765" t="s">
        <v>2865</v>
      </c>
      <c r="J765" t="s">
        <v>2846</v>
      </c>
      <c r="K765" t="s">
        <v>2852</v>
      </c>
      <c r="L765" t="s">
        <v>2843</v>
      </c>
      <c r="M765" t="s">
        <v>2837</v>
      </c>
      <c r="N765" t="s">
        <v>2844</v>
      </c>
    </row>
    <row r="766" spans="1:14">
      <c r="A766">
        <v>3120</v>
      </c>
      <c r="B766">
        <v>312</v>
      </c>
      <c r="C766">
        <v>2808</v>
      </c>
      <c r="D766">
        <v>1872</v>
      </c>
      <c r="E766">
        <v>936</v>
      </c>
      <c r="F766" s="12">
        <v>0.33333333333333331</v>
      </c>
      <c r="G766">
        <v>2025</v>
      </c>
      <c r="H766">
        <v>12</v>
      </c>
      <c r="I766" t="s">
        <v>2858</v>
      </c>
      <c r="J766" t="s">
        <v>2855</v>
      </c>
      <c r="K766" t="s">
        <v>2860</v>
      </c>
      <c r="L766" t="s">
        <v>2856</v>
      </c>
      <c r="M766" t="s">
        <v>2839</v>
      </c>
      <c r="N766" t="s">
        <v>2857</v>
      </c>
    </row>
    <row r="767" spans="1:14">
      <c r="A767">
        <v>260</v>
      </c>
      <c r="B767">
        <v>0</v>
      </c>
      <c r="C767">
        <v>260</v>
      </c>
      <c r="D767">
        <v>189.8</v>
      </c>
      <c r="E767">
        <v>70.199999999999989</v>
      </c>
      <c r="F767" s="12">
        <v>0.26999999999999996</v>
      </c>
      <c r="G767">
        <v>2025</v>
      </c>
      <c r="H767">
        <v>1</v>
      </c>
      <c r="I767" t="s">
        <v>2850</v>
      </c>
      <c r="J767" t="s">
        <v>2851</v>
      </c>
      <c r="K767" t="s">
        <v>2860</v>
      </c>
      <c r="L767" t="s">
        <v>2856</v>
      </c>
      <c r="M767" t="s">
        <v>2839</v>
      </c>
      <c r="N767" t="s">
        <v>2844</v>
      </c>
    </row>
    <row r="768" spans="1:14">
      <c r="A768">
        <v>88</v>
      </c>
      <c r="B768">
        <v>4.4000000000000004</v>
      </c>
      <c r="C768">
        <v>83.6</v>
      </c>
      <c r="D768">
        <v>59.84</v>
      </c>
      <c r="E768">
        <v>23.759999999999991</v>
      </c>
      <c r="F768" s="12">
        <v>0.28421052631578936</v>
      </c>
      <c r="G768">
        <v>2025</v>
      </c>
      <c r="H768">
        <v>3</v>
      </c>
      <c r="I768" t="s">
        <v>2859</v>
      </c>
      <c r="J768" t="s">
        <v>2851</v>
      </c>
      <c r="K768" t="s">
        <v>2852</v>
      </c>
      <c r="L768" t="s">
        <v>2843</v>
      </c>
      <c r="M768" t="s">
        <v>2837</v>
      </c>
      <c r="N768" t="s">
        <v>2844</v>
      </c>
    </row>
    <row r="769" spans="1:14">
      <c r="A769">
        <v>350</v>
      </c>
      <c r="B769">
        <v>0</v>
      </c>
      <c r="C769">
        <v>350</v>
      </c>
      <c r="D769">
        <v>213.5</v>
      </c>
      <c r="E769">
        <v>136.5</v>
      </c>
      <c r="F769" s="12">
        <v>0.39</v>
      </c>
      <c r="G769">
        <v>2025</v>
      </c>
      <c r="H769">
        <v>3</v>
      </c>
      <c r="I769" t="s">
        <v>2859</v>
      </c>
      <c r="J769" t="s">
        <v>2851</v>
      </c>
      <c r="K769" t="s">
        <v>2852</v>
      </c>
      <c r="L769" t="s">
        <v>2848</v>
      </c>
      <c r="M769" t="s">
        <v>2838</v>
      </c>
      <c r="N769" t="s">
        <v>2844</v>
      </c>
    </row>
    <row r="770" spans="1:14">
      <c r="A770">
        <v>22</v>
      </c>
      <c r="B770">
        <v>0</v>
      </c>
      <c r="C770">
        <v>22</v>
      </c>
      <c r="D770">
        <v>14.96</v>
      </c>
      <c r="E770">
        <v>7.0399999999999991</v>
      </c>
      <c r="F770" s="12">
        <v>0.31999999999999995</v>
      </c>
      <c r="G770">
        <v>2025</v>
      </c>
      <c r="H770">
        <v>8</v>
      </c>
      <c r="I770" t="s">
        <v>2863</v>
      </c>
      <c r="J770" t="s">
        <v>2841</v>
      </c>
      <c r="K770" t="s">
        <v>2847</v>
      </c>
      <c r="L770" t="s">
        <v>2843</v>
      </c>
      <c r="M770" t="s">
        <v>2837</v>
      </c>
      <c r="N770" t="s">
        <v>2844</v>
      </c>
    </row>
    <row r="771" spans="1:14">
      <c r="A771">
        <v>1560</v>
      </c>
      <c r="B771">
        <v>78</v>
      </c>
      <c r="C771">
        <v>1482</v>
      </c>
      <c r="D771">
        <v>936</v>
      </c>
      <c r="E771">
        <v>546</v>
      </c>
      <c r="F771" s="12">
        <v>0.36842105263157893</v>
      </c>
      <c r="G771">
        <v>2025</v>
      </c>
      <c r="H771">
        <v>1</v>
      </c>
      <c r="I771" t="s">
        <v>2850</v>
      </c>
      <c r="J771" t="s">
        <v>2851</v>
      </c>
      <c r="K771" t="s">
        <v>2852</v>
      </c>
      <c r="L771" t="s">
        <v>2856</v>
      </c>
      <c r="M771" t="s">
        <v>2837</v>
      </c>
      <c r="N771" t="s">
        <v>2857</v>
      </c>
    </row>
    <row r="772" spans="1:14">
      <c r="A772">
        <v>1100</v>
      </c>
      <c r="B772">
        <v>0</v>
      </c>
      <c r="C772">
        <v>1100</v>
      </c>
      <c r="D772">
        <v>726</v>
      </c>
      <c r="E772">
        <v>374</v>
      </c>
      <c r="F772" s="12">
        <v>0.34</v>
      </c>
      <c r="G772">
        <v>2025</v>
      </c>
      <c r="H772">
        <v>11</v>
      </c>
      <c r="I772" t="s">
        <v>2862</v>
      </c>
      <c r="J772" t="s">
        <v>2855</v>
      </c>
      <c r="K772" t="s">
        <v>2860</v>
      </c>
      <c r="L772" t="s">
        <v>2856</v>
      </c>
      <c r="M772" t="s">
        <v>2839</v>
      </c>
      <c r="N772" t="s">
        <v>2857</v>
      </c>
    </row>
    <row r="773" spans="1:14">
      <c r="A773">
        <v>65</v>
      </c>
      <c r="B773">
        <v>0</v>
      </c>
      <c r="C773">
        <v>65</v>
      </c>
      <c r="D773">
        <v>47.45</v>
      </c>
      <c r="E773">
        <v>17.549999999999997</v>
      </c>
      <c r="F773" s="12">
        <v>0.26999999999999996</v>
      </c>
      <c r="G773">
        <v>2025</v>
      </c>
      <c r="H773">
        <v>9</v>
      </c>
      <c r="I773" t="s">
        <v>2853</v>
      </c>
      <c r="J773" t="s">
        <v>2841</v>
      </c>
      <c r="K773" t="s">
        <v>2852</v>
      </c>
      <c r="L773" t="s">
        <v>2848</v>
      </c>
      <c r="M773" t="s">
        <v>2838</v>
      </c>
      <c r="N773" t="s">
        <v>2844</v>
      </c>
    </row>
    <row r="774" spans="1:14">
      <c r="A774">
        <v>190</v>
      </c>
      <c r="B774">
        <v>0</v>
      </c>
      <c r="C774">
        <v>190</v>
      </c>
      <c r="D774">
        <v>140.6</v>
      </c>
      <c r="E774">
        <v>49.400000000000006</v>
      </c>
      <c r="F774" s="12">
        <v>0.26</v>
      </c>
      <c r="G774">
        <v>2025</v>
      </c>
      <c r="H774">
        <v>7</v>
      </c>
      <c r="I774" t="s">
        <v>2840</v>
      </c>
      <c r="J774" t="s">
        <v>2841</v>
      </c>
      <c r="K774" t="s">
        <v>2852</v>
      </c>
      <c r="L774" t="s">
        <v>2843</v>
      </c>
      <c r="M774" t="s">
        <v>2837</v>
      </c>
      <c r="N774" t="s">
        <v>2844</v>
      </c>
    </row>
    <row r="775" spans="1:14">
      <c r="A775">
        <v>580</v>
      </c>
      <c r="B775">
        <v>58</v>
      </c>
      <c r="C775">
        <v>522</v>
      </c>
      <c r="D775">
        <v>388.6</v>
      </c>
      <c r="E775">
        <v>133.39999999999998</v>
      </c>
      <c r="F775" s="12">
        <v>0.25555555555555554</v>
      </c>
      <c r="G775">
        <v>2025</v>
      </c>
      <c r="H775">
        <v>8</v>
      </c>
      <c r="I775" t="s">
        <v>2863</v>
      </c>
      <c r="J775" t="s">
        <v>2841</v>
      </c>
      <c r="K775" t="s">
        <v>2852</v>
      </c>
      <c r="L775" t="s">
        <v>2856</v>
      </c>
      <c r="M775" t="s">
        <v>2837</v>
      </c>
      <c r="N775" t="s">
        <v>2849</v>
      </c>
    </row>
    <row r="776" spans="1:14">
      <c r="A776">
        <v>95</v>
      </c>
      <c r="B776">
        <v>0</v>
      </c>
      <c r="C776">
        <v>95</v>
      </c>
      <c r="D776">
        <v>70.3</v>
      </c>
      <c r="E776">
        <v>24.700000000000003</v>
      </c>
      <c r="F776" s="12">
        <v>0.26</v>
      </c>
      <c r="G776">
        <v>2025</v>
      </c>
      <c r="H776">
        <v>3</v>
      </c>
      <c r="I776" t="s">
        <v>2859</v>
      </c>
      <c r="J776" t="s">
        <v>2851</v>
      </c>
      <c r="K776" t="s">
        <v>2842</v>
      </c>
      <c r="L776" t="s">
        <v>2843</v>
      </c>
      <c r="M776" t="s">
        <v>2837</v>
      </c>
      <c r="N776" t="s">
        <v>2844</v>
      </c>
    </row>
    <row r="777" spans="1:14">
      <c r="A777">
        <v>96</v>
      </c>
      <c r="B777">
        <v>1.92</v>
      </c>
      <c r="C777">
        <v>94.08</v>
      </c>
      <c r="D777">
        <v>74.88</v>
      </c>
      <c r="E777">
        <v>19.200000000000003</v>
      </c>
      <c r="F777" s="12">
        <v>0.20408163265306126</v>
      </c>
      <c r="G777">
        <v>2025</v>
      </c>
      <c r="H777">
        <v>4</v>
      </c>
      <c r="I777" t="s">
        <v>2865</v>
      </c>
      <c r="J777" t="s">
        <v>2846</v>
      </c>
      <c r="K777" t="s">
        <v>2847</v>
      </c>
      <c r="L777" t="s">
        <v>2848</v>
      </c>
      <c r="M777" t="s">
        <v>2838</v>
      </c>
      <c r="N777" t="s">
        <v>2844</v>
      </c>
    </row>
    <row r="778" spans="1:14">
      <c r="A778">
        <v>1040</v>
      </c>
      <c r="B778">
        <v>20.8</v>
      </c>
      <c r="C778">
        <v>1019.2</v>
      </c>
      <c r="D778">
        <v>696.8</v>
      </c>
      <c r="E778">
        <v>322.40000000000009</v>
      </c>
      <c r="F778" s="12">
        <v>0.31632653061224497</v>
      </c>
      <c r="G778">
        <v>2025</v>
      </c>
      <c r="H778">
        <v>1</v>
      </c>
      <c r="I778" t="s">
        <v>2850</v>
      </c>
      <c r="J778" t="s">
        <v>2851</v>
      </c>
      <c r="K778" t="s">
        <v>2842</v>
      </c>
      <c r="L778" t="s">
        <v>2856</v>
      </c>
      <c r="M778" t="s">
        <v>2839</v>
      </c>
      <c r="N778" t="s">
        <v>2857</v>
      </c>
    </row>
    <row r="779" spans="1:14">
      <c r="A779">
        <v>180</v>
      </c>
      <c r="B779">
        <v>18</v>
      </c>
      <c r="C779">
        <v>162</v>
      </c>
      <c r="D779">
        <v>129.6</v>
      </c>
      <c r="E779">
        <v>32.400000000000006</v>
      </c>
      <c r="F779" s="12">
        <v>0.20000000000000004</v>
      </c>
      <c r="G779">
        <v>2025</v>
      </c>
      <c r="H779">
        <v>9</v>
      </c>
      <c r="I779" t="s">
        <v>2853</v>
      </c>
      <c r="J779" t="s">
        <v>2841</v>
      </c>
      <c r="K779" t="s">
        <v>2842</v>
      </c>
      <c r="L779" t="s">
        <v>2848</v>
      </c>
      <c r="M779" t="s">
        <v>2838</v>
      </c>
      <c r="N779" t="s">
        <v>2844</v>
      </c>
    </row>
    <row r="780" spans="1:14">
      <c r="A780">
        <v>145</v>
      </c>
      <c r="B780">
        <v>0</v>
      </c>
      <c r="C780">
        <v>145</v>
      </c>
      <c r="D780">
        <v>97.15</v>
      </c>
      <c r="E780">
        <v>47.849999999999994</v>
      </c>
      <c r="F780" s="12">
        <v>0.32999999999999996</v>
      </c>
      <c r="G780">
        <v>2025</v>
      </c>
      <c r="H780">
        <v>9</v>
      </c>
      <c r="I780" t="s">
        <v>2853</v>
      </c>
      <c r="J780" t="s">
        <v>2841</v>
      </c>
      <c r="K780" t="s">
        <v>2847</v>
      </c>
      <c r="L780" t="s">
        <v>2866</v>
      </c>
      <c r="M780" t="s">
        <v>2838</v>
      </c>
      <c r="N780" t="s">
        <v>2844</v>
      </c>
    </row>
    <row r="781" spans="1:14">
      <c r="A781">
        <v>1050</v>
      </c>
      <c r="B781">
        <v>0</v>
      </c>
      <c r="C781">
        <v>1050</v>
      </c>
      <c r="D781">
        <v>640.5</v>
      </c>
      <c r="E781">
        <v>409.5</v>
      </c>
      <c r="F781" s="12">
        <v>0.39</v>
      </c>
      <c r="G781">
        <v>2025</v>
      </c>
      <c r="H781">
        <v>4</v>
      </c>
      <c r="I781" t="s">
        <v>2865</v>
      </c>
      <c r="J781" t="s">
        <v>2846</v>
      </c>
      <c r="K781" t="s">
        <v>2852</v>
      </c>
      <c r="L781" t="s">
        <v>2856</v>
      </c>
      <c r="M781" t="s">
        <v>2839</v>
      </c>
      <c r="N781" t="s">
        <v>2857</v>
      </c>
    </row>
    <row r="782" spans="1:14">
      <c r="A782">
        <v>96</v>
      </c>
      <c r="B782">
        <v>0</v>
      </c>
      <c r="C782">
        <v>96</v>
      </c>
      <c r="D782">
        <v>74.88</v>
      </c>
      <c r="E782">
        <v>21.120000000000005</v>
      </c>
      <c r="F782" s="12">
        <v>0.22000000000000006</v>
      </c>
      <c r="G782">
        <v>2025</v>
      </c>
      <c r="H782">
        <v>6</v>
      </c>
      <c r="I782" t="s">
        <v>2864</v>
      </c>
      <c r="J782" t="s">
        <v>2846</v>
      </c>
      <c r="K782" t="s">
        <v>2842</v>
      </c>
      <c r="L782" t="s">
        <v>2848</v>
      </c>
      <c r="M782" t="s">
        <v>2838</v>
      </c>
      <c r="N782" t="s">
        <v>2844</v>
      </c>
    </row>
    <row r="783" spans="1:14">
      <c r="A783">
        <v>440</v>
      </c>
      <c r="B783">
        <v>35.200000000000003</v>
      </c>
      <c r="C783">
        <v>404.8</v>
      </c>
      <c r="D783">
        <v>290.39999999999998</v>
      </c>
      <c r="E783">
        <v>114.40000000000003</v>
      </c>
      <c r="F783" s="12">
        <v>0.282608695652174</v>
      </c>
      <c r="G783">
        <v>2025</v>
      </c>
      <c r="H783">
        <v>8</v>
      </c>
      <c r="I783" t="s">
        <v>2863</v>
      </c>
      <c r="J783" t="s">
        <v>2841</v>
      </c>
      <c r="K783" t="s">
        <v>2842</v>
      </c>
      <c r="L783" t="s">
        <v>2843</v>
      </c>
      <c r="M783" t="s">
        <v>2837</v>
      </c>
      <c r="N783" t="s">
        <v>2844</v>
      </c>
    </row>
    <row r="784" spans="1:14">
      <c r="A784">
        <v>780</v>
      </c>
      <c r="B784">
        <v>0</v>
      </c>
      <c r="C784">
        <v>780</v>
      </c>
      <c r="D784">
        <v>468</v>
      </c>
      <c r="E784">
        <v>312</v>
      </c>
      <c r="F784" s="12">
        <v>0.4</v>
      </c>
      <c r="G784">
        <v>2025</v>
      </c>
      <c r="H784">
        <v>7</v>
      </c>
      <c r="I784" t="s">
        <v>2840</v>
      </c>
      <c r="J784" t="s">
        <v>2841</v>
      </c>
      <c r="K784" t="s">
        <v>2842</v>
      </c>
      <c r="L784" t="s">
        <v>2856</v>
      </c>
      <c r="M784" t="s">
        <v>2839</v>
      </c>
      <c r="N784" t="s">
        <v>2849</v>
      </c>
    </row>
    <row r="785" spans="1:14">
      <c r="A785">
        <v>290</v>
      </c>
      <c r="B785">
        <v>29</v>
      </c>
      <c r="C785">
        <v>261</v>
      </c>
      <c r="D785">
        <v>194.3</v>
      </c>
      <c r="E785">
        <v>66.699999999999989</v>
      </c>
      <c r="F785" s="12">
        <v>0.25555555555555554</v>
      </c>
      <c r="G785">
        <v>2025</v>
      </c>
      <c r="H785">
        <v>4</v>
      </c>
      <c r="I785" t="s">
        <v>2865</v>
      </c>
      <c r="J785" t="s">
        <v>2846</v>
      </c>
      <c r="K785" t="s">
        <v>2860</v>
      </c>
      <c r="L785" t="s">
        <v>2848</v>
      </c>
      <c r="M785" t="s">
        <v>2838</v>
      </c>
      <c r="N785" t="s">
        <v>2844</v>
      </c>
    </row>
    <row r="786" spans="1:14">
      <c r="A786">
        <v>725</v>
      </c>
      <c r="B786">
        <v>0</v>
      </c>
      <c r="C786">
        <v>725</v>
      </c>
      <c r="D786">
        <v>485.75</v>
      </c>
      <c r="E786">
        <v>239.25</v>
      </c>
      <c r="F786" s="12">
        <v>0.33</v>
      </c>
      <c r="G786">
        <v>2025</v>
      </c>
      <c r="H786">
        <v>3</v>
      </c>
      <c r="I786" t="s">
        <v>2859</v>
      </c>
      <c r="J786" t="s">
        <v>2851</v>
      </c>
      <c r="K786" t="s">
        <v>2852</v>
      </c>
      <c r="L786" t="s">
        <v>2843</v>
      </c>
      <c r="M786" t="s">
        <v>2837</v>
      </c>
      <c r="N786" t="s">
        <v>2849</v>
      </c>
    </row>
    <row r="787" spans="1:14">
      <c r="A787">
        <v>96</v>
      </c>
      <c r="B787">
        <v>0</v>
      </c>
      <c r="C787">
        <v>96</v>
      </c>
      <c r="D787">
        <v>74.88</v>
      </c>
      <c r="E787">
        <v>21.120000000000005</v>
      </c>
      <c r="F787" s="12">
        <v>0.22000000000000006</v>
      </c>
      <c r="G787">
        <v>2025</v>
      </c>
      <c r="H787">
        <v>12</v>
      </c>
      <c r="I787" t="s">
        <v>2858</v>
      </c>
      <c r="J787" t="s">
        <v>2855</v>
      </c>
      <c r="K787" t="s">
        <v>2852</v>
      </c>
      <c r="L787" t="s">
        <v>2843</v>
      </c>
      <c r="M787" t="s">
        <v>2837</v>
      </c>
      <c r="N787" t="s">
        <v>2844</v>
      </c>
    </row>
    <row r="788" spans="1:14">
      <c r="A788">
        <v>540</v>
      </c>
      <c r="B788">
        <v>54</v>
      </c>
      <c r="C788">
        <v>486</v>
      </c>
      <c r="D788">
        <v>388.79999999999995</v>
      </c>
      <c r="E788">
        <v>97.200000000000045</v>
      </c>
      <c r="F788" s="12">
        <v>0.20000000000000009</v>
      </c>
      <c r="G788">
        <v>2025</v>
      </c>
      <c r="H788">
        <v>10</v>
      </c>
      <c r="I788" t="s">
        <v>2854</v>
      </c>
      <c r="J788" t="s">
        <v>2855</v>
      </c>
      <c r="K788" t="s">
        <v>2852</v>
      </c>
      <c r="L788" t="s">
        <v>2856</v>
      </c>
      <c r="M788" t="s">
        <v>2839</v>
      </c>
      <c r="N788" t="s">
        <v>2844</v>
      </c>
    </row>
    <row r="789" spans="1:14">
      <c r="A789">
        <v>1040</v>
      </c>
      <c r="B789">
        <v>104</v>
      </c>
      <c r="C789">
        <v>936</v>
      </c>
      <c r="D789">
        <v>759.2</v>
      </c>
      <c r="E789">
        <v>176.79999999999995</v>
      </c>
      <c r="F789" s="12">
        <v>0.18888888888888883</v>
      </c>
      <c r="G789">
        <v>2025</v>
      </c>
      <c r="H789">
        <v>5</v>
      </c>
      <c r="I789" t="s">
        <v>2845</v>
      </c>
      <c r="J789" t="s">
        <v>2846</v>
      </c>
      <c r="K789" t="s">
        <v>2842</v>
      </c>
      <c r="L789" t="s">
        <v>2848</v>
      </c>
      <c r="M789" t="s">
        <v>2838</v>
      </c>
      <c r="N789" t="s">
        <v>2849</v>
      </c>
    </row>
    <row r="790" spans="1:14">
      <c r="A790">
        <v>350</v>
      </c>
      <c r="B790">
        <v>0</v>
      </c>
      <c r="C790">
        <v>350</v>
      </c>
      <c r="D790">
        <v>213.5</v>
      </c>
      <c r="E790">
        <v>136.5</v>
      </c>
      <c r="F790" s="12">
        <v>0.39</v>
      </c>
      <c r="G790">
        <v>2025</v>
      </c>
      <c r="H790">
        <v>5</v>
      </c>
      <c r="I790" t="s">
        <v>2845</v>
      </c>
      <c r="J790" t="s">
        <v>2846</v>
      </c>
      <c r="K790" t="s">
        <v>2852</v>
      </c>
      <c r="L790" t="s">
        <v>2856</v>
      </c>
      <c r="M790" t="s">
        <v>2839</v>
      </c>
      <c r="N790" t="s">
        <v>2844</v>
      </c>
    </row>
    <row r="791" spans="1:14">
      <c r="A791">
        <v>210</v>
      </c>
      <c r="B791">
        <v>16.8</v>
      </c>
      <c r="C791">
        <v>193.2</v>
      </c>
      <c r="D791">
        <v>144.89999999999998</v>
      </c>
      <c r="E791">
        <v>48.300000000000011</v>
      </c>
      <c r="F791" s="12">
        <v>0.25000000000000006</v>
      </c>
      <c r="G791">
        <v>2025</v>
      </c>
      <c r="H791">
        <v>3</v>
      </c>
      <c r="I791" t="s">
        <v>2859</v>
      </c>
      <c r="J791" t="s">
        <v>2851</v>
      </c>
      <c r="K791" t="s">
        <v>2852</v>
      </c>
      <c r="L791" t="s">
        <v>2843</v>
      </c>
      <c r="M791" t="s">
        <v>2837</v>
      </c>
      <c r="N791" t="s">
        <v>2844</v>
      </c>
    </row>
    <row r="792" spans="1:14">
      <c r="A792">
        <v>960</v>
      </c>
      <c r="B792">
        <v>0</v>
      </c>
      <c r="C792">
        <v>960</v>
      </c>
      <c r="D792">
        <v>710.4</v>
      </c>
      <c r="E792">
        <v>249.60000000000002</v>
      </c>
      <c r="F792" s="12">
        <v>0.26</v>
      </c>
      <c r="G792">
        <v>2025</v>
      </c>
      <c r="H792">
        <v>7</v>
      </c>
      <c r="I792" t="s">
        <v>2840</v>
      </c>
      <c r="J792" t="s">
        <v>2841</v>
      </c>
      <c r="K792" t="s">
        <v>2852</v>
      </c>
      <c r="L792" t="s">
        <v>2848</v>
      </c>
      <c r="M792" t="s">
        <v>2838</v>
      </c>
      <c r="N792" t="s">
        <v>2849</v>
      </c>
    </row>
    <row r="793" spans="1:14">
      <c r="A793">
        <v>240</v>
      </c>
      <c r="B793">
        <v>4.8</v>
      </c>
      <c r="C793">
        <v>235.2</v>
      </c>
      <c r="D793">
        <v>177.6</v>
      </c>
      <c r="E793">
        <v>57.599999999999994</v>
      </c>
      <c r="F793" s="12">
        <v>0.24489795918367346</v>
      </c>
      <c r="G793">
        <v>2025</v>
      </c>
      <c r="H793">
        <v>6</v>
      </c>
      <c r="I793" t="s">
        <v>2864</v>
      </c>
      <c r="J793" t="s">
        <v>2846</v>
      </c>
      <c r="K793" t="s">
        <v>2842</v>
      </c>
      <c r="L793" t="s">
        <v>2856</v>
      </c>
      <c r="M793" t="s">
        <v>2839</v>
      </c>
      <c r="N793" t="s">
        <v>2844</v>
      </c>
    </row>
    <row r="794" spans="1:14">
      <c r="A794">
        <v>195</v>
      </c>
      <c r="B794">
        <v>0</v>
      </c>
      <c r="C794">
        <v>195</v>
      </c>
      <c r="D794">
        <v>142.35000000000002</v>
      </c>
      <c r="E794">
        <v>52.649999999999977</v>
      </c>
      <c r="F794" s="12">
        <v>0.26999999999999991</v>
      </c>
      <c r="G794">
        <v>2025</v>
      </c>
      <c r="H794">
        <v>5</v>
      </c>
      <c r="I794" t="s">
        <v>2845</v>
      </c>
      <c r="J794" t="s">
        <v>2846</v>
      </c>
      <c r="K794" t="s">
        <v>2842</v>
      </c>
      <c r="L794" t="s">
        <v>2856</v>
      </c>
      <c r="M794" t="s">
        <v>2839</v>
      </c>
      <c r="N794" t="s">
        <v>2844</v>
      </c>
    </row>
    <row r="795" spans="1:14">
      <c r="A795">
        <v>110</v>
      </c>
      <c r="B795">
        <v>8.8000000000000007</v>
      </c>
      <c r="C795">
        <v>101.2</v>
      </c>
      <c r="D795">
        <v>72.599999999999994</v>
      </c>
      <c r="E795">
        <v>28.600000000000009</v>
      </c>
      <c r="F795" s="12">
        <v>0.282608695652174</v>
      </c>
      <c r="G795">
        <v>2025</v>
      </c>
      <c r="H795">
        <v>2</v>
      </c>
      <c r="I795" t="s">
        <v>2861</v>
      </c>
      <c r="J795" t="s">
        <v>2851</v>
      </c>
      <c r="K795" t="s">
        <v>2842</v>
      </c>
      <c r="L795" t="s">
        <v>2843</v>
      </c>
      <c r="M795" t="s">
        <v>2837</v>
      </c>
      <c r="N795" t="s">
        <v>2844</v>
      </c>
    </row>
    <row r="796" spans="1:14">
      <c r="A796">
        <v>1260</v>
      </c>
      <c r="B796">
        <v>0</v>
      </c>
      <c r="C796">
        <v>1260</v>
      </c>
      <c r="D796">
        <v>819</v>
      </c>
      <c r="E796">
        <v>441</v>
      </c>
      <c r="F796" s="12">
        <v>0.35</v>
      </c>
      <c r="G796">
        <v>2025</v>
      </c>
      <c r="H796">
        <v>12</v>
      </c>
      <c r="I796" t="s">
        <v>2858</v>
      </c>
      <c r="J796" t="s">
        <v>2855</v>
      </c>
      <c r="K796" t="s">
        <v>2852</v>
      </c>
      <c r="L796" t="s">
        <v>2843</v>
      </c>
      <c r="M796" t="s">
        <v>2837</v>
      </c>
      <c r="N796" t="s">
        <v>2857</v>
      </c>
    </row>
    <row r="797" spans="1:14">
      <c r="A797">
        <v>780</v>
      </c>
      <c r="B797">
        <v>78</v>
      </c>
      <c r="C797">
        <v>702</v>
      </c>
      <c r="D797">
        <v>569.40000000000009</v>
      </c>
      <c r="E797">
        <v>132.59999999999991</v>
      </c>
      <c r="F797" s="12">
        <v>0.18888888888888877</v>
      </c>
      <c r="G797">
        <v>2025</v>
      </c>
      <c r="H797">
        <v>7</v>
      </c>
      <c r="I797" t="s">
        <v>2840</v>
      </c>
      <c r="J797" t="s">
        <v>2841</v>
      </c>
      <c r="K797" t="s">
        <v>2847</v>
      </c>
      <c r="L797" t="s">
        <v>2866</v>
      </c>
      <c r="M797" t="s">
        <v>2838</v>
      </c>
      <c r="N797" t="s">
        <v>2849</v>
      </c>
    </row>
    <row r="798" spans="1:14">
      <c r="A798">
        <v>725</v>
      </c>
      <c r="B798">
        <v>14.5</v>
      </c>
      <c r="C798">
        <v>710.5</v>
      </c>
      <c r="D798">
        <v>485.75</v>
      </c>
      <c r="E798">
        <v>224.75</v>
      </c>
      <c r="F798" s="12">
        <v>0.31632653061224492</v>
      </c>
      <c r="G798">
        <v>2025</v>
      </c>
      <c r="H798">
        <v>7</v>
      </c>
      <c r="I798" t="s">
        <v>2840</v>
      </c>
      <c r="J798" t="s">
        <v>2841</v>
      </c>
      <c r="K798" t="s">
        <v>2852</v>
      </c>
      <c r="L798" t="s">
        <v>2843</v>
      </c>
      <c r="M798" t="s">
        <v>2837</v>
      </c>
      <c r="N798" t="s">
        <v>2849</v>
      </c>
    </row>
    <row r="799" spans="1:14">
      <c r="A799">
        <v>1560</v>
      </c>
      <c r="B799">
        <v>156</v>
      </c>
      <c r="C799">
        <v>1404</v>
      </c>
      <c r="D799">
        <v>936</v>
      </c>
      <c r="E799">
        <v>468</v>
      </c>
      <c r="F799" s="12">
        <v>0.33333333333333331</v>
      </c>
      <c r="G799">
        <v>2025</v>
      </c>
      <c r="H799">
        <v>2</v>
      </c>
      <c r="I799" t="s">
        <v>2861</v>
      </c>
      <c r="J799" t="s">
        <v>2851</v>
      </c>
      <c r="K799" t="s">
        <v>2842</v>
      </c>
      <c r="L799" t="s">
        <v>2848</v>
      </c>
      <c r="M799" t="s">
        <v>2838</v>
      </c>
      <c r="N799" t="s">
        <v>2857</v>
      </c>
    </row>
    <row r="800" spans="1:14">
      <c r="A800">
        <v>1560</v>
      </c>
      <c r="B800">
        <v>0</v>
      </c>
      <c r="C800">
        <v>1560</v>
      </c>
      <c r="D800">
        <v>1045.1999999999998</v>
      </c>
      <c r="E800">
        <v>514.80000000000018</v>
      </c>
      <c r="F800" s="12">
        <v>0.33000000000000013</v>
      </c>
      <c r="G800">
        <v>2025</v>
      </c>
      <c r="H800">
        <v>4</v>
      </c>
      <c r="I800" t="s">
        <v>2865</v>
      </c>
      <c r="J800" t="s">
        <v>2846</v>
      </c>
      <c r="K800" t="s">
        <v>2852</v>
      </c>
      <c r="L800" t="s">
        <v>2856</v>
      </c>
      <c r="M800" t="s">
        <v>2838</v>
      </c>
      <c r="N800" t="s">
        <v>2857</v>
      </c>
    </row>
    <row r="801" spans="1:14">
      <c r="A801">
        <v>840</v>
      </c>
      <c r="B801">
        <v>67.2</v>
      </c>
      <c r="C801">
        <v>772.8</v>
      </c>
      <c r="D801">
        <v>546</v>
      </c>
      <c r="E801">
        <v>226.79999999999995</v>
      </c>
      <c r="F801" s="12">
        <v>0.29347826086956519</v>
      </c>
      <c r="G801">
        <v>2025</v>
      </c>
      <c r="H801">
        <v>9</v>
      </c>
      <c r="I801" t="s">
        <v>2853</v>
      </c>
      <c r="J801" t="s">
        <v>2841</v>
      </c>
      <c r="K801" t="s">
        <v>2860</v>
      </c>
      <c r="L801" t="s">
        <v>2848</v>
      </c>
      <c r="M801" t="s">
        <v>2838</v>
      </c>
      <c r="N801" t="s">
        <v>2849</v>
      </c>
    </row>
    <row r="802" spans="1:14">
      <c r="A802">
        <v>190</v>
      </c>
      <c r="B802">
        <v>15.200000000000001</v>
      </c>
      <c r="C802">
        <v>174.8</v>
      </c>
      <c r="D802">
        <v>140.6</v>
      </c>
      <c r="E802">
        <v>34.200000000000017</v>
      </c>
      <c r="F802" s="12">
        <v>0.19565217391304357</v>
      </c>
      <c r="G802">
        <v>2025</v>
      </c>
      <c r="H802">
        <v>5</v>
      </c>
      <c r="I802" t="s">
        <v>2845</v>
      </c>
      <c r="J802" t="s">
        <v>2846</v>
      </c>
      <c r="K802" t="s">
        <v>2860</v>
      </c>
      <c r="L802" t="s">
        <v>2848</v>
      </c>
      <c r="M802" t="s">
        <v>2838</v>
      </c>
      <c r="N802" t="s">
        <v>2844</v>
      </c>
    </row>
    <row r="803" spans="1:14">
      <c r="A803">
        <v>520</v>
      </c>
      <c r="B803">
        <v>41.6</v>
      </c>
      <c r="C803">
        <v>478.4</v>
      </c>
      <c r="D803">
        <v>348.4</v>
      </c>
      <c r="E803">
        <v>130</v>
      </c>
      <c r="F803" s="12">
        <v>0.27173913043478259</v>
      </c>
      <c r="G803">
        <v>2025</v>
      </c>
      <c r="H803">
        <v>8</v>
      </c>
      <c r="I803" t="s">
        <v>2863</v>
      </c>
      <c r="J803" t="s">
        <v>2841</v>
      </c>
      <c r="K803" t="s">
        <v>2842</v>
      </c>
      <c r="L803" t="s">
        <v>2856</v>
      </c>
      <c r="M803" t="s">
        <v>2837</v>
      </c>
      <c r="N803" t="s">
        <v>2844</v>
      </c>
    </row>
    <row r="804" spans="1:14">
      <c r="A804">
        <v>840</v>
      </c>
      <c r="B804">
        <v>0</v>
      </c>
      <c r="C804">
        <v>840</v>
      </c>
      <c r="D804">
        <v>546</v>
      </c>
      <c r="E804">
        <v>294</v>
      </c>
      <c r="F804" s="12">
        <v>0.35</v>
      </c>
      <c r="G804">
        <v>2025</v>
      </c>
      <c r="H804">
        <v>3</v>
      </c>
      <c r="I804" t="s">
        <v>2859</v>
      </c>
      <c r="J804" t="s">
        <v>2851</v>
      </c>
      <c r="K804" t="s">
        <v>2852</v>
      </c>
      <c r="L804" t="s">
        <v>2843</v>
      </c>
      <c r="M804" t="s">
        <v>2837</v>
      </c>
      <c r="N804" t="s">
        <v>2849</v>
      </c>
    </row>
    <row r="805" spans="1:14">
      <c r="A805">
        <v>220</v>
      </c>
      <c r="B805">
        <v>4.4000000000000004</v>
      </c>
      <c r="C805">
        <v>215.6</v>
      </c>
      <c r="D805">
        <v>145.19999999999999</v>
      </c>
      <c r="E805">
        <v>70.400000000000006</v>
      </c>
      <c r="F805" s="12">
        <v>0.32653061224489799</v>
      </c>
      <c r="G805">
        <v>2025</v>
      </c>
      <c r="H805">
        <v>9</v>
      </c>
      <c r="I805" t="s">
        <v>2853</v>
      </c>
      <c r="J805" t="s">
        <v>2841</v>
      </c>
      <c r="K805" t="s">
        <v>2842</v>
      </c>
      <c r="L805" t="s">
        <v>2848</v>
      </c>
      <c r="M805" t="s">
        <v>2838</v>
      </c>
      <c r="N805" t="s">
        <v>2844</v>
      </c>
    </row>
    <row r="806" spans="1:14">
      <c r="A806">
        <v>325</v>
      </c>
      <c r="B806">
        <v>0</v>
      </c>
      <c r="C806">
        <v>325</v>
      </c>
      <c r="D806">
        <v>237.25</v>
      </c>
      <c r="E806">
        <v>87.75</v>
      </c>
      <c r="F806" s="12">
        <v>0.27</v>
      </c>
      <c r="G806">
        <v>2025</v>
      </c>
      <c r="H806">
        <v>10</v>
      </c>
      <c r="I806" t="s">
        <v>2854</v>
      </c>
      <c r="J806" t="s">
        <v>2855</v>
      </c>
      <c r="K806" t="s">
        <v>2842</v>
      </c>
      <c r="L806" t="s">
        <v>2848</v>
      </c>
      <c r="M806" t="s">
        <v>2838</v>
      </c>
      <c r="N806" t="s">
        <v>2844</v>
      </c>
    </row>
    <row r="807" spans="1:14">
      <c r="A807">
        <v>110</v>
      </c>
      <c r="B807">
        <v>0</v>
      </c>
      <c r="C807">
        <v>110</v>
      </c>
      <c r="D807">
        <v>74.800000000000011</v>
      </c>
      <c r="E807">
        <v>35.199999999999989</v>
      </c>
      <c r="F807" s="12">
        <v>0.3199999999999999</v>
      </c>
      <c r="G807">
        <v>2025</v>
      </c>
      <c r="H807">
        <v>9</v>
      </c>
      <c r="I807" t="s">
        <v>2853</v>
      </c>
      <c r="J807" t="s">
        <v>2841</v>
      </c>
      <c r="K807" t="s">
        <v>2847</v>
      </c>
      <c r="L807" t="s">
        <v>2848</v>
      </c>
      <c r="M807" t="s">
        <v>2838</v>
      </c>
      <c r="N807" t="s">
        <v>2844</v>
      </c>
    </row>
    <row r="808" spans="1:14">
      <c r="A808">
        <v>350</v>
      </c>
      <c r="B808">
        <v>0</v>
      </c>
      <c r="C808">
        <v>350</v>
      </c>
      <c r="D808">
        <v>241.5</v>
      </c>
      <c r="E808">
        <v>108.5</v>
      </c>
      <c r="F808" s="12">
        <v>0.31</v>
      </c>
      <c r="G808">
        <v>2025</v>
      </c>
      <c r="H808">
        <v>9</v>
      </c>
      <c r="I808" t="s">
        <v>2853</v>
      </c>
      <c r="J808" t="s">
        <v>2841</v>
      </c>
      <c r="K808" t="s">
        <v>2860</v>
      </c>
      <c r="L808" t="s">
        <v>2848</v>
      </c>
      <c r="M808" t="s">
        <v>2839</v>
      </c>
      <c r="N808" t="s">
        <v>2844</v>
      </c>
    </row>
    <row r="809" spans="1:14">
      <c r="A809">
        <v>360</v>
      </c>
      <c r="B809">
        <v>0</v>
      </c>
      <c r="C809">
        <v>360</v>
      </c>
      <c r="D809">
        <v>259.2</v>
      </c>
      <c r="E809">
        <v>100.80000000000001</v>
      </c>
      <c r="F809" s="12">
        <v>0.28000000000000003</v>
      </c>
      <c r="G809">
        <v>2025</v>
      </c>
      <c r="H809">
        <v>11</v>
      </c>
      <c r="I809" t="s">
        <v>2862</v>
      </c>
      <c r="J809" t="s">
        <v>2855</v>
      </c>
      <c r="K809" t="s">
        <v>2852</v>
      </c>
      <c r="L809" t="s">
        <v>2843</v>
      </c>
      <c r="M809" t="s">
        <v>2837</v>
      </c>
      <c r="N809" t="s">
        <v>2844</v>
      </c>
    </row>
    <row r="810" spans="1:14">
      <c r="A810">
        <v>435</v>
      </c>
      <c r="B810">
        <v>43.5</v>
      </c>
      <c r="C810">
        <v>391.5</v>
      </c>
      <c r="D810">
        <v>291.45000000000005</v>
      </c>
      <c r="E810">
        <v>100.04999999999995</v>
      </c>
      <c r="F810" s="12">
        <v>0.25555555555555542</v>
      </c>
      <c r="G810">
        <v>2025</v>
      </c>
      <c r="H810">
        <v>6</v>
      </c>
      <c r="I810" t="s">
        <v>2864</v>
      </c>
      <c r="J810" t="s">
        <v>2846</v>
      </c>
      <c r="K810" t="s">
        <v>2860</v>
      </c>
      <c r="L810" t="s">
        <v>2843</v>
      </c>
      <c r="M810" t="s">
        <v>2837</v>
      </c>
      <c r="N810" t="s">
        <v>2844</v>
      </c>
    </row>
    <row r="811" spans="1:14">
      <c r="A811">
        <v>290</v>
      </c>
      <c r="B811">
        <v>23.2</v>
      </c>
      <c r="C811">
        <v>266.8</v>
      </c>
      <c r="D811">
        <v>194.3</v>
      </c>
      <c r="E811">
        <v>72.5</v>
      </c>
      <c r="F811" s="12">
        <v>0.27173913043478259</v>
      </c>
      <c r="G811">
        <v>2025</v>
      </c>
      <c r="H811">
        <v>1</v>
      </c>
      <c r="I811" t="s">
        <v>2850</v>
      </c>
      <c r="J811" t="s">
        <v>2851</v>
      </c>
      <c r="K811" t="s">
        <v>2847</v>
      </c>
      <c r="L811" t="s">
        <v>2848</v>
      </c>
      <c r="M811" t="s">
        <v>2838</v>
      </c>
      <c r="N811" t="s">
        <v>2844</v>
      </c>
    </row>
    <row r="812" spans="1:14">
      <c r="A812">
        <v>700</v>
      </c>
      <c r="B812">
        <v>56</v>
      </c>
      <c r="C812">
        <v>644</v>
      </c>
      <c r="D812">
        <v>427</v>
      </c>
      <c r="E812">
        <v>217</v>
      </c>
      <c r="F812" s="12">
        <v>0.33695652173913043</v>
      </c>
      <c r="G812">
        <v>2025</v>
      </c>
      <c r="H812">
        <v>1</v>
      </c>
      <c r="I812" t="s">
        <v>2850</v>
      </c>
      <c r="J812" t="s">
        <v>2851</v>
      </c>
      <c r="K812" t="s">
        <v>2852</v>
      </c>
      <c r="L812" t="s">
        <v>2843</v>
      </c>
      <c r="M812" t="s">
        <v>2837</v>
      </c>
      <c r="N812" t="s">
        <v>2849</v>
      </c>
    </row>
    <row r="813" spans="1:14">
      <c r="A813">
        <v>240</v>
      </c>
      <c r="B813">
        <v>0</v>
      </c>
      <c r="C813">
        <v>240</v>
      </c>
      <c r="D813">
        <v>187.2</v>
      </c>
      <c r="E813">
        <v>52.800000000000011</v>
      </c>
      <c r="F813" s="12">
        <v>0.22000000000000006</v>
      </c>
      <c r="G813">
        <v>2025</v>
      </c>
      <c r="H813">
        <v>6</v>
      </c>
      <c r="I813" t="s">
        <v>2864</v>
      </c>
      <c r="J813" t="s">
        <v>2846</v>
      </c>
      <c r="K813" t="s">
        <v>2860</v>
      </c>
      <c r="L813" t="s">
        <v>2848</v>
      </c>
      <c r="M813" t="s">
        <v>2838</v>
      </c>
      <c r="N813" t="s">
        <v>2844</v>
      </c>
    </row>
    <row r="814" spans="1:14">
      <c r="A814">
        <v>35</v>
      </c>
      <c r="B814">
        <v>0</v>
      </c>
      <c r="C814">
        <v>35</v>
      </c>
      <c r="D814">
        <v>24.15</v>
      </c>
      <c r="E814">
        <v>10.850000000000001</v>
      </c>
      <c r="F814" s="12">
        <v>0.31000000000000005</v>
      </c>
      <c r="G814">
        <v>2025</v>
      </c>
      <c r="H814">
        <v>5</v>
      </c>
      <c r="I814" t="s">
        <v>2845</v>
      </c>
      <c r="J814" t="s">
        <v>2846</v>
      </c>
      <c r="K814" t="s">
        <v>2860</v>
      </c>
      <c r="L814" t="s">
        <v>2848</v>
      </c>
      <c r="M814" t="s">
        <v>2838</v>
      </c>
      <c r="N814" t="s">
        <v>2844</v>
      </c>
    </row>
    <row r="815" spans="1:14">
      <c r="A815">
        <v>35</v>
      </c>
      <c r="B815">
        <v>0</v>
      </c>
      <c r="C815">
        <v>35</v>
      </c>
      <c r="D815">
        <v>24.15</v>
      </c>
      <c r="E815">
        <v>10.850000000000001</v>
      </c>
      <c r="F815" s="12">
        <v>0.31000000000000005</v>
      </c>
      <c r="G815">
        <v>2025</v>
      </c>
      <c r="H815">
        <v>8</v>
      </c>
      <c r="I815" t="s">
        <v>2863</v>
      </c>
      <c r="J815" t="s">
        <v>2841</v>
      </c>
      <c r="K815" t="s">
        <v>2860</v>
      </c>
      <c r="L815" t="s">
        <v>2843</v>
      </c>
      <c r="M815" t="s">
        <v>2837</v>
      </c>
      <c r="N815" t="s">
        <v>2844</v>
      </c>
    </row>
    <row r="816" spans="1:14">
      <c r="A816">
        <v>480</v>
      </c>
      <c r="B816">
        <v>48</v>
      </c>
      <c r="C816">
        <v>432</v>
      </c>
      <c r="D816">
        <v>292.8</v>
      </c>
      <c r="E816">
        <v>139.19999999999999</v>
      </c>
      <c r="F816" s="12">
        <v>0.32222222222222219</v>
      </c>
      <c r="G816">
        <v>2025</v>
      </c>
      <c r="H816">
        <v>11</v>
      </c>
      <c r="I816" t="s">
        <v>2862</v>
      </c>
      <c r="J816" t="s">
        <v>2855</v>
      </c>
      <c r="K816" t="s">
        <v>2860</v>
      </c>
      <c r="L816" t="s">
        <v>2856</v>
      </c>
      <c r="M816" t="s">
        <v>2839</v>
      </c>
      <c r="N816" t="s">
        <v>2844</v>
      </c>
    </row>
    <row r="817" spans="1:14">
      <c r="A817">
        <v>570</v>
      </c>
      <c r="B817">
        <v>11.4</v>
      </c>
      <c r="C817">
        <v>558.6</v>
      </c>
      <c r="D817">
        <v>421.79999999999995</v>
      </c>
      <c r="E817">
        <v>136.80000000000007</v>
      </c>
      <c r="F817" s="12">
        <v>0.24489795918367357</v>
      </c>
      <c r="G817">
        <v>2025</v>
      </c>
      <c r="H817">
        <v>5</v>
      </c>
      <c r="I817" t="s">
        <v>2845</v>
      </c>
      <c r="J817" t="s">
        <v>2846</v>
      </c>
      <c r="K817" t="s">
        <v>2852</v>
      </c>
      <c r="L817" t="s">
        <v>2843</v>
      </c>
      <c r="M817" t="s">
        <v>2837</v>
      </c>
      <c r="N817" t="s">
        <v>2849</v>
      </c>
    </row>
    <row r="818" spans="1:14">
      <c r="A818">
        <v>360</v>
      </c>
      <c r="B818">
        <v>7.2</v>
      </c>
      <c r="C818">
        <v>352.8</v>
      </c>
      <c r="D818">
        <v>219.60000000000002</v>
      </c>
      <c r="E818">
        <v>133.19999999999999</v>
      </c>
      <c r="F818" s="12">
        <v>0.37755102040816324</v>
      </c>
      <c r="G818">
        <v>2025</v>
      </c>
      <c r="H818">
        <v>6</v>
      </c>
      <c r="I818" t="s">
        <v>2864</v>
      </c>
      <c r="J818" t="s">
        <v>2846</v>
      </c>
      <c r="K818" t="s">
        <v>2847</v>
      </c>
      <c r="L818" t="s">
        <v>2848</v>
      </c>
      <c r="M818" t="s">
        <v>2838</v>
      </c>
      <c r="N818" t="s">
        <v>2844</v>
      </c>
    </row>
    <row r="819" spans="1:14">
      <c r="A819">
        <v>380</v>
      </c>
      <c r="B819">
        <v>7.6000000000000005</v>
      </c>
      <c r="C819">
        <v>372.4</v>
      </c>
      <c r="D819">
        <v>296.39999999999998</v>
      </c>
      <c r="E819">
        <v>76</v>
      </c>
      <c r="F819" s="12">
        <v>0.20408163265306123</v>
      </c>
      <c r="G819">
        <v>2025</v>
      </c>
      <c r="H819">
        <v>5</v>
      </c>
      <c r="I819" t="s">
        <v>2845</v>
      </c>
      <c r="J819" t="s">
        <v>2846</v>
      </c>
      <c r="K819" t="s">
        <v>2847</v>
      </c>
      <c r="L819" t="s">
        <v>2843</v>
      </c>
      <c r="M819" t="s">
        <v>2837</v>
      </c>
      <c r="N819" t="s">
        <v>2844</v>
      </c>
    </row>
    <row r="820" spans="1:14">
      <c r="A820">
        <v>1560</v>
      </c>
      <c r="B820">
        <v>124.8</v>
      </c>
      <c r="C820">
        <v>1435.2</v>
      </c>
      <c r="D820">
        <v>1045.1999999999998</v>
      </c>
      <c r="E820">
        <v>390.00000000000023</v>
      </c>
      <c r="F820" s="12">
        <v>0.27173913043478276</v>
      </c>
      <c r="G820">
        <v>2025</v>
      </c>
      <c r="H820">
        <v>10</v>
      </c>
      <c r="I820" t="s">
        <v>2854</v>
      </c>
      <c r="J820" t="s">
        <v>2855</v>
      </c>
      <c r="K820" t="s">
        <v>2842</v>
      </c>
      <c r="L820" t="s">
        <v>2856</v>
      </c>
      <c r="M820" t="s">
        <v>2839</v>
      </c>
      <c r="N820" t="s">
        <v>2857</v>
      </c>
    </row>
    <row r="821" spans="1:14">
      <c r="A821">
        <v>192</v>
      </c>
      <c r="B821">
        <v>19.200000000000003</v>
      </c>
      <c r="C821">
        <v>172.8</v>
      </c>
      <c r="D821">
        <v>149.76</v>
      </c>
      <c r="E821">
        <v>23.04000000000002</v>
      </c>
      <c r="F821" s="12">
        <v>0.13333333333333344</v>
      </c>
      <c r="G821">
        <v>2025</v>
      </c>
      <c r="H821">
        <v>9</v>
      </c>
      <c r="I821" t="s">
        <v>2853</v>
      </c>
      <c r="J821" t="s">
        <v>2841</v>
      </c>
      <c r="K821" t="s">
        <v>2860</v>
      </c>
      <c r="L821" t="s">
        <v>2843</v>
      </c>
      <c r="M821" t="s">
        <v>2837</v>
      </c>
      <c r="N821" t="s">
        <v>2844</v>
      </c>
    </row>
    <row r="822" spans="1:14">
      <c r="A822">
        <v>44</v>
      </c>
      <c r="B822">
        <v>0.88</v>
      </c>
      <c r="C822">
        <v>43.12</v>
      </c>
      <c r="D822">
        <v>29.92</v>
      </c>
      <c r="E822">
        <v>13.199999999999996</v>
      </c>
      <c r="F822" s="12">
        <v>0.30612244897959173</v>
      </c>
      <c r="G822">
        <v>2025</v>
      </c>
      <c r="H822">
        <v>2</v>
      </c>
      <c r="I822" t="s">
        <v>2861</v>
      </c>
      <c r="J822" t="s">
        <v>2851</v>
      </c>
      <c r="K822" t="s">
        <v>2847</v>
      </c>
      <c r="L822" t="s">
        <v>2856</v>
      </c>
      <c r="M822" t="s">
        <v>2839</v>
      </c>
      <c r="N822" t="s">
        <v>2844</v>
      </c>
    </row>
    <row r="823" spans="1:14">
      <c r="A823">
        <v>120</v>
      </c>
      <c r="B823">
        <v>0</v>
      </c>
      <c r="C823">
        <v>120</v>
      </c>
      <c r="D823">
        <v>73.2</v>
      </c>
      <c r="E823">
        <v>46.8</v>
      </c>
      <c r="F823" s="12">
        <v>0.38999999999999996</v>
      </c>
      <c r="G823">
        <v>2025</v>
      </c>
      <c r="H823">
        <v>3</v>
      </c>
      <c r="I823" t="s">
        <v>2859</v>
      </c>
      <c r="J823" t="s">
        <v>2851</v>
      </c>
      <c r="K823" t="s">
        <v>2860</v>
      </c>
      <c r="L823" t="s">
        <v>2848</v>
      </c>
      <c r="M823" t="s">
        <v>2838</v>
      </c>
      <c r="N823" t="s">
        <v>2844</v>
      </c>
    </row>
    <row r="824" spans="1:14">
      <c r="A824">
        <v>480</v>
      </c>
      <c r="B824">
        <v>9.6</v>
      </c>
      <c r="C824">
        <v>470.4</v>
      </c>
      <c r="D824">
        <v>292.8</v>
      </c>
      <c r="E824">
        <v>177.59999999999997</v>
      </c>
      <c r="F824" s="12">
        <v>0.37755102040816318</v>
      </c>
      <c r="G824">
        <v>2025</v>
      </c>
      <c r="H824">
        <v>7</v>
      </c>
      <c r="I824" t="s">
        <v>2840</v>
      </c>
      <c r="J824" t="s">
        <v>2841</v>
      </c>
      <c r="K824" t="s">
        <v>2852</v>
      </c>
      <c r="L824" t="s">
        <v>2848</v>
      </c>
      <c r="M824" t="s">
        <v>2838</v>
      </c>
      <c r="N824" t="s">
        <v>2844</v>
      </c>
    </row>
    <row r="825" spans="1:14">
      <c r="A825">
        <v>840</v>
      </c>
      <c r="B825">
        <v>67.2</v>
      </c>
      <c r="C825">
        <v>772.8</v>
      </c>
      <c r="D825">
        <v>546</v>
      </c>
      <c r="E825">
        <v>226.79999999999995</v>
      </c>
      <c r="F825" s="12">
        <v>0.29347826086956519</v>
      </c>
      <c r="G825">
        <v>2025</v>
      </c>
      <c r="H825">
        <v>8</v>
      </c>
      <c r="I825" t="s">
        <v>2863</v>
      </c>
      <c r="J825" t="s">
        <v>2841</v>
      </c>
      <c r="K825" t="s">
        <v>2852</v>
      </c>
      <c r="L825" t="s">
        <v>2848</v>
      </c>
      <c r="M825" t="s">
        <v>2838</v>
      </c>
      <c r="N825" t="s">
        <v>2849</v>
      </c>
    </row>
    <row r="826" spans="1:14">
      <c r="A826">
        <v>1050</v>
      </c>
      <c r="B826">
        <v>0</v>
      </c>
      <c r="C826">
        <v>1050</v>
      </c>
      <c r="D826">
        <v>640.5</v>
      </c>
      <c r="E826">
        <v>409.5</v>
      </c>
      <c r="F826" s="12">
        <v>0.39</v>
      </c>
      <c r="G826">
        <v>2025</v>
      </c>
      <c r="H826">
        <v>1</v>
      </c>
      <c r="I826" t="s">
        <v>2850</v>
      </c>
      <c r="J826" t="s">
        <v>2851</v>
      </c>
      <c r="K826" t="s">
        <v>2860</v>
      </c>
      <c r="L826" t="s">
        <v>2848</v>
      </c>
      <c r="M826" t="s">
        <v>2838</v>
      </c>
      <c r="N826" t="s">
        <v>2857</v>
      </c>
    </row>
    <row r="827" spans="1:14">
      <c r="A827">
        <v>120</v>
      </c>
      <c r="B827">
        <v>12</v>
      </c>
      <c r="C827">
        <v>108</v>
      </c>
      <c r="D827">
        <v>73.2</v>
      </c>
      <c r="E827">
        <v>34.799999999999997</v>
      </c>
      <c r="F827" s="12">
        <v>0.32222222222222219</v>
      </c>
      <c r="G827">
        <v>2025</v>
      </c>
      <c r="H827">
        <v>8</v>
      </c>
      <c r="I827" t="s">
        <v>2863</v>
      </c>
      <c r="J827" t="s">
        <v>2841</v>
      </c>
      <c r="K827" t="s">
        <v>2852</v>
      </c>
      <c r="L827" t="s">
        <v>2848</v>
      </c>
      <c r="M827" t="s">
        <v>2838</v>
      </c>
      <c r="N827" t="s">
        <v>2844</v>
      </c>
    </row>
    <row r="828" spans="1:14">
      <c r="A828">
        <v>5200</v>
      </c>
      <c r="B828">
        <v>416</v>
      </c>
      <c r="C828">
        <v>4784</v>
      </c>
      <c r="D828">
        <v>3796</v>
      </c>
      <c r="E828">
        <v>988</v>
      </c>
      <c r="F828" s="12">
        <v>0.20652173913043478</v>
      </c>
      <c r="G828">
        <v>2025</v>
      </c>
      <c r="H828">
        <v>10</v>
      </c>
      <c r="I828" t="s">
        <v>2854</v>
      </c>
      <c r="J828" t="s">
        <v>2855</v>
      </c>
      <c r="K828" t="s">
        <v>2860</v>
      </c>
      <c r="L828" t="s">
        <v>2856</v>
      </c>
      <c r="M828" t="s">
        <v>2839</v>
      </c>
      <c r="N828" t="s">
        <v>2857</v>
      </c>
    </row>
    <row r="829" spans="1:14">
      <c r="A829">
        <v>1200</v>
      </c>
      <c r="B829">
        <v>0</v>
      </c>
      <c r="C829">
        <v>1200</v>
      </c>
      <c r="D829">
        <v>888</v>
      </c>
      <c r="E829">
        <v>312</v>
      </c>
      <c r="F829" s="12">
        <v>0.26</v>
      </c>
      <c r="G829">
        <v>2025</v>
      </c>
      <c r="H829">
        <v>10</v>
      </c>
      <c r="I829" t="s">
        <v>2854</v>
      </c>
      <c r="J829" t="s">
        <v>2855</v>
      </c>
      <c r="K829" t="s">
        <v>2847</v>
      </c>
      <c r="L829" t="s">
        <v>2848</v>
      </c>
      <c r="M829" t="s">
        <v>2839</v>
      </c>
      <c r="N829" t="s">
        <v>2857</v>
      </c>
    </row>
    <row r="830" spans="1:14">
      <c r="A830">
        <v>380</v>
      </c>
      <c r="B830">
        <v>0</v>
      </c>
      <c r="C830">
        <v>380</v>
      </c>
      <c r="D830">
        <v>281.2</v>
      </c>
      <c r="E830">
        <v>98.800000000000011</v>
      </c>
      <c r="F830" s="12">
        <v>0.26</v>
      </c>
      <c r="G830">
        <v>2025</v>
      </c>
      <c r="H830">
        <v>5</v>
      </c>
      <c r="I830" t="s">
        <v>2845</v>
      </c>
      <c r="J830" t="s">
        <v>2846</v>
      </c>
      <c r="K830" t="s">
        <v>2842</v>
      </c>
      <c r="L830" t="s">
        <v>2843</v>
      </c>
      <c r="M830" t="s">
        <v>2837</v>
      </c>
      <c r="N830" t="s">
        <v>2844</v>
      </c>
    </row>
    <row r="831" spans="1:14">
      <c r="A831">
        <v>1560</v>
      </c>
      <c r="B831">
        <v>124.8</v>
      </c>
      <c r="C831">
        <v>1435.2</v>
      </c>
      <c r="D831">
        <v>936</v>
      </c>
      <c r="E831">
        <v>499.20000000000005</v>
      </c>
      <c r="F831" s="12">
        <v>0.34782608695652178</v>
      </c>
      <c r="G831">
        <v>2025</v>
      </c>
      <c r="H831">
        <v>2</v>
      </c>
      <c r="I831" t="s">
        <v>2861</v>
      </c>
      <c r="J831" t="s">
        <v>2851</v>
      </c>
      <c r="K831" t="s">
        <v>2842</v>
      </c>
      <c r="L831" t="s">
        <v>2843</v>
      </c>
      <c r="M831" t="s">
        <v>2837</v>
      </c>
      <c r="N831" t="s">
        <v>2857</v>
      </c>
    </row>
    <row r="832" spans="1:14">
      <c r="A832">
        <v>95</v>
      </c>
      <c r="B832">
        <v>0</v>
      </c>
      <c r="C832">
        <v>95</v>
      </c>
      <c r="D832">
        <v>70.3</v>
      </c>
      <c r="E832">
        <v>24.700000000000003</v>
      </c>
      <c r="F832" s="12">
        <v>0.26</v>
      </c>
      <c r="G832">
        <v>2025</v>
      </c>
      <c r="H832">
        <v>12</v>
      </c>
      <c r="I832" t="s">
        <v>2858</v>
      </c>
      <c r="J832" t="s">
        <v>2855</v>
      </c>
      <c r="K832" t="s">
        <v>2852</v>
      </c>
      <c r="L832" t="s">
        <v>2843</v>
      </c>
      <c r="M832" t="s">
        <v>2839</v>
      </c>
      <c r="N832" t="s">
        <v>2844</v>
      </c>
    </row>
    <row r="833" spans="1:14">
      <c r="A833">
        <v>22</v>
      </c>
      <c r="B833">
        <v>0</v>
      </c>
      <c r="C833">
        <v>22</v>
      </c>
      <c r="D833">
        <v>14.96</v>
      </c>
      <c r="E833">
        <v>7.0399999999999991</v>
      </c>
      <c r="F833" s="12">
        <v>0.31999999999999995</v>
      </c>
      <c r="G833">
        <v>2025</v>
      </c>
      <c r="H833">
        <v>3</v>
      </c>
      <c r="I833" t="s">
        <v>2859</v>
      </c>
      <c r="J833" t="s">
        <v>2851</v>
      </c>
      <c r="K833" t="s">
        <v>2842</v>
      </c>
      <c r="L833" t="s">
        <v>2843</v>
      </c>
      <c r="M833" t="s">
        <v>2837</v>
      </c>
      <c r="N833" t="s">
        <v>2844</v>
      </c>
    </row>
    <row r="834" spans="1:14">
      <c r="A834">
        <v>570</v>
      </c>
      <c r="B834">
        <v>0</v>
      </c>
      <c r="C834">
        <v>570</v>
      </c>
      <c r="D834">
        <v>421.79999999999995</v>
      </c>
      <c r="E834">
        <v>148.20000000000005</v>
      </c>
      <c r="F834" s="12">
        <v>0.26000000000000006</v>
      </c>
      <c r="G834">
        <v>2025</v>
      </c>
      <c r="H834">
        <v>10</v>
      </c>
      <c r="I834" t="s">
        <v>2854</v>
      </c>
      <c r="J834" t="s">
        <v>2855</v>
      </c>
      <c r="K834" t="s">
        <v>2842</v>
      </c>
      <c r="L834" t="s">
        <v>2856</v>
      </c>
      <c r="M834" t="s">
        <v>2839</v>
      </c>
      <c r="N834" t="s">
        <v>2849</v>
      </c>
    </row>
    <row r="835" spans="1:14">
      <c r="A835">
        <v>1040</v>
      </c>
      <c r="B835">
        <v>20.8</v>
      </c>
      <c r="C835">
        <v>1019.2</v>
      </c>
      <c r="D835">
        <v>696.8</v>
      </c>
      <c r="E835">
        <v>322.40000000000009</v>
      </c>
      <c r="F835" s="12">
        <v>0.31632653061224497</v>
      </c>
      <c r="G835">
        <v>2025</v>
      </c>
      <c r="H835">
        <v>1</v>
      </c>
      <c r="I835" t="s">
        <v>2850</v>
      </c>
      <c r="J835" t="s">
        <v>2851</v>
      </c>
      <c r="K835" t="s">
        <v>2842</v>
      </c>
      <c r="L835" t="s">
        <v>2843</v>
      </c>
      <c r="M835" t="s">
        <v>2837</v>
      </c>
      <c r="N835" t="s">
        <v>2857</v>
      </c>
    </row>
    <row r="836" spans="1:14">
      <c r="A836">
        <v>3500</v>
      </c>
      <c r="B836">
        <v>175</v>
      </c>
      <c r="C836">
        <v>3325</v>
      </c>
      <c r="D836">
        <v>2135</v>
      </c>
      <c r="E836">
        <v>1190</v>
      </c>
      <c r="F836" s="12">
        <v>0.35789473684210527</v>
      </c>
      <c r="G836">
        <v>2025</v>
      </c>
      <c r="H836">
        <v>2</v>
      </c>
      <c r="I836" t="s">
        <v>2861</v>
      </c>
      <c r="J836" t="s">
        <v>2851</v>
      </c>
      <c r="K836" t="s">
        <v>2860</v>
      </c>
      <c r="L836" t="s">
        <v>2843</v>
      </c>
      <c r="M836" t="s">
        <v>2837</v>
      </c>
      <c r="N836" t="s">
        <v>2857</v>
      </c>
    </row>
    <row r="837" spans="1:14">
      <c r="A837">
        <v>700</v>
      </c>
      <c r="B837">
        <v>0</v>
      </c>
      <c r="C837">
        <v>700</v>
      </c>
      <c r="D837">
        <v>427</v>
      </c>
      <c r="E837">
        <v>273</v>
      </c>
      <c r="F837" s="12">
        <v>0.39</v>
      </c>
      <c r="G837">
        <v>2025</v>
      </c>
      <c r="H837">
        <v>7</v>
      </c>
      <c r="I837" t="s">
        <v>2840</v>
      </c>
      <c r="J837" t="s">
        <v>2841</v>
      </c>
      <c r="K837" t="s">
        <v>2847</v>
      </c>
      <c r="L837" t="s">
        <v>2856</v>
      </c>
      <c r="M837" t="s">
        <v>2839</v>
      </c>
      <c r="N837" t="s">
        <v>2849</v>
      </c>
    </row>
    <row r="838" spans="1:14">
      <c r="A838">
        <v>2340</v>
      </c>
      <c r="B838">
        <v>117</v>
      </c>
      <c r="C838">
        <v>2223</v>
      </c>
      <c r="D838">
        <v>1404</v>
      </c>
      <c r="E838">
        <v>819</v>
      </c>
      <c r="F838" s="12">
        <v>0.36842105263157893</v>
      </c>
      <c r="G838">
        <v>2025</v>
      </c>
      <c r="H838">
        <v>4</v>
      </c>
      <c r="I838" t="s">
        <v>2865</v>
      </c>
      <c r="J838" t="s">
        <v>2846</v>
      </c>
      <c r="K838" t="s">
        <v>2860</v>
      </c>
      <c r="L838" t="s">
        <v>2856</v>
      </c>
      <c r="M838" t="s">
        <v>2839</v>
      </c>
      <c r="N838" t="s">
        <v>2857</v>
      </c>
    </row>
    <row r="839" spans="1:14">
      <c r="A839">
        <v>22</v>
      </c>
      <c r="B839">
        <v>0.44</v>
      </c>
      <c r="C839">
        <v>21.56</v>
      </c>
      <c r="D839">
        <v>14.96</v>
      </c>
      <c r="E839">
        <v>6.5999999999999979</v>
      </c>
      <c r="F839" s="12">
        <v>0.30612244897959173</v>
      </c>
      <c r="G839">
        <v>2025</v>
      </c>
      <c r="H839">
        <v>10</v>
      </c>
      <c r="I839" t="s">
        <v>2854</v>
      </c>
      <c r="J839" t="s">
        <v>2855</v>
      </c>
      <c r="K839" t="s">
        <v>2847</v>
      </c>
      <c r="L839" t="s">
        <v>2856</v>
      </c>
      <c r="M839" t="s">
        <v>2839</v>
      </c>
      <c r="N839" t="s">
        <v>2844</v>
      </c>
    </row>
    <row r="840" spans="1:14">
      <c r="A840">
        <v>88</v>
      </c>
      <c r="B840">
        <v>0</v>
      </c>
      <c r="C840">
        <v>88</v>
      </c>
      <c r="D840">
        <v>59.84</v>
      </c>
      <c r="E840">
        <v>28.159999999999997</v>
      </c>
      <c r="F840" s="12">
        <v>0.31999999999999995</v>
      </c>
      <c r="G840">
        <v>2025</v>
      </c>
      <c r="H840">
        <v>3</v>
      </c>
      <c r="I840" t="s">
        <v>2859</v>
      </c>
      <c r="J840" t="s">
        <v>2851</v>
      </c>
      <c r="K840" t="s">
        <v>2842</v>
      </c>
      <c r="L840" t="s">
        <v>2843</v>
      </c>
      <c r="M840" t="s">
        <v>2837</v>
      </c>
      <c r="N840" t="s">
        <v>2844</v>
      </c>
    </row>
    <row r="841" spans="1:14">
      <c r="A841">
        <v>330</v>
      </c>
      <c r="B841">
        <v>16.5</v>
      </c>
      <c r="C841">
        <v>313.5</v>
      </c>
      <c r="D841">
        <v>217.79999999999998</v>
      </c>
      <c r="E841">
        <v>95.700000000000017</v>
      </c>
      <c r="F841" s="12">
        <v>0.3052631578947369</v>
      </c>
      <c r="G841">
        <v>2025</v>
      </c>
      <c r="H841">
        <v>5</v>
      </c>
      <c r="I841" t="s">
        <v>2845</v>
      </c>
      <c r="J841" t="s">
        <v>2846</v>
      </c>
      <c r="K841" t="s">
        <v>2842</v>
      </c>
      <c r="L841" t="s">
        <v>2856</v>
      </c>
      <c r="M841" t="s">
        <v>2839</v>
      </c>
      <c r="N841" t="s">
        <v>2844</v>
      </c>
    </row>
    <row r="842" spans="1:14">
      <c r="A842">
        <v>35</v>
      </c>
      <c r="B842">
        <v>0</v>
      </c>
      <c r="C842">
        <v>35</v>
      </c>
      <c r="D842">
        <v>24.15</v>
      </c>
      <c r="E842">
        <v>10.850000000000001</v>
      </c>
      <c r="F842" s="12">
        <v>0.31000000000000005</v>
      </c>
      <c r="G842">
        <v>2025</v>
      </c>
      <c r="H842">
        <v>1</v>
      </c>
      <c r="I842" t="s">
        <v>2850</v>
      </c>
      <c r="J842" t="s">
        <v>2851</v>
      </c>
      <c r="K842" t="s">
        <v>2842</v>
      </c>
      <c r="L842" t="s">
        <v>2856</v>
      </c>
      <c r="M842" t="s">
        <v>2839</v>
      </c>
      <c r="N842" t="s">
        <v>2844</v>
      </c>
    </row>
    <row r="843" spans="1:14">
      <c r="A843">
        <v>780</v>
      </c>
      <c r="B843">
        <v>62.4</v>
      </c>
      <c r="C843">
        <v>717.6</v>
      </c>
      <c r="D843">
        <v>569.40000000000009</v>
      </c>
      <c r="E843">
        <v>148.19999999999993</v>
      </c>
      <c r="F843" s="12">
        <v>0.20652173913043467</v>
      </c>
      <c r="G843">
        <v>2025</v>
      </c>
      <c r="H843">
        <v>2</v>
      </c>
      <c r="I843" t="s">
        <v>2861</v>
      </c>
      <c r="J843" t="s">
        <v>2851</v>
      </c>
      <c r="K843" t="s">
        <v>2842</v>
      </c>
      <c r="L843" t="s">
        <v>2848</v>
      </c>
      <c r="M843" t="s">
        <v>2838</v>
      </c>
      <c r="N843" t="s">
        <v>2849</v>
      </c>
    </row>
    <row r="844" spans="1:14">
      <c r="A844">
        <v>130</v>
      </c>
      <c r="B844">
        <v>0</v>
      </c>
      <c r="C844">
        <v>130</v>
      </c>
      <c r="D844">
        <v>94.9</v>
      </c>
      <c r="E844">
        <v>35.099999999999994</v>
      </c>
      <c r="F844" s="12">
        <v>0.26999999999999996</v>
      </c>
      <c r="G844">
        <v>2025</v>
      </c>
      <c r="H844">
        <v>4</v>
      </c>
      <c r="I844" t="s">
        <v>2865</v>
      </c>
      <c r="J844" t="s">
        <v>2846</v>
      </c>
      <c r="K844" t="s">
        <v>2852</v>
      </c>
      <c r="L844" t="s">
        <v>2866</v>
      </c>
      <c r="M844" t="s">
        <v>2838</v>
      </c>
      <c r="N844" t="s">
        <v>2844</v>
      </c>
    </row>
    <row r="845" spans="1:14">
      <c r="A845">
        <v>195</v>
      </c>
      <c r="B845">
        <v>3.9</v>
      </c>
      <c r="C845">
        <v>191.1</v>
      </c>
      <c r="D845">
        <v>142.35000000000002</v>
      </c>
      <c r="E845">
        <v>48.749999999999972</v>
      </c>
      <c r="F845" s="12">
        <v>0.25510204081632637</v>
      </c>
      <c r="G845">
        <v>2025</v>
      </c>
      <c r="H845">
        <v>9</v>
      </c>
      <c r="I845" t="s">
        <v>2853</v>
      </c>
      <c r="J845" t="s">
        <v>2841</v>
      </c>
      <c r="K845" t="s">
        <v>2847</v>
      </c>
      <c r="L845" t="s">
        <v>2843</v>
      </c>
      <c r="M845" t="s">
        <v>2839</v>
      </c>
      <c r="N845" t="s">
        <v>2844</v>
      </c>
    </row>
    <row r="846" spans="1:14">
      <c r="A846">
        <v>725</v>
      </c>
      <c r="B846">
        <v>72.5</v>
      </c>
      <c r="C846">
        <v>652.5</v>
      </c>
      <c r="D846">
        <v>485.75</v>
      </c>
      <c r="E846">
        <v>166.75</v>
      </c>
      <c r="F846" s="12">
        <v>0.25555555555555554</v>
      </c>
      <c r="G846">
        <v>2025</v>
      </c>
      <c r="H846">
        <v>4</v>
      </c>
      <c r="I846" t="s">
        <v>2865</v>
      </c>
      <c r="J846" t="s">
        <v>2846</v>
      </c>
      <c r="K846" t="s">
        <v>2847</v>
      </c>
      <c r="L846" t="s">
        <v>2856</v>
      </c>
      <c r="M846" t="s">
        <v>2839</v>
      </c>
      <c r="N846" t="s">
        <v>2849</v>
      </c>
    </row>
    <row r="847" spans="1:14">
      <c r="A847">
        <v>130</v>
      </c>
      <c r="B847">
        <v>0</v>
      </c>
      <c r="C847">
        <v>130</v>
      </c>
      <c r="D847">
        <v>94.9</v>
      </c>
      <c r="E847">
        <v>35.099999999999994</v>
      </c>
      <c r="F847" s="12">
        <v>0.26999999999999996</v>
      </c>
      <c r="G847">
        <v>2025</v>
      </c>
      <c r="H847">
        <v>1</v>
      </c>
      <c r="I847" t="s">
        <v>2850</v>
      </c>
      <c r="J847" t="s">
        <v>2851</v>
      </c>
      <c r="K847" t="s">
        <v>2852</v>
      </c>
      <c r="L847" t="s">
        <v>2856</v>
      </c>
      <c r="M847" t="s">
        <v>2839</v>
      </c>
      <c r="N847" t="s">
        <v>2844</v>
      </c>
    </row>
    <row r="848" spans="1:14">
      <c r="A848">
        <v>96</v>
      </c>
      <c r="B848">
        <v>0</v>
      </c>
      <c r="C848">
        <v>96</v>
      </c>
      <c r="D848">
        <v>74.88</v>
      </c>
      <c r="E848">
        <v>21.120000000000005</v>
      </c>
      <c r="F848" s="12">
        <v>0.22000000000000006</v>
      </c>
      <c r="G848">
        <v>2025</v>
      </c>
      <c r="H848">
        <v>4</v>
      </c>
      <c r="I848" t="s">
        <v>2865</v>
      </c>
      <c r="J848" t="s">
        <v>2846</v>
      </c>
      <c r="K848" t="s">
        <v>2852</v>
      </c>
      <c r="L848" t="s">
        <v>2856</v>
      </c>
      <c r="M848" t="s">
        <v>2839</v>
      </c>
      <c r="N848" t="s">
        <v>2844</v>
      </c>
    </row>
    <row r="849" spans="1:14">
      <c r="A849">
        <v>65</v>
      </c>
      <c r="B849">
        <v>1.3</v>
      </c>
      <c r="C849">
        <v>63.7</v>
      </c>
      <c r="D849">
        <v>47.45</v>
      </c>
      <c r="E849">
        <v>16.25</v>
      </c>
      <c r="F849" s="12">
        <v>0.25510204081632654</v>
      </c>
      <c r="G849">
        <v>2025</v>
      </c>
      <c r="H849">
        <v>9</v>
      </c>
      <c r="I849" t="s">
        <v>2853</v>
      </c>
      <c r="J849" t="s">
        <v>2841</v>
      </c>
      <c r="K849" t="s">
        <v>2847</v>
      </c>
      <c r="L849" t="s">
        <v>2843</v>
      </c>
      <c r="M849" t="s">
        <v>2837</v>
      </c>
      <c r="N849" t="s">
        <v>2844</v>
      </c>
    </row>
    <row r="850" spans="1:14">
      <c r="A850">
        <v>240</v>
      </c>
      <c r="B850">
        <v>4.8</v>
      </c>
      <c r="C850">
        <v>235.2</v>
      </c>
      <c r="D850">
        <v>187.2</v>
      </c>
      <c r="E850">
        <v>48</v>
      </c>
      <c r="F850" s="12">
        <v>0.20408163265306123</v>
      </c>
      <c r="G850">
        <v>2025</v>
      </c>
      <c r="H850">
        <v>5</v>
      </c>
      <c r="I850" t="s">
        <v>2845</v>
      </c>
      <c r="J850" t="s">
        <v>2846</v>
      </c>
      <c r="K850" t="s">
        <v>2860</v>
      </c>
      <c r="L850" t="s">
        <v>2848</v>
      </c>
      <c r="M850" t="s">
        <v>2838</v>
      </c>
      <c r="N850" t="s">
        <v>2844</v>
      </c>
    </row>
    <row r="851" spans="1:14">
      <c r="A851">
        <v>780</v>
      </c>
      <c r="B851">
        <v>62.4</v>
      </c>
      <c r="C851">
        <v>717.6</v>
      </c>
      <c r="D851">
        <v>569.40000000000009</v>
      </c>
      <c r="E851">
        <v>148.19999999999993</v>
      </c>
      <c r="F851" s="12">
        <v>0.20652173913043467</v>
      </c>
      <c r="G851">
        <v>2025</v>
      </c>
      <c r="H851">
        <v>7</v>
      </c>
      <c r="I851" t="s">
        <v>2840</v>
      </c>
      <c r="J851" t="s">
        <v>2841</v>
      </c>
      <c r="K851" t="s">
        <v>2852</v>
      </c>
      <c r="L851" t="s">
        <v>2856</v>
      </c>
      <c r="M851" t="s">
        <v>2839</v>
      </c>
      <c r="N851" t="s">
        <v>2849</v>
      </c>
    </row>
    <row r="852" spans="1:14">
      <c r="A852">
        <v>285</v>
      </c>
      <c r="B852">
        <v>0</v>
      </c>
      <c r="C852">
        <v>285</v>
      </c>
      <c r="D852">
        <v>210.89999999999998</v>
      </c>
      <c r="E852">
        <v>74.100000000000023</v>
      </c>
      <c r="F852" s="12">
        <v>0.26000000000000006</v>
      </c>
      <c r="G852">
        <v>2025</v>
      </c>
      <c r="H852">
        <v>2</v>
      </c>
      <c r="I852" t="s">
        <v>2861</v>
      </c>
      <c r="J852" t="s">
        <v>2851</v>
      </c>
      <c r="K852" t="s">
        <v>2842</v>
      </c>
      <c r="L852" t="s">
        <v>2848</v>
      </c>
      <c r="M852" t="s">
        <v>2839</v>
      </c>
      <c r="N852" t="s">
        <v>2844</v>
      </c>
    </row>
    <row r="853" spans="1:14">
      <c r="A853">
        <v>105</v>
      </c>
      <c r="B853">
        <v>5.25</v>
      </c>
      <c r="C853">
        <v>99.75</v>
      </c>
      <c r="D853">
        <v>72.449999999999989</v>
      </c>
      <c r="E853">
        <v>27.300000000000011</v>
      </c>
      <c r="F853" s="12">
        <v>0.27368421052631592</v>
      </c>
      <c r="G853">
        <v>2025</v>
      </c>
      <c r="H853">
        <v>11</v>
      </c>
      <c r="I853" t="s">
        <v>2862</v>
      </c>
      <c r="J853" t="s">
        <v>2855</v>
      </c>
      <c r="K853" t="s">
        <v>2842</v>
      </c>
      <c r="L853" t="s">
        <v>2848</v>
      </c>
      <c r="M853" t="s">
        <v>2838</v>
      </c>
      <c r="N853" t="s">
        <v>2844</v>
      </c>
    </row>
    <row r="854" spans="1:14">
      <c r="A854">
        <v>480</v>
      </c>
      <c r="B854">
        <v>48</v>
      </c>
      <c r="C854">
        <v>432</v>
      </c>
      <c r="D854">
        <v>292.8</v>
      </c>
      <c r="E854">
        <v>139.19999999999999</v>
      </c>
      <c r="F854" s="12">
        <v>0.32222222222222219</v>
      </c>
      <c r="G854">
        <v>2025</v>
      </c>
      <c r="H854">
        <v>6</v>
      </c>
      <c r="I854" t="s">
        <v>2864</v>
      </c>
      <c r="J854" t="s">
        <v>2846</v>
      </c>
      <c r="K854" t="s">
        <v>2842</v>
      </c>
      <c r="L854" t="s">
        <v>2843</v>
      </c>
      <c r="M854" t="s">
        <v>2837</v>
      </c>
      <c r="N854" t="s">
        <v>2844</v>
      </c>
    </row>
    <row r="855" spans="1:14">
      <c r="A855">
        <v>1680</v>
      </c>
      <c r="B855">
        <v>134.4</v>
      </c>
      <c r="C855">
        <v>1545.6</v>
      </c>
      <c r="D855">
        <v>1092</v>
      </c>
      <c r="E855">
        <v>453.59999999999991</v>
      </c>
      <c r="F855" s="12">
        <v>0.29347826086956519</v>
      </c>
      <c r="G855">
        <v>2025</v>
      </c>
      <c r="H855">
        <v>2</v>
      </c>
      <c r="I855" t="s">
        <v>2861</v>
      </c>
      <c r="J855" t="s">
        <v>2851</v>
      </c>
      <c r="K855" t="s">
        <v>2847</v>
      </c>
      <c r="L855" t="s">
        <v>2848</v>
      </c>
      <c r="M855" t="s">
        <v>2838</v>
      </c>
      <c r="N855" t="s">
        <v>2857</v>
      </c>
    </row>
    <row r="856" spans="1:14">
      <c r="A856">
        <v>435</v>
      </c>
      <c r="B856">
        <v>0</v>
      </c>
      <c r="C856">
        <v>435</v>
      </c>
      <c r="D856">
        <v>291.45000000000005</v>
      </c>
      <c r="E856">
        <v>143.54999999999995</v>
      </c>
      <c r="F856" s="12">
        <v>0.3299999999999999</v>
      </c>
      <c r="G856">
        <v>2025</v>
      </c>
      <c r="H856">
        <v>11</v>
      </c>
      <c r="I856" t="s">
        <v>2862</v>
      </c>
      <c r="J856" t="s">
        <v>2855</v>
      </c>
      <c r="K856" t="s">
        <v>2842</v>
      </c>
      <c r="L856" t="s">
        <v>2848</v>
      </c>
      <c r="M856" t="s">
        <v>2838</v>
      </c>
      <c r="N856" t="s">
        <v>2844</v>
      </c>
    </row>
    <row r="857" spans="1:14">
      <c r="A857">
        <v>70</v>
      </c>
      <c r="B857">
        <v>7</v>
      </c>
      <c r="C857">
        <v>63</v>
      </c>
      <c r="D857">
        <v>48.3</v>
      </c>
      <c r="E857">
        <v>14.700000000000003</v>
      </c>
      <c r="F857" s="12">
        <v>0.23333333333333336</v>
      </c>
      <c r="G857">
        <v>2025</v>
      </c>
      <c r="H857">
        <v>6</v>
      </c>
      <c r="I857" t="s">
        <v>2864</v>
      </c>
      <c r="J857" t="s">
        <v>2846</v>
      </c>
      <c r="K857" t="s">
        <v>2842</v>
      </c>
      <c r="L857" t="s">
        <v>2856</v>
      </c>
      <c r="M857" t="s">
        <v>2837</v>
      </c>
      <c r="N857" t="s">
        <v>2844</v>
      </c>
    </row>
    <row r="858" spans="1:14">
      <c r="A858">
        <v>105</v>
      </c>
      <c r="B858">
        <v>0</v>
      </c>
      <c r="C858">
        <v>105</v>
      </c>
      <c r="D858">
        <v>72.449999999999989</v>
      </c>
      <c r="E858">
        <v>32.550000000000011</v>
      </c>
      <c r="F858" s="12">
        <v>0.31000000000000011</v>
      </c>
      <c r="G858">
        <v>2025</v>
      </c>
      <c r="H858">
        <v>1</v>
      </c>
      <c r="I858" t="s">
        <v>2850</v>
      </c>
      <c r="J858" t="s">
        <v>2851</v>
      </c>
      <c r="K858" t="s">
        <v>2842</v>
      </c>
      <c r="L858" t="s">
        <v>2856</v>
      </c>
      <c r="M858" t="s">
        <v>2839</v>
      </c>
      <c r="N858" t="s">
        <v>2844</v>
      </c>
    </row>
    <row r="859" spans="1:14">
      <c r="A859">
        <v>2900</v>
      </c>
      <c r="B859">
        <v>0</v>
      </c>
      <c r="C859">
        <v>2900</v>
      </c>
      <c r="D859">
        <v>1943</v>
      </c>
      <c r="E859">
        <v>957</v>
      </c>
      <c r="F859" s="12">
        <v>0.33</v>
      </c>
      <c r="G859">
        <v>2025</v>
      </c>
      <c r="H859">
        <v>10</v>
      </c>
      <c r="I859" t="s">
        <v>2854</v>
      </c>
      <c r="J859" t="s">
        <v>2855</v>
      </c>
      <c r="K859" t="s">
        <v>2860</v>
      </c>
      <c r="L859" t="s">
        <v>2843</v>
      </c>
      <c r="M859" t="s">
        <v>2839</v>
      </c>
      <c r="N859" t="s">
        <v>2857</v>
      </c>
    </row>
    <row r="860" spans="1:14">
      <c r="A860">
        <v>260</v>
      </c>
      <c r="B860">
        <v>0</v>
      </c>
      <c r="C860">
        <v>260</v>
      </c>
      <c r="D860">
        <v>189.8</v>
      </c>
      <c r="E860">
        <v>70.199999999999989</v>
      </c>
      <c r="F860" s="12">
        <v>0.26999999999999996</v>
      </c>
      <c r="G860">
        <v>2025</v>
      </c>
      <c r="H860">
        <v>4</v>
      </c>
      <c r="I860" t="s">
        <v>2865</v>
      </c>
      <c r="J860" t="s">
        <v>2846</v>
      </c>
      <c r="K860" t="s">
        <v>2847</v>
      </c>
      <c r="L860" t="s">
        <v>2843</v>
      </c>
      <c r="M860" t="s">
        <v>2837</v>
      </c>
      <c r="N860" t="s">
        <v>2844</v>
      </c>
    </row>
    <row r="861" spans="1:14">
      <c r="A861">
        <v>2600</v>
      </c>
      <c r="B861">
        <v>0</v>
      </c>
      <c r="C861">
        <v>2600</v>
      </c>
      <c r="D861">
        <v>1742</v>
      </c>
      <c r="E861">
        <v>858</v>
      </c>
      <c r="F861" s="12">
        <v>0.33</v>
      </c>
      <c r="G861">
        <v>2025</v>
      </c>
      <c r="H861">
        <v>10</v>
      </c>
      <c r="I861" t="s">
        <v>2854</v>
      </c>
      <c r="J861" t="s">
        <v>2855</v>
      </c>
      <c r="K861" t="s">
        <v>2852</v>
      </c>
      <c r="L861" t="s">
        <v>2843</v>
      </c>
      <c r="M861" t="s">
        <v>2837</v>
      </c>
      <c r="N861" t="s">
        <v>2857</v>
      </c>
    </row>
    <row r="862" spans="1:14">
      <c r="A862">
        <v>2080</v>
      </c>
      <c r="B862">
        <v>104</v>
      </c>
      <c r="C862">
        <v>1976</v>
      </c>
      <c r="D862">
        <v>1393.6</v>
      </c>
      <c r="E862">
        <v>582.40000000000009</v>
      </c>
      <c r="F862" s="12">
        <v>0.29473684210526319</v>
      </c>
      <c r="G862">
        <v>2025</v>
      </c>
      <c r="H862">
        <v>5</v>
      </c>
      <c r="I862" t="s">
        <v>2845</v>
      </c>
      <c r="J862" t="s">
        <v>2846</v>
      </c>
      <c r="K862" t="s">
        <v>2860</v>
      </c>
      <c r="L862" t="s">
        <v>2843</v>
      </c>
      <c r="M862" t="s">
        <v>2837</v>
      </c>
      <c r="N862" t="s">
        <v>2857</v>
      </c>
    </row>
    <row r="863" spans="1:14">
      <c r="A863">
        <v>760</v>
      </c>
      <c r="B863">
        <v>0</v>
      </c>
      <c r="C863">
        <v>760</v>
      </c>
      <c r="D863">
        <v>592.79999999999995</v>
      </c>
      <c r="E863">
        <v>167.20000000000005</v>
      </c>
      <c r="F863" s="12">
        <v>0.22000000000000006</v>
      </c>
      <c r="G863">
        <v>2025</v>
      </c>
      <c r="H863">
        <v>9</v>
      </c>
      <c r="I863" t="s">
        <v>2853</v>
      </c>
      <c r="J863" t="s">
        <v>2841</v>
      </c>
      <c r="K863" t="s">
        <v>2852</v>
      </c>
      <c r="L863" t="s">
        <v>2856</v>
      </c>
      <c r="M863" t="s">
        <v>2838</v>
      </c>
      <c r="N863" t="s">
        <v>2849</v>
      </c>
    </row>
    <row r="864" spans="1:14">
      <c r="A864">
        <v>4680</v>
      </c>
      <c r="B864">
        <v>0</v>
      </c>
      <c r="C864">
        <v>4680</v>
      </c>
      <c r="D864">
        <v>2808</v>
      </c>
      <c r="E864">
        <v>1872</v>
      </c>
      <c r="F864" s="12">
        <v>0.4</v>
      </c>
      <c r="G864">
        <v>2025</v>
      </c>
      <c r="H864">
        <v>4</v>
      </c>
      <c r="I864" t="s">
        <v>2865</v>
      </c>
      <c r="J864" t="s">
        <v>2846</v>
      </c>
      <c r="K864" t="s">
        <v>2842</v>
      </c>
      <c r="L864" t="s">
        <v>2856</v>
      </c>
      <c r="M864" t="s">
        <v>2839</v>
      </c>
      <c r="N864" t="s">
        <v>2857</v>
      </c>
    </row>
    <row r="865" spans="1:14">
      <c r="A865">
        <v>22</v>
      </c>
      <c r="B865">
        <v>0</v>
      </c>
      <c r="C865">
        <v>22</v>
      </c>
      <c r="D865">
        <v>14.96</v>
      </c>
      <c r="E865">
        <v>7.0399999999999991</v>
      </c>
      <c r="F865" s="12">
        <v>0.31999999999999995</v>
      </c>
      <c r="G865">
        <v>2025</v>
      </c>
      <c r="H865">
        <v>3</v>
      </c>
      <c r="I865" t="s">
        <v>2859</v>
      </c>
      <c r="J865" t="s">
        <v>2851</v>
      </c>
      <c r="K865" t="s">
        <v>2847</v>
      </c>
      <c r="L865" t="s">
        <v>2848</v>
      </c>
      <c r="M865" t="s">
        <v>2838</v>
      </c>
      <c r="N865" t="s">
        <v>2844</v>
      </c>
    </row>
    <row r="866" spans="1:14">
      <c r="A866">
        <v>145</v>
      </c>
      <c r="B866">
        <v>2.9</v>
      </c>
      <c r="C866">
        <v>142.1</v>
      </c>
      <c r="D866">
        <v>97.15</v>
      </c>
      <c r="E866">
        <v>44.949999999999989</v>
      </c>
      <c r="F866" s="12">
        <v>0.31632653061224481</v>
      </c>
      <c r="G866">
        <v>2025</v>
      </c>
      <c r="H866">
        <v>8</v>
      </c>
      <c r="I866" t="s">
        <v>2863</v>
      </c>
      <c r="J866" t="s">
        <v>2841</v>
      </c>
      <c r="K866" t="s">
        <v>2842</v>
      </c>
      <c r="L866" t="s">
        <v>2856</v>
      </c>
      <c r="M866" t="s">
        <v>2839</v>
      </c>
      <c r="N866" t="s">
        <v>2844</v>
      </c>
    </row>
    <row r="867" spans="1:14">
      <c r="A867">
        <v>2080</v>
      </c>
      <c r="B867">
        <v>208</v>
      </c>
      <c r="C867">
        <v>1872</v>
      </c>
      <c r="D867">
        <v>1393.6</v>
      </c>
      <c r="E867">
        <v>478.40000000000009</v>
      </c>
      <c r="F867" s="12">
        <v>0.25555555555555559</v>
      </c>
      <c r="G867">
        <v>2025</v>
      </c>
      <c r="H867">
        <v>11</v>
      </c>
      <c r="I867" t="s">
        <v>2862</v>
      </c>
      <c r="J867" t="s">
        <v>2855</v>
      </c>
      <c r="K867" t="s">
        <v>2852</v>
      </c>
      <c r="L867" t="s">
        <v>2843</v>
      </c>
      <c r="M867" t="s">
        <v>2839</v>
      </c>
      <c r="N867" t="s">
        <v>2857</v>
      </c>
    </row>
    <row r="868" spans="1:14">
      <c r="A868">
        <v>520</v>
      </c>
      <c r="B868">
        <v>0</v>
      </c>
      <c r="C868">
        <v>520</v>
      </c>
      <c r="D868">
        <v>379.6</v>
      </c>
      <c r="E868">
        <v>140.39999999999998</v>
      </c>
      <c r="F868" s="12">
        <v>0.26999999999999996</v>
      </c>
      <c r="G868">
        <v>2025</v>
      </c>
      <c r="H868">
        <v>3</v>
      </c>
      <c r="I868" t="s">
        <v>2859</v>
      </c>
      <c r="J868" t="s">
        <v>2851</v>
      </c>
      <c r="K868" t="s">
        <v>2842</v>
      </c>
      <c r="L868" t="s">
        <v>2843</v>
      </c>
      <c r="M868" t="s">
        <v>2837</v>
      </c>
      <c r="N868" t="s">
        <v>2849</v>
      </c>
    </row>
    <row r="869" spans="1:14">
      <c r="A869">
        <v>760</v>
      </c>
      <c r="B869">
        <v>0</v>
      </c>
      <c r="C869">
        <v>760</v>
      </c>
      <c r="D869">
        <v>592.79999999999995</v>
      </c>
      <c r="E869">
        <v>167.20000000000005</v>
      </c>
      <c r="F869" s="12">
        <v>0.22000000000000006</v>
      </c>
      <c r="G869">
        <v>2025</v>
      </c>
      <c r="H869">
        <v>2</v>
      </c>
      <c r="I869" t="s">
        <v>2861</v>
      </c>
      <c r="J869" t="s">
        <v>2851</v>
      </c>
      <c r="K869" t="s">
        <v>2842</v>
      </c>
      <c r="L869" t="s">
        <v>2856</v>
      </c>
      <c r="M869" t="s">
        <v>2839</v>
      </c>
      <c r="N869" t="s">
        <v>2849</v>
      </c>
    </row>
    <row r="870" spans="1:14">
      <c r="A870">
        <v>65</v>
      </c>
      <c r="B870">
        <v>3.25</v>
      </c>
      <c r="C870">
        <v>61.75</v>
      </c>
      <c r="D870">
        <v>47.45</v>
      </c>
      <c r="E870">
        <v>14.299999999999997</v>
      </c>
      <c r="F870" s="12">
        <v>0.231578947368421</v>
      </c>
      <c r="G870">
        <v>2025</v>
      </c>
      <c r="H870">
        <v>3</v>
      </c>
      <c r="I870" t="s">
        <v>2859</v>
      </c>
      <c r="J870" t="s">
        <v>2851</v>
      </c>
      <c r="K870" t="s">
        <v>2847</v>
      </c>
      <c r="L870" t="s">
        <v>2848</v>
      </c>
      <c r="M870" t="s">
        <v>2838</v>
      </c>
      <c r="N870" t="s">
        <v>2844</v>
      </c>
    </row>
    <row r="871" spans="1:14">
      <c r="A871">
        <v>435</v>
      </c>
      <c r="B871">
        <v>43.5</v>
      </c>
      <c r="C871">
        <v>391.5</v>
      </c>
      <c r="D871">
        <v>291.45000000000005</v>
      </c>
      <c r="E871">
        <v>100.04999999999995</v>
      </c>
      <c r="F871" s="12">
        <v>0.25555555555555542</v>
      </c>
      <c r="G871">
        <v>2025</v>
      </c>
      <c r="H871">
        <v>3</v>
      </c>
      <c r="I871" t="s">
        <v>2859</v>
      </c>
      <c r="J871" t="s">
        <v>2851</v>
      </c>
      <c r="K871" t="s">
        <v>2852</v>
      </c>
      <c r="L871" t="s">
        <v>2856</v>
      </c>
      <c r="M871" t="s">
        <v>2837</v>
      </c>
      <c r="N871" t="s">
        <v>2844</v>
      </c>
    </row>
    <row r="872" spans="1:14">
      <c r="A872">
        <v>780</v>
      </c>
      <c r="B872">
        <v>78</v>
      </c>
      <c r="C872">
        <v>702</v>
      </c>
      <c r="D872">
        <v>569.40000000000009</v>
      </c>
      <c r="E872">
        <v>132.59999999999991</v>
      </c>
      <c r="F872" s="12">
        <v>0.18888888888888877</v>
      </c>
      <c r="G872">
        <v>2025</v>
      </c>
      <c r="H872">
        <v>12</v>
      </c>
      <c r="I872" t="s">
        <v>2858</v>
      </c>
      <c r="J872" t="s">
        <v>2855</v>
      </c>
      <c r="K872" t="s">
        <v>2842</v>
      </c>
      <c r="L872" t="s">
        <v>2843</v>
      </c>
      <c r="M872" t="s">
        <v>2837</v>
      </c>
      <c r="N872" t="s">
        <v>2849</v>
      </c>
    </row>
    <row r="873" spans="1:14">
      <c r="A873">
        <v>780</v>
      </c>
      <c r="B873">
        <v>0</v>
      </c>
      <c r="C873">
        <v>780</v>
      </c>
      <c r="D873">
        <v>569.40000000000009</v>
      </c>
      <c r="E873">
        <v>210.59999999999991</v>
      </c>
      <c r="F873" s="12">
        <v>0.26999999999999991</v>
      </c>
      <c r="G873">
        <v>2025</v>
      </c>
      <c r="H873">
        <v>4</v>
      </c>
      <c r="I873" t="s">
        <v>2865</v>
      </c>
      <c r="J873" t="s">
        <v>2846</v>
      </c>
      <c r="K873" t="s">
        <v>2842</v>
      </c>
      <c r="L873" t="s">
        <v>2856</v>
      </c>
      <c r="M873" t="s">
        <v>2839</v>
      </c>
      <c r="N873" t="s">
        <v>2849</v>
      </c>
    </row>
    <row r="874" spans="1:14">
      <c r="A874">
        <v>780</v>
      </c>
      <c r="B874">
        <v>39</v>
      </c>
      <c r="C874">
        <v>741</v>
      </c>
      <c r="D874">
        <v>468</v>
      </c>
      <c r="E874">
        <v>273</v>
      </c>
      <c r="F874" s="12">
        <v>0.36842105263157893</v>
      </c>
      <c r="G874">
        <v>2025</v>
      </c>
      <c r="H874">
        <v>10</v>
      </c>
      <c r="I874" t="s">
        <v>2854</v>
      </c>
      <c r="J874" t="s">
        <v>2855</v>
      </c>
      <c r="K874" t="s">
        <v>2842</v>
      </c>
      <c r="L874" t="s">
        <v>2848</v>
      </c>
      <c r="M874" t="s">
        <v>2838</v>
      </c>
      <c r="N874" t="s">
        <v>2849</v>
      </c>
    </row>
    <row r="875" spans="1:14">
      <c r="A875">
        <v>520</v>
      </c>
      <c r="B875">
        <v>52</v>
      </c>
      <c r="C875">
        <v>468</v>
      </c>
      <c r="D875">
        <v>379.6</v>
      </c>
      <c r="E875">
        <v>88.399999999999977</v>
      </c>
      <c r="F875" s="12">
        <v>0.18888888888888883</v>
      </c>
      <c r="G875">
        <v>2025</v>
      </c>
      <c r="H875">
        <v>8</v>
      </c>
      <c r="I875" t="s">
        <v>2863</v>
      </c>
      <c r="J875" t="s">
        <v>2841</v>
      </c>
      <c r="K875" t="s">
        <v>2842</v>
      </c>
      <c r="L875" t="s">
        <v>2843</v>
      </c>
      <c r="M875" t="s">
        <v>2837</v>
      </c>
      <c r="N875" t="s">
        <v>2844</v>
      </c>
    </row>
    <row r="876" spans="1:14">
      <c r="A876">
        <v>1560</v>
      </c>
      <c r="B876">
        <v>31.2</v>
      </c>
      <c r="C876">
        <v>1528.8</v>
      </c>
      <c r="D876">
        <v>936</v>
      </c>
      <c r="E876">
        <v>592.79999999999995</v>
      </c>
      <c r="F876" s="12">
        <v>0.38775510204081631</v>
      </c>
      <c r="G876">
        <v>2025</v>
      </c>
      <c r="H876">
        <v>11</v>
      </c>
      <c r="I876" t="s">
        <v>2862</v>
      </c>
      <c r="J876" t="s">
        <v>2855</v>
      </c>
      <c r="K876" t="s">
        <v>2842</v>
      </c>
      <c r="L876" t="s">
        <v>2856</v>
      </c>
      <c r="M876" t="s">
        <v>2839</v>
      </c>
      <c r="N876" t="s">
        <v>2857</v>
      </c>
    </row>
    <row r="877" spans="1:14">
      <c r="A877">
        <v>960</v>
      </c>
      <c r="B877">
        <v>0</v>
      </c>
      <c r="C877">
        <v>960</v>
      </c>
      <c r="D877">
        <v>748.8</v>
      </c>
      <c r="E877">
        <v>211.20000000000005</v>
      </c>
      <c r="F877" s="12">
        <v>0.22000000000000006</v>
      </c>
      <c r="G877">
        <v>2025</v>
      </c>
      <c r="H877">
        <v>5</v>
      </c>
      <c r="I877" t="s">
        <v>2845</v>
      </c>
      <c r="J877" t="s">
        <v>2846</v>
      </c>
      <c r="K877" t="s">
        <v>2842</v>
      </c>
      <c r="L877" t="s">
        <v>2856</v>
      </c>
      <c r="M877" t="s">
        <v>2839</v>
      </c>
      <c r="N877" t="s">
        <v>2849</v>
      </c>
    </row>
    <row r="878" spans="1:14">
      <c r="A878">
        <v>120</v>
      </c>
      <c r="B878">
        <v>0</v>
      </c>
      <c r="C878">
        <v>120</v>
      </c>
      <c r="D878">
        <v>73.2</v>
      </c>
      <c r="E878">
        <v>46.8</v>
      </c>
      <c r="F878" s="12">
        <v>0.38999999999999996</v>
      </c>
      <c r="G878">
        <v>2025</v>
      </c>
      <c r="H878">
        <v>1</v>
      </c>
      <c r="I878" t="s">
        <v>2850</v>
      </c>
      <c r="J878" t="s">
        <v>2851</v>
      </c>
      <c r="K878" t="s">
        <v>2842</v>
      </c>
      <c r="L878" t="s">
        <v>2843</v>
      </c>
      <c r="M878" t="s">
        <v>2837</v>
      </c>
      <c r="N878" t="s">
        <v>2844</v>
      </c>
    </row>
    <row r="879" spans="1:14">
      <c r="A879">
        <v>1260</v>
      </c>
      <c r="B879">
        <v>0</v>
      </c>
      <c r="C879">
        <v>1260</v>
      </c>
      <c r="D879">
        <v>819</v>
      </c>
      <c r="E879">
        <v>441</v>
      </c>
      <c r="F879" s="12">
        <v>0.35</v>
      </c>
      <c r="G879">
        <v>2025</v>
      </c>
      <c r="H879">
        <v>10</v>
      </c>
      <c r="I879" t="s">
        <v>2854</v>
      </c>
      <c r="J879" t="s">
        <v>2855</v>
      </c>
      <c r="K879" t="s">
        <v>2860</v>
      </c>
      <c r="L879" t="s">
        <v>2843</v>
      </c>
      <c r="M879" t="s">
        <v>2837</v>
      </c>
      <c r="N879" t="s">
        <v>2857</v>
      </c>
    </row>
    <row r="880" spans="1:14">
      <c r="A880">
        <v>960</v>
      </c>
      <c r="B880">
        <v>48</v>
      </c>
      <c r="C880">
        <v>912</v>
      </c>
      <c r="D880">
        <v>710.4</v>
      </c>
      <c r="E880">
        <v>201.60000000000002</v>
      </c>
      <c r="F880" s="12">
        <v>0.22105263157894739</v>
      </c>
      <c r="G880">
        <v>2025</v>
      </c>
      <c r="H880">
        <v>2</v>
      </c>
      <c r="I880" t="s">
        <v>2861</v>
      </c>
      <c r="J880" t="s">
        <v>2851</v>
      </c>
      <c r="K880" t="s">
        <v>2842</v>
      </c>
      <c r="L880" t="s">
        <v>2848</v>
      </c>
      <c r="M880" t="s">
        <v>2838</v>
      </c>
      <c r="N880" t="s">
        <v>2849</v>
      </c>
    </row>
    <row r="881" spans="1:14">
      <c r="A881">
        <v>570</v>
      </c>
      <c r="B881">
        <v>28.5</v>
      </c>
      <c r="C881">
        <v>541.5</v>
      </c>
      <c r="D881">
        <v>444.59999999999997</v>
      </c>
      <c r="E881">
        <v>96.900000000000034</v>
      </c>
      <c r="F881" s="12">
        <v>0.17894736842105269</v>
      </c>
      <c r="G881">
        <v>2025</v>
      </c>
      <c r="H881">
        <v>3</v>
      </c>
      <c r="I881" t="s">
        <v>2859</v>
      </c>
      <c r="J881" t="s">
        <v>2851</v>
      </c>
      <c r="K881" t="s">
        <v>2842</v>
      </c>
      <c r="L881" t="s">
        <v>2848</v>
      </c>
      <c r="M881" t="s">
        <v>2838</v>
      </c>
      <c r="N881" t="s">
        <v>2849</v>
      </c>
    </row>
    <row r="882" spans="1:14">
      <c r="A882">
        <v>1560</v>
      </c>
      <c r="B882">
        <v>156</v>
      </c>
      <c r="C882">
        <v>1404</v>
      </c>
      <c r="D882">
        <v>936</v>
      </c>
      <c r="E882">
        <v>468</v>
      </c>
      <c r="F882" s="12">
        <v>0.33333333333333331</v>
      </c>
      <c r="G882">
        <v>2025</v>
      </c>
      <c r="H882">
        <v>5</v>
      </c>
      <c r="I882" t="s">
        <v>2845</v>
      </c>
      <c r="J882" t="s">
        <v>2846</v>
      </c>
      <c r="K882" t="s">
        <v>2842</v>
      </c>
      <c r="L882" t="s">
        <v>2848</v>
      </c>
      <c r="M882" t="s">
        <v>2839</v>
      </c>
      <c r="N882" t="s">
        <v>2857</v>
      </c>
    </row>
    <row r="883" spans="1:14">
      <c r="A883">
        <v>350</v>
      </c>
      <c r="B883">
        <v>17.5</v>
      </c>
      <c r="C883">
        <v>332.5</v>
      </c>
      <c r="D883">
        <v>213.5</v>
      </c>
      <c r="E883">
        <v>119</v>
      </c>
      <c r="F883" s="12">
        <v>0.35789473684210527</v>
      </c>
      <c r="G883">
        <v>2025</v>
      </c>
      <c r="H883">
        <v>8</v>
      </c>
      <c r="I883" t="s">
        <v>2863</v>
      </c>
      <c r="J883" t="s">
        <v>2841</v>
      </c>
      <c r="K883" t="s">
        <v>2852</v>
      </c>
      <c r="L883" t="s">
        <v>2856</v>
      </c>
      <c r="M883" t="s">
        <v>2839</v>
      </c>
      <c r="N883" t="s">
        <v>2844</v>
      </c>
    </row>
    <row r="884" spans="1:14">
      <c r="A884">
        <v>70</v>
      </c>
      <c r="B884">
        <v>0</v>
      </c>
      <c r="C884">
        <v>70</v>
      </c>
      <c r="D884">
        <v>48.3</v>
      </c>
      <c r="E884">
        <v>21.700000000000003</v>
      </c>
      <c r="F884" s="12">
        <v>0.31000000000000005</v>
      </c>
      <c r="G884">
        <v>2025</v>
      </c>
      <c r="H884">
        <v>11</v>
      </c>
      <c r="I884" t="s">
        <v>2862</v>
      </c>
      <c r="J884" t="s">
        <v>2855</v>
      </c>
      <c r="K884" t="s">
        <v>2847</v>
      </c>
      <c r="L884" t="s">
        <v>2843</v>
      </c>
      <c r="M884" t="s">
        <v>2837</v>
      </c>
      <c r="N884" t="s">
        <v>2844</v>
      </c>
    </row>
    <row r="885" spans="1:14">
      <c r="A885">
        <v>1400</v>
      </c>
      <c r="B885">
        <v>28</v>
      </c>
      <c r="C885">
        <v>1372</v>
      </c>
      <c r="D885">
        <v>854</v>
      </c>
      <c r="E885">
        <v>518</v>
      </c>
      <c r="F885" s="12">
        <v>0.37755102040816324</v>
      </c>
      <c r="G885">
        <v>2025</v>
      </c>
      <c r="H885">
        <v>3</v>
      </c>
      <c r="I885" t="s">
        <v>2859</v>
      </c>
      <c r="J885" t="s">
        <v>2851</v>
      </c>
      <c r="K885" t="s">
        <v>2847</v>
      </c>
      <c r="L885" t="s">
        <v>2843</v>
      </c>
      <c r="M885" t="s">
        <v>2837</v>
      </c>
      <c r="N885" t="s">
        <v>2857</v>
      </c>
    </row>
    <row r="886" spans="1:14">
      <c r="A886">
        <v>420</v>
      </c>
      <c r="B886">
        <v>21</v>
      </c>
      <c r="C886">
        <v>399</v>
      </c>
      <c r="D886">
        <v>273</v>
      </c>
      <c r="E886">
        <v>126</v>
      </c>
      <c r="F886" s="12">
        <v>0.31578947368421051</v>
      </c>
      <c r="G886">
        <v>2025</v>
      </c>
      <c r="H886">
        <v>4</v>
      </c>
      <c r="I886" t="s">
        <v>2865</v>
      </c>
      <c r="J886" t="s">
        <v>2846</v>
      </c>
      <c r="K886" t="s">
        <v>2860</v>
      </c>
      <c r="L886" t="s">
        <v>2856</v>
      </c>
      <c r="M886" t="s">
        <v>2839</v>
      </c>
      <c r="N886" t="s">
        <v>2844</v>
      </c>
    </row>
    <row r="887" spans="1:14">
      <c r="A887">
        <v>190</v>
      </c>
      <c r="B887">
        <v>0</v>
      </c>
      <c r="C887">
        <v>190</v>
      </c>
      <c r="D887">
        <v>148.19999999999999</v>
      </c>
      <c r="E887">
        <v>41.800000000000011</v>
      </c>
      <c r="F887" s="12">
        <v>0.22000000000000006</v>
      </c>
      <c r="G887">
        <v>2025</v>
      </c>
      <c r="H887">
        <v>2</v>
      </c>
      <c r="I887" t="s">
        <v>2861</v>
      </c>
      <c r="J887" t="s">
        <v>2851</v>
      </c>
      <c r="K887" t="s">
        <v>2847</v>
      </c>
      <c r="L887" t="s">
        <v>2848</v>
      </c>
      <c r="M887" t="s">
        <v>2838</v>
      </c>
      <c r="N887" t="s">
        <v>2844</v>
      </c>
    </row>
    <row r="888" spans="1:14">
      <c r="A888">
        <v>840</v>
      </c>
      <c r="B888">
        <v>16.8</v>
      </c>
      <c r="C888">
        <v>823.2</v>
      </c>
      <c r="D888">
        <v>546</v>
      </c>
      <c r="E888">
        <v>277.20000000000005</v>
      </c>
      <c r="F888" s="12">
        <v>0.33673469387755106</v>
      </c>
      <c r="G888">
        <v>2025</v>
      </c>
      <c r="H888">
        <v>5</v>
      </c>
      <c r="I888" t="s">
        <v>2845</v>
      </c>
      <c r="J888" t="s">
        <v>2846</v>
      </c>
      <c r="K888" t="s">
        <v>2842</v>
      </c>
      <c r="L888" t="s">
        <v>2848</v>
      </c>
      <c r="M888" t="s">
        <v>2838</v>
      </c>
      <c r="N888" t="s">
        <v>2849</v>
      </c>
    </row>
    <row r="889" spans="1:14">
      <c r="A889">
        <v>330</v>
      </c>
      <c r="B889">
        <v>0</v>
      </c>
      <c r="C889">
        <v>330</v>
      </c>
      <c r="D889">
        <v>217.79999999999998</v>
      </c>
      <c r="E889">
        <v>112.20000000000002</v>
      </c>
      <c r="F889" s="12">
        <v>0.34</v>
      </c>
      <c r="G889">
        <v>2025</v>
      </c>
      <c r="H889">
        <v>3</v>
      </c>
      <c r="I889" t="s">
        <v>2859</v>
      </c>
      <c r="J889" t="s">
        <v>2851</v>
      </c>
      <c r="K889" t="s">
        <v>2842</v>
      </c>
      <c r="L889" t="s">
        <v>2843</v>
      </c>
      <c r="M889" t="s">
        <v>2837</v>
      </c>
      <c r="N889" t="s">
        <v>2844</v>
      </c>
    </row>
    <row r="890" spans="1:14">
      <c r="A890">
        <v>570</v>
      </c>
      <c r="B890">
        <v>45.6</v>
      </c>
      <c r="C890">
        <v>524.4</v>
      </c>
      <c r="D890">
        <v>444.59999999999997</v>
      </c>
      <c r="E890">
        <v>79.800000000000011</v>
      </c>
      <c r="F890" s="12">
        <v>0.1521739130434783</v>
      </c>
      <c r="G890">
        <v>2025</v>
      </c>
      <c r="H890">
        <v>11</v>
      </c>
      <c r="I890" t="s">
        <v>2862</v>
      </c>
      <c r="J890" t="s">
        <v>2855</v>
      </c>
      <c r="K890" t="s">
        <v>2847</v>
      </c>
      <c r="L890" t="s">
        <v>2848</v>
      </c>
      <c r="M890" t="s">
        <v>2838</v>
      </c>
      <c r="N890" t="s">
        <v>2849</v>
      </c>
    </row>
    <row r="891" spans="1:14">
      <c r="A891">
        <v>480</v>
      </c>
      <c r="B891">
        <v>0</v>
      </c>
      <c r="C891">
        <v>480</v>
      </c>
      <c r="D891">
        <v>292.8</v>
      </c>
      <c r="E891">
        <v>187.2</v>
      </c>
      <c r="F891" s="12">
        <v>0.38999999999999996</v>
      </c>
      <c r="G891">
        <v>2025</v>
      </c>
      <c r="H891">
        <v>8</v>
      </c>
      <c r="I891" t="s">
        <v>2863</v>
      </c>
      <c r="J891" t="s">
        <v>2841</v>
      </c>
      <c r="K891" t="s">
        <v>2847</v>
      </c>
      <c r="L891" t="s">
        <v>2856</v>
      </c>
      <c r="M891" t="s">
        <v>2839</v>
      </c>
      <c r="N891" t="s">
        <v>2844</v>
      </c>
    </row>
    <row r="892" spans="1:14">
      <c r="A892">
        <v>650</v>
      </c>
      <c r="B892">
        <v>0</v>
      </c>
      <c r="C892">
        <v>650</v>
      </c>
      <c r="D892">
        <v>474.5</v>
      </c>
      <c r="E892">
        <v>175.5</v>
      </c>
      <c r="F892" s="12">
        <v>0.27</v>
      </c>
      <c r="G892">
        <v>2025</v>
      </c>
      <c r="H892">
        <v>6</v>
      </c>
      <c r="I892" t="s">
        <v>2864</v>
      </c>
      <c r="J892" t="s">
        <v>2846</v>
      </c>
      <c r="K892" t="s">
        <v>2842</v>
      </c>
      <c r="L892" t="s">
        <v>2843</v>
      </c>
      <c r="M892" t="s">
        <v>2837</v>
      </c>
      <c r="N892" t="s">
        <v>2849</v>
      </c>
    </row>
    <row r="893" spans="1:14">
      <c r="A893">
        <v>110</v>
      </c>
      <c r="B893">
        <v>11</v>
      </c>
      <c r="C893">
        <v>99</v>
      </c>
      <c r="D893">
        <v>72.599999999999994</v>
      </c>
      <c r="E893">
        <v>26.400000000000006</v>
      </c>
      <c r="F893" s="12">
        <v>0.26666666666666672</v>
      </c>
      <c r="G893">
        <v>2025</v>
      </c>
      <c r="H893">
        <v>7</v>
      </c>
      <c r="I893" t="s">
        <v>2840</v>
      </c>
      <c r="J893" t="s">
        <v>2841</v>
      </c>
      <c r="K893" t="s">
        <v>2852</v>
      </c>
      <c r="L893" t="s">
        <v>2843</v>
      </c>
      <c r="M893" t="s">
        <v>2837</v>
      </c>
      <c r="N893" t="s">
        <v>2844</v>
      </c>
    </row>
    <row r="894" spans="1:14">
      <c r="A894">
        <v>760</v>
      </c>
      <c r="B894">
        <v>0</v>
      </c>
      <c r="C894">
        <v>760</v>
      </c>
      <c r="D894">
        <v>592.79999999999995</v>
      </c>
      <c r="E894">
        <v>167.20000000000005</v>
      </c>
      <c r="F894" s="12">
        <v>0.22000000000000006</v>
      </c>
      <c r="G894">
        <v>2025</v>
      </c>
      <c r="H894">
        <v>4</v>
      </c>
      <c r="I894" t="s">
        <v>2865</v>
      </c>
      <c r="J894" t="s">
        <v>2846</v>
      </c>
      <c r="K894" t="s">
        <v>2852</v>
      </c>
      <c r="L894" t="s">
        <v>2856</v>
      </c>
      <c r="M894" t="s">
        <v>2839</v>
      </c>
      <c r="N894" t="s">
        <v>2849</v>
      </c>
    </row>
    <row r="895" spans="1:14">
      <c r="A895">
        <v>285</v>
      </c>
      <c r="B895">
        <v>5.7</v>
      </c>
      <c r="C895">
        <v>279.3</v>
      </c>
      <c r="D895">
        <v>210.89999999999998</v>
      </c>
      <c r="E895">
        <v>68.400000000000034</v>
      </c>
      <c r="F895" s="12">
        <v>0.24489795918367357</v>
      </c>
      <c r="G895">
        <v>2025</v>
      </c>
      <c r="H895">
        <v>1</v>
      </c>
      <c r="I895" t="s">
        <v>2850</v>
      </c>
      <c r="J895" t="s">
        <v>2851</v>
      </c>
      <c r="K895" t="s">
        <v>2847</v>
      </c>
      <c r="L895" t="s">
        <v>2848</v>
      </c>
      <c r="M895" t="s">
        <v>2838</v>
      </c>
      <c r="N895" t="s">
        <v>2844</v>
      </c>
    </row>
    <row r="896" spans="1:14">
      <c r="A896">
        <v>190</v>
      </c>
      <c r="B896">
        <v>0</v>
      </c>
      <c r="C896">
        <v>190</v>
      </c>
      <c r="D896">
        <v>140.6</v>
      </c>
      <c r="E896">
        <v>49.400000000000006</v>
      </c>
      <c r="F896" s="12">
        <v>0.26</v>
      </c>
      <c r="G896">
        <v>2025</v>
      </c>
      <c r="H896">
        <v>9</v>
      </c>
      <c r="I896" t="s">
        <v>2853</v>
      </c>
      <c r="J896" t="s">
        <v>2841</v>
      </c>
      <c r="K896" t="s">
        <v>2860</v>
      </c>
      <c r="L896" t="s">
        <v>2843</v>
      </c>
      <c r="M896" t="s">
        <v>2837</v>
      </c>
      <c r="N896" t="s">
        <v>2844</v>
      </c>
    </row>
    <row r="897" spans="1:14">
      <c r="A897">
        <v>70</v>
      </c>
      <c r="B897">
        <v>7</v>
      </c>
      <c r="C897">
        <v>63</v>
      </c>
      <c r="D897">
        <v>48.3</v>
      </c>
      <c r="E897">
        <v>14.700000000000003</v>
      </c>
      <c r="F897" s="12">
        <v>0.23333333333333336</v>
      </c>
      <c r="G897">
        <v>2025</v>
      </c>
      <c r="H897">
        <v>9</v>
      </c>
      <c r="I897" t="s">
        <v>2853</v>
      </c>
      <c r="J897" t="s">
        <v>2841</v>
      </c>
      <c r="K897" t="s">
        <v>2852</v>
      </c>
      <c r="L897" t="s">
        <v>2843</v>
      </c>
      <c r="M897" t="s">
        <v>2837</v>
      </c>
      <c r="N897" t="s">
        <v>2844</v>
      </c>
    </row>
    <row r="898" spans="1:14">
      <c r="A898">
        <v>35</v>
      </c>
      <c r="B898">
        <v>3.5</v>
      </c>
      <c r="C898">
        <v>31.5</v>
      </c>
      <c r="D898">
        <v>24.15</v>
      </c>
      <c r="E898">
        <v>7.3500000000000014</v>
      </c>
      <c r="F898" s="12">
        <v>0.23333333333333336</v>
      </c>
      <c r="G898">
        <v>2025</v>
      </c>
      <c r="H898">
        <v>4</v>
      </c>
      <c r="I898" t="s">
        <v>2865</v>
      </c>
      <c r="J898" t="s">
        <v>2846</v>
      </c>
      <c r="K898" t="s">
        <v>2842</v>
      </c>
      <c r="L898" t="s">
        <v>2848</v>
      </c>
      <c r="M898" t="s">
        <v>2838</v>
      </c>
      <c r="N898" t="s">
        <v>2844</v>
      </c>
    </row>
    <row r="899" spans="1:14">
      <c r="A899">
        <v>22</v>
      </c>
      <c r="B899">
        <v>1.76</v>
      </c>
      <c r="C899">
        <v>20.239999999999998</v>
      </c>
      <c r="D899">
        <v>14.96</v>
      </c>
      <c r="E899">
        <v>5.2799999999999976</v>
      </c>
      <c r="F899" s="12">
        <v>0.26086956521739119</v>
      </c>
      <c r="G899">
        <v>2025</v>
      </c>
      <c r="H899">
        <v>12</v>
      </c>
      <c r="I899" t="s">
        <v>2858</v>
      </c>
      <c r="J899" t="s">
        <v>2855</v>
      </c>
      <c r="K899" t="s">
        <v>2842</v>
      </c>
      <c r="L899" t="s">
        <v>2856</v>
      </c>
      <c r="M899" t="s">
        <v>2839</v>
      </c>
      <c r="N899" t="s">
        <v>2844</v>
      </c>
    </row>
    <row r="900" spans="1:14">
      <c r="A900">
        <v>1560</v>
      </c>
      <c r="B900">
        <v>31.2</v>
      </c>
      <c r="C900">
        <v>1528.8</v>
      </c>
      <c r="D900">
        <v>936</v>
      </c>
      <c r="E900">
        <v>592.79999999999995</v>
      </c>
      <c r="F900" s="12">
        <v>0.38775510204081631</v>
      </c>
      <c r="G900">
        <v>2025</v>
      </c>
      <c r="H900">
        <v>11</v>
      </c>
      <c r="I900" t="s">
        <v>2862</v>
      </c>
      <c r="J900" t="s">
        <v>2855</v>
      </c>
      <c r="K900" t="s">
        <v>2847</v>
      </c>
      <c r="L900" t="s">
        <v>2848</v>
      </c>
      <c r="M900" t="s">
        <v>2838</v>
      </c>
      <c r="N900" t="s">
        <v>2857</v>
      </c>
    </row>
    <row r="901" spans="1:14">
      <c r="A901">
        <v>35</v>
      </c>
      <c r="B901">
        <v>0</v>
      </c>
      <c r="C901">
        <v>35</v>
      </c>
      <c r="D901">
        <v>24.15</v>
      </c>
      <c r="E901">
        <v>10.850000000000001</v>
      </c>
      <c r="F901" s="12">
        <v>0.31000000000000005</v>
      </c>
      <c r="G901">
        <v>2025</v>
      </c>
      <c r="H901">
        <v>12</v>
      </c>
      <c r="I901" t="s">
        <v>2858</v>
      </c>
      <c r="J901" t="s">
        <v>2855</v>
      </c>
      <c r="K901" t="s">
        <v>2842</v>
      </c>
      <c r="L901" t="s">
        <v>2843</v>
      </c>
      <c r="M901" t="s">
        <v>2837</v>
      </c>
      <c r="N901" t="s">
        <v>2844</v>
      </c>
    </row>
    <row r="902" spans="1:14">
      <c r="A902">
        <v>840</v>
      </c>
      <c r="B902">
        <v>42</v>
      </c>
      <c r="C902">
        <v>798</v>
      </c>
      <c r="D902">
        <v>546</v>
      </c>
      <c r="E902">
        <v>252</v>
      </c>
      <c r="F902" s="12">
        <v>0.31578947368421051</v>
      </c>
      <c r="G902">
        <v>2025</v>
      </c>
      <c r="H902">
        <v>2</v>
      </c>
      <c r="I902" t="s">
        <v>2861</v>
      </c>
      <c r="J902" t="s">
        <v>2851</v>
      </c>
      <c r="K902" t="s">
        <v>2852</v>
      </c>
      <c r="L902" t="s">
        <v>2848</v>
      </c>
      <c r="M902" t="s">
        <v>2838</v>
      </c>
      <c r="N902" t="s">
        <v>2849</v>
      </c>
    </row>
    <row r="903" spans="1:14">
      <c r="A903">
        <v>120</v>
      </c>
      <c r="B903">
        <v>0</v>
      </c>
      <c r="C903">
        <v>120</v>
      </c>
      <c r="D903">
        <v>73.2</v>
      </c>
      <c r="E903">
        <v>46.8</v>
      </c>
      <c r="F903" s="12">
        <v>0.38999999999999996</v>
      </c>
      <c r="G903">
        <v>2025</v>
      </c>
      <c r="H903">
        <v>4</v>
      </c>
      <c r="I903" t="s">
        <v>2865</v>
      </c>
      <c r="J903" t="s">
        <v>2846</v>
      </c>
      <c r="K903" t="s">
        <v>2842</v>
      </c>
      <c r="L903" t="s">
        <v>2848</v>
      </c>
      <c r="M903" t="s">
        <v>2838</v>
      </c>
      <c r="N903" t="s">
        <v>2844</v>
      </c>
    </row>
    <row r="904" spans="1:14">
      <c r="A904">
        <v>325</v>
      </c>
      <c r="B904">
        <v>16.25</v>
      </c>
      <c r="C904">
        <v>308.75</v>
      </c>
      <c r="D904">
        <v>237.25</v>
      </c>
      <c r="E904">
        <v>71.5</v>
      </c>
      <c r="F904" s="12">
        <v>0.23157894736842105</v>
      </c>
      <c r="G904">
        <v>2025</v>
      </c>
      <c r="H904">
        <v>3</v>
      </c>
      <c r="I904" t="s">
        <v>2859</v>
      </c>
      <c r="J904" t="s">
        <v>2851</v>
      </c>
      <c r="K904" t="s">
        <v>2860</v>
      </c>
      <c r="L904" t="s">
        <v>2848</v>
      </c>
      <c r="M904" t="s">
        <v>2838</v>
      </c>
      <c r="N904" t="s">
        <v>2844</v>
      </c>
    </row>
    <row r="905" spans="1:14">
      <c r="A905">
        <v>480</v>
      </c>
      <c r="B905">
        <v>38.4</v>
      </c>
      <c r="C905">
        <v>441.6</v>
      </c>
      <c r="D905">
        <v>355.2</v>
      </c>
      <c r="E905">
        <v>86.400000000000034</v>
      </c>
      <c r="F905" s="12">
        <v>0.19565217391304354</v>
      </c>
      <c r="G905">
        <v>2025</v>
      </c>
      <c r="H905">
        <v>12</v>
      </c>
      <c r="I905" t="s">
        <v>2858</v>
      </c>
      <c r="J905" t="s">
        <v>2855</v>
      </c>
      <c r="K905" t="s">
        <v>2860</v>
      </c>
      <c r="L905" t="s">
        <v>2843</v>
      </c>
      <c r="M905" t="s">
        <v>2837</v>
      </c>
      <c r="N905" t="s">
        <v>2844</v>
      </c>
    </row>
    <row r="906" spans="1:14">
      <c r="A906">
        <v>195</v>
      </c>
      <c r="B906">
        <v>3.9</v>
      </c>
      <c r="C906">
        <v>191.1</v>
      </c>
      <c r="D906">
        <v>142.35000000000002</v>
      </c>
      <c r="E906">
        <v>48.749999999999972</v>
      </c>
      <c r="F906" s="12">
        <v>0.25510204081632637</v>
      </c>
      <c r="G906">
        <v>2025</v>
      </c>
      <c r="H906">
        <v>11</v>
      </c>
      <c r="I906" t="s">
        <v>2862</v>
      </c>
      <c r="J906" t="s">
        <v>2855</v>
      </c>
      <c r="K906" t="s">
        <v>2842</v>
      </c>
      <c r="L906" t="s">
        <v>2848</v>
      </c>
      <c r="M906" t="s">
        <v>2838</v>
      </c>
      <c r="N906" t="s">
        <v>2844</v>
      </c>
    </row>
    <row r="907" spans="1:14">
      <c r="A907">
        <v>780</v>
      </c>
      <c r="B907">
        <v>78</v>
      </c>
      <c r="C907">
        <v>702</v>
      </c>
      <c r="D907">
        <v>569.40000000000009</v>
      </c>
      <c r="E907">
        <v>132.59999999999991</v>
      </c>
      <c r="F907" s="12">
        <v>0.18888888888888877</v>
      </c>
      <c r="G907">
        <v>2025</v>
      </c>
      <c r="H907">
        <v>6</v>
      </c>
      <c r="I907" t="s">
        <v>2864</v>
      </c>
      <c r="J907" t="s">
        <v>2846</v>
      </c>
      <c r="K907" t="s">
        <v>2860</v>
      </c>
      <c r="L907" t="s">
        <v>2848</v>
      </c>
      <c r="M907" t="s">
        <v>2838</v>
      </c>
      <c r="N907" t="s">
        <v>2849</v>
      </c>
    </row>
    <row r="908" spans="1:14">
      <c r="A908">
        <v>520</v>
      </c>
      <c r="B908">
        <v>26</v>
      </c>
      <c r="C908">
        <v>494</v>
      </c>
      <c r="D908">
        <v>348.4</v>
      </c>
      <c r="E908">
        <v>145.60000000000002</v>
      </c>
      <c r="F908" s="12">
        <v>0.29473684210526319</v>
      </c>
      <c r="G908">
        <v>2025</v>
      </c>
      <c r="H908">
        <v>4</v>
      </c>
      <c r="I908" t="s">
        <v>2865</v>
      </c>
      <c r="J908" t="s">
        <v>2846</v>
      </c>
      <c r="K908" t="s">
        <v>2847</v>
      </c>
      <c r="L908" t="s">
        <v>2843</v>
      </c>
      <c r="M908" t="s">
        <v>2837</v>
      </c>
      <c r="N908" t="s">
        <v>2844</v>
      </c>
    </row>
    <row r="909" spans="1:14">
      <c r="A909">
        <v>1040</v>
      </c>
      <c r="B909">
        <v>0</v>
      </c>
      <c r="C909">
        <v>1040</v>
      </c>
      <c r="D909">
        <v>759.2</v>
      </c>
      <c r="E909">
        <v>280.79999999999995</v>
      </c>
      <c r="F909" s="12">
        <v>0.26999999999999996</v>
      </c>
      <c r="G909">
        <v>2025</v>
      </c>
      <c r="H909">
        <v>3</v>
      </c>
      <c r="I909" t="s">
        <v>2859</v>
      </c>
      <c r="J909" t="s">
        <v>2851</v>
      </c>
      <c r="K909" t="s">
        <v>2847</v>
      </c>
      <c r="L909" t="s">
        <v>2866</v>
      </c>
      <c r="M909" t="s">
        <v>2838</v>
      </c>
      <c r="N909" t="s">
        <v>2857</v>
      </c>
    </row>
    <row r="910" spans="1:14">
      <c r="A910">
        <v>260</v>
      </c>
      <c r="B910">
        <v>0</v>
      </c>
      <c r="C910">
        <v>260</v>
      </c>
      <c r="D910">
        <v>189.8</v>
      </c>
      <c r="E910">
        <v>70.199999999999989</v>
      </c>
      <c r="F910" s="12">
        <v>0.26999999999999996</v>
      </c>
      <c r="G910">
        <v>2025</v>
      </c>
      <c r="H910">
        <v>8</v>
      </c>
      <c r="I910" t="s">
        <v>2863</v>
      </c>
      <c r="J910" t="s">
        <v>2841</v>
      </c>
      <c r="K910" t="s">
        <v>2842</v>
      </c>
      <c r="L910" t="s">
        <v>2856</v>
      </c>
      <c r="M910" t="s">
        <v>2839</v>
      </c>
      <c r="N910" t="s">
        <v>2844</v>
      </c>
    </row>
    <row r="911" spans="1:14">
      <c r="A911">
        <v>1050</v>
      </c>
      <c r="B911">
        <v>84</v>
      </c>
      <c r="C911">
        <v>966</v>
      </c>
      <c r="D911">
        <v>640.5</v>
      </c>
      <c r="E911">
        <v>325.5</v>
      </c>
      <c r="F911" s="12">
        <v>0.33695652173913043</v>
      </c>
      <c r="G911">
        <v>2025</v>
      </c>
      <c r="H911">
        <v>9</v>
      </c>
      <c r="I911" t="s">
        <v>2853</v>
      </c>
      <c r="J911" t="s">
        <v>2841</v>
      </c>
      <c r="K911" t="s">
        <v>2852</v>
      </c>
      <c r="L911" t="s">
        <v>2856</v>
      </c>
      <c r="M911" t="s">
        <v>2839</v>
      </c>
      <c r="N911" t="s">
        <v>2849</v>
      </c>
    </row>
    <row r="912" spans="1:14">
      <c r="A912">
        <v>480</v>
      </c>
      <c r="B912">
        <v>48</v>
      </c>
      <c r="C912">
        <v>432</v>
      </c>
      <c r="D912">
        <v>355.2</v>
      </c>
      <c r="E912">
        <v>76.800000000000011</v>
      </c>
      <c r="F912" s="12">
        <v>0.17777777777777781</v>
      </c>
      <c r="G912">
        <v>2025</v>
      </c>
      <c r="H912">
        <v>7</v>
      </c>
      <c r="I912" t="s">
        <v>2840</v>
      </c>
      <c r="J912" t="s">
        <v>2841</v>
      </c>
      <c r="K912" t="s">
        <v>2847</v>
      </c>
      <c r="L912" t="s">
        <v>2843</v>
      </c>
      <c r="M912" t="s">
        <v>2837</v>
      </c>
      <c r="N912" t="s">
        <v>2844</v>
      </c>
    </row>
    <row r="913" spans="1:14">
      <c r="A913">
        <v>3120</v>
      </c>
      <c r="B913">
        <v>0</v>
      </c>
      <c r="C913">
        <v>3120</v>
      </c>
      <c r="D913">
        <v>2090.3999999999996</v>
      </c>
      <c r="E913">
        <v>1029.6000000000004</v>
      </c>
      <c r="F913" s="12">
        <v>0.33000000000000013</v>
      </c>
      <c r="G913">
        <v>2025</v>
      </c>
      <c r="H913">
        <v>1</v>
      </c>
      <c r="I913" t="s">
        <v>2850</v>
      </c>
      <c r="J913" t="s">
        <v>2851</v>
      </c>
      <c r="K913" t="s">
        <v>2852</v>
      </c>
      <c r="L913" t="s">
        <v>2848</v>
      </c>
      <c r="M913" t="s">
        <v>2838</v>
      </c>
      <c r="N913" t="s">
        <v>2857</v>
      </c>
    </row>
    <row r="914" spans="1:14">
      <c r="A914">
        <v>180</v>
      </c>
      <c r="B914">
        <v>18</v>
      </c>
      <c r="C914">
        <v>162</v>
      </c>
      <c r="D914">
        <v>129.6</v>
      </c>
      <c r="E914">
        <v>32.400000000000006</v>
      </c>
      <c r="F914" s="12">
        <v>0.20000000000000004</v>
      </c>
      <c r="G914">
        <v>2025</v>
      </c>
      <c r="H914">
        <v>11</v>
      </c>
      <c r="I914" t="s">
        <v>2862</v>
      </c>
      <c r="J914" t="s">
        <v>2855</v>
      </c>
      <c r="K914" t="s">
        <v>2852</v>
      </c>
      <c r="L914" t="s">
        <v>2843</v>
      </c>
      <c r="M914" t="s">
        <v>2837</v>
      </c>
      <c r="N914" t="s">
        <v>2844</v>
      </c>
    </row>
    <row r="915" spans="1:14">
      <c r="A915">
        <v>780</v>
      </c>
      <c r="B915">
        <v>0</v>
      </c>
      <c r="C915">
        <v>780</v>
      </c>
      <c r="D915">
        <v>468</v>
      </c>
      <c r="E915">
        <v>312</v>
      </c>
      <c r="F915" s="12">
        <v>0.4</v>
      </c>
      <c r="G915">
        <v>2025</v>
      </c>
      <c r="H915">
        <v>4</v>
      </c>
      <c r="I915" t="s">
        <v>2865</v>
      </c>
      <c r="J915" t="s">
        <v>2846</v>
      </c>
      <c r="K915" t="s">
        <v>2852</v>
      </c>
      <c r="L915" t="s">
        <v>2856</v>
      </c>
      <c r="M915" t="s">
        <v>2839</v>
      </c>
      <c r="N915" t="s">
        <v>2849</v>
      </c>
    </row>
    <row r="916" spans="1:14">
      <c r="A916">
        <v>360</v>
      </c>
      <c r="B916">
        <v>0</v>
      </c>
      <c r="C916">
        <v>360</v>
      </c>
      <c r="D916">
        <v>259.2</v>
      </c>
      <c r="E916">
        <v>100.80000000000001</v>
      </c>
      <c r="F916" s="12">
        <v>0.28000000000000003</v>
      </c>
      <c r="G916">
        <v>2025</v>
      </c>
      <c r="H916">
        <v>8</v>
      </c>
      <c r="I916" t="s">
        <v>2863</v>
      </c>
      <c r="J916" t="s">
        <v>2841</v>
      </c>
      <c r="K916" t="s">
        <v>2860</v>
      </c>
      <c r="L916" t="s">
        <v>2843</v>
      </c>
      <c r="M916" t="s">
        <v>2837</v>
      </c>
      <c r="N916" t="s">
        <v>2844</v>
      </c>
    </row>
    <row r="917" spans="1:14">
      <c r="A917">
        <v>190</v>
      </c>
      <c r="B917">
        <v>9.5</v>
      </c>
      <c r="C917">
        <v>180.5</v>
      </c>
      <c r="D917">
        <v>140.6</v>
      </c>
      <c r="E917">
        <v>39.900000000000006</v>
      </c>
      <c r="F917" s="12">
        <v>0.22105263157894739</v>
      </c>
      <c r="G917">
        <v>2025</v>
      </c>
      <c r="H917">
        <v>5</v>
      </c>
      <c r="I917" t="s">
        <v>2845</v>
      </c>
      <c r="J917" t="s">
        <v>2846</v>
      </c>
      <c r="K917" t="s">
        <v>2860</v>
      </c>
      <c r="L917" t="s">
        <v>2848</v>
      </c>
      <c r="M917" t="s">
        <v>2838</v>
      </c>
      <c r="N917" t="s">
        <v>2844</v>
      </c>
    </row>
    <row r="918" spans="1:14">
      <c r="A918">
        <v>290</v>
      </c>
      <c r="B918">
        <v>23.2</v>
      </c>
      <c r="C918">
        <v>266.8</v>
      </c>
      <c r="D918">
        <v>194.3</v>
      </c>
      <c r="E918">
        <v>72.5</v>
      </c>
      <c r="F918" s="12">
        <v>0.27173913043478259</v>
      </c>
      <c r="G918">
        <v>2025</v>
      </c>
      <c r="H918">
        <v>5</v>
      </c>
      <c r="I918" t="s">
        <v>2845</v>
      </c>
      <c r="J918" t="s">
        <v>2846</v>
      </c>
      <c r="K918" t="s">
        <v>2847</v>
      </c>
      <c r="L918" t="s">
        <v>2843</v>
      </c>
      <c r="M918" t="s">
        <v>2837</v>
      </c>
      <c r="N918" t="s">
        <v>2844</v>
      </c>
    </row>
    <row r="919" spans="1:14">
      <c r="A919">
        <v>35</v>
      </c>
      <c r="B919">
        <v>2.8000000000000003</v>
      </c>
      <c r="C919">
        <v>32.200000000000003</v>
      </c>
      <c r="D919">
        <v>24.15</v>
      </c>
      <c r="E919">
        <v>8.0500000000000043</v>
      </c>
      <c r="F919" s="12">
        <v>0.25000000000000011</v>
      </c>
      <c r="G919">
        <v>2025</v>
      </c>
      <c r="H919">
        <v>3</v>
      </c>
      <c r="I919" t="s">
        <v>2859</v>
      </c>
      <c r="J919" t="s">
        <v>2851</v>
      </c>
      <c r="K919" t="s">
        <v>2842</v>
      </c>
      <c r="L919" t="s">
        <v>2856</v>
      </c>
      <c r="M919" t="s">
        <v>2839</v>
      </c>
      <c r="N919" t="s">
        <v>2844</v>
      </c>
    </row>
    <row r="920" spans="1:14">
      <c r="A920">
        <v>1050</v>
      </c>
      <c r="B920">
        <v>0</v>
      </c>
      <c r="C920">
        <v>1050</v>
      </c>
      <c r="D920">
        <v>640.5</v>
      </c>
      <c r="E920">
        <v>409.5</v>
      </c>
      <c r="F920" s="12">
        <v>0.39</v>
      </c>
      <c r="G920">
        <v>2025</v>
      </c>
      <c r="H920">
        <v>10</v>
      </c>
      <c r="I920" t="s">
        <v>2854</v>
      </c>
      <c r="J920" t="s">
        <v>2855</v>
      </c>
      <c r="K920" t="s">
        <v>2842</v>
      </c>
      <c r="L920" t="s">
        <v>2843</v>
      </c>
      <c r="M920" t="s">
        <v>2837</v>
      </c>
      <c r="N920" t="s">
        <v>2857</v>
      </c>
    </row>
    <row r="921" spans="1:14">
      <c r="A921">
        <v>480</v>
      </c>
      <c r="B921">
        <v>9.6</v>
      </c>
      <c r="C921">
        <v>470.4</v>
      </c>
      <c r="D921">
        <v>292.8</v>
      </c>
      <c r="E921">
        <v>177.59999999999997</v>
      </c>
      <c r="F921" s="12">
        <v>0.37755102040816318</v>
      </c>
      <c r="G921">
        <v>2025</v>
      </c>
      <c r="H921">
        <v>10</v>
      </c>
      <c r="I921" t="s">
        <v>2854</v>
      </c>
      <c r="J921" t="s">
        <v>2855</v>
      </c>
      <c r="K921" t="s">
        <v>2842</v>
      </c>
      <c r="L921" t="s">
        <v>2856</v>
      </c>
      <c r="M921" t="s">
        <v>2839</v>
      </c>
      <c r="N921" t="s">
        <v>2844</v>
      </c>
    </row>
    <row r="922" spans="1:14">
      <c r="A922">
        <v>380</v>
      </c>
      <c r="B922">
        <v>30.400000000000002</v>
      </c>
      <c r="C922">
        <v>349.6</v>
      </c>
      <c r="D922">
        <v>281.2</v>
      </c>
      <c r="E922">
        <v>68.400000000000034</v>
      </c>
      <c r="F922" s="12">
        <v>0.19565217391304357</v>
      </c>
      <c r="G922">
        <v>2025</v>
      </c>
      <c r="H922">
        <v>11</v>
      </c>
      <c r="I922" t="s">
        <v>2862</v>
      </c>
      <c r="J922" t="s">
        <v>2855</v>
      </c>
      <c r="K922" t="s">
        <v>2842</v>
      </c>
      <c r="L922" t="s">
        <v>2848</v>
      </c>
      <c r="M922" t="s">
        <v>2838</v>
      </c>
      <c r="N922" t="s">
        <v>2844</v>
      </c>
    </row>
    <row r="923" spans="1:14">
      <c r="A923">
        <v>285</v>
      </c>
      <c r="B923">
        <v>22.8</v>
      </c>
      <c r="C923">
        <v>262.2</v>
      </c>
      <c r="D923">
        <v>210.89999999999998</v>
      </c>
      <c r="E923">
        <v>51.300000000000011</v>
      </c>
      <c r="F923" s="12">
        <v>0.19565217391304354</v>
      </c>
      <c r="G923">
        <v>2025</v>
      </c>
      <c r="H923">
        <v>7</v>
      </c>
      <c r="I923" t="s">
        <v>2840</v>
      </c>
      <c r="J923" t="s">
        <v>2841</v>
      </c>
      <c r="K923" t="s">
        <v>2847</v>
      </c>
      <c r="L923" t="s">
        <v>2856</v>
      </c>
      <c r="M923" t="s">
        <v>2839</v>
      </c>
      <c r="N923" t="s">
        <v>2844</v>
      </c>
    </row>
    <row r="924" spans="1:14">
      <c r="A924">
        <v>1040</v>
      </c>
      <c r="B924">
        <v>0</v>
      </c>
      <c r="C924">
        <v>1040</v>
      </c>
      <c r="D924">
        <v>696.8</v>
      </c>
      <c r="E924">
        <v>343.20000000000005</v>
      </c>
      <c r="F924" s="12">
        <v>0.33000000000000007</v>
      </c>
      <c r="G924">
        <v>2025</v>
      </c>
      <c r="H924">
        <v>4</v>
      </c>
      <c r="I924" t="s">
        <v>2865</v>
      </c>
      <c r="J924" t="s">
        <v>2846</v>
      </c>
      <c r="K924" t="s">
        <v>2860</v>
      </c>
      <c r="L924" t="s">
        <v>2843</v>
      </c>
      <c r="M924" t="s">
        <v>2837</v>
      </c>
      <c r="N924" t="s">
        <v>2857</v>
      </c>
    </row>
    <row r="925" spans="1:14">
      <c r="A925">
        <v>65</v>
      </c>
      <c r="B925">
        <v>5.2</v>
      </c>
      <c r="C925">
        <v>59.8</v>
      </c>
      <c r="D925">
        <v>47.45</v>
      </c>
      <c r="E925">
        <v>12.349999999999994</v>
      </c>
      <c r="F925" s="12">
        <v>0.2065217391304347</v>
      </c>
      <c r="G925">
        <v>2025</v>
      </c>
      <c r="H925">
        <v>8</v>
      </c>
      <c r="I925" t="s">
        <v>2863</v>
      </c>
      <c r="J925" t="s">
        <v>2841</v>
      </c>
      <c r="K925" t="s">
        <v>2842</v>
      </c>
      <c r="L925" t="s">
        <v>2848</v>
      </c>
      <c r="M925" t="s">
        <v>2839</v>
      </c>
      <c r="N925" t="s">
        <v>2844</v>
      </c>
    </row>
    <row r="926" spans="1:14">
      <c r="A926">
        <v>240</v>
      </c>
      <c r="B926">
        <v>19.2</v>
      </c>
      <c r="C926">
        <v>220.8</v>
      </c>
      <c r="D926">
        <v>146.4</v>
      </c>
      <c r="E926">
        <v>74.400000000000006</v>
      </c>
      <c r="F926" s="12">
        <v>0.33695652173913043</v>
      </c>
      <c r="G926">
        <v>2025</v>
      </c>
      <c r="H926">
        <v>4</v>
      </c>
      <c r="I926" t="s">
        <v>2865</v>
      </c>
      <c r="J926" t="s">
        <v>2846</v>
      </c>
      <c r="K926" t="s">
        <v>2842</v>
      </c>
      <c r="L926" t="s">
        <v>2843</v>
      </c>
      <c r="M926" t="s">
        <v>2837</v>
      </c>
      <c r="N926" t="s">
        <v>2844</v>
      </c>
    </row>
    <row r="927" spans="1:14">
      <c r="A927">
        <v>1200</v>
      </c>
      <c r="B927">
        <v>60</v>
      </c>
      <c r="C927">
        <v>1140</v>
      </c>
      <c r="D927">
        <v>888</v>
      </c>
      <c r="E927">
        <v>252</v>
      </c>
      <c r="F927" s="12">
        <v>0.22105263157894736</v>
      </c>
      <c r="G927">
        <v>2025</v>
      </c>
      <c r="H927">
        <v>5</v>
      </c>
      <c r="I927" t="s">
        <v>2845</v>
      </c>
      <c r="J927" t="s">
        <v>2846</v>
      </c>
      <c r="K927" t="s">
        <v>2852</v>
      </c>
      <c r="L927" t="s">
        <v>2856</v>
      </c>
      <c r="M927" t="s">
        <v>2839</v>
      </c>
      <c r="N927" t="s">
        <v>2857</v>
      </c>
    </row>
    <row r="928" spans="1:14">
      <c r="A928">
        <v>480</v>
      </c>
      <c r="B928">
        <v>48</v>
      </c>
      <c r="C928">
        <v>432</v>
      </c>
      <c r="D928">
        <v>355.2</v>
      </c>
      <c r="E928">
        <v>76.800000000000011</v>
      </c>
      <c r="F928" s="12">
        <v>0.17777777777777781</v>
      </c>
      <c r="G928">
        <v>2025</v>
      </c>
      <c r="H928">
        <v>3</v>
      </c>
      <c r="I928" t="s">
        <v>2859</v>
      </c>
      <c r="J928" t="s">
        <v>2851</v>
      </c>
      <c r="K928" t="s">
        <v>2847</v>
      </c>
      <c r="L928" t="s">
        <v>2843</v>
      </c>
      <c r="M928" t="s">
        <v>2839</v>
      </c>
      <c r="N928" t="s">
        <v>2844</v>
      </c>
    </row>
    <row r="929" spans="1:14">
      <c r="A929">
        <v>130</v>
      </c>
      <c r="B929">
        <v>2.6</v>
      </c>
      <c r="C929">
        <v>127.4</v>
      </c>
      <c r="D929">
        <v>94.9</v>
      </c>
      <c r="E929">
        <v>32.5</v>
      </c>
      <c r="F929" s="12">
        <v>0.25510204081632654</v>
      </c>
      <c r="G929">
        <v>2025</v>
      </c>
      <c r="H929">
        <v>10</v>
      </c>
      <c r="I929" t="s">
        <v>2854</v>
      </c>
      <c r="J929" t="s">
        <v>2855</v>
      </c>
      <c r="K929" t="s">
        <v>2852</v>
      </c>
      <c r="L929" t="s">
        <v>2843</v>
      </c>
      <c r="M929" t="s">
        <v>2837</v>
      </c>
      <c r="N929" t="s">
        <v>2844</v>
      </c>
    </row>
    <row r="930" spans="1:14">
      <c r="A930">
        <v>580</v>
      </c>
      <c r="B930">
        <v>0</v>
      </c>
      <c r="C930">
        <v>580</v>
      </c>
      <c r="D930">
        <v>388.6</v>
      </c>
      <c r="E930">
        <v>191.39999999999998</v>
      </c>
      <c r="F930" s="12">
        <v>0.32999999999999996</v>
      </c>
      <c r="G930">
        <v>2025</v>
      </c>
      <c r="H930">
        <v>9</v>
      </c>
      <c r="I930" t="s">
        <v>2853</v>
      </c>
      <c r="J930" t="s">
        <v>2841</v>
      </c>
      <c r="K930" t="s">
        <v>2847</v>
      </c>
      <c r="L930" t="s">
        <v>2856</v>
      </c>
      <c r="M930" t="s">
        <v>2839</v>
      </c>
      <c r="N930" t="s">
        <v>2849</v>
      </c>
    </row>
    <row r="931" spans="1:14">
      <c r="A931">
        <v>240</v>
      </c>
      <c r="B931">
        <v>0</v>
      </c>
      <c r="C931">
        <v>240</v>
      </c>
      <c r="D931">
        <v>177.6</v>
      </c>
      <c r="E931">
        <v>62.400000000000006</v>
      </c>
      <c r="F931" s="12">
        <v>0.26</v>
      </c>
      <c r="G931">
        <v>2025</v>
      </c>
      <c r="H931">
        <v>3</v>
      </c>
      <c r="I931" t="s">
        <v>2859</v>
      </c>
      <c r="J931" t="s">
        <v>2851</v>
      </c>
      <c r="K931" t="s">
        <v>2842</v>
      </c>
      <c r="L931" t="s">
        <v>2848</v>
      </c>
      <c r="M931" t="s">
        <v>2838</v>
      </c>
      <c r="N931" t="s">
        <v>2844</v>
      </c>
    </row>
    <row r="932" spans="1:14">
      <c r="A932">
        <v>35</v>
      </c>
      <c r="B932">
        <v>0</v>
      </c>
      <c r="C932">
        <v>35</v>
      </c>
      <c r="D932">
        <v>24.15</v>
      </c>
      <c r="E932">
        <v>10.850000000000001</v>
      </c>
      <c r="F932" s="12">
        <v>0.31000000000000005</v>
      </c>
      <c r="G932">
        <v>2025</v>
      </c>
      <c r="H932">
        <v>9</v>
      </c>
      <c r="I932" t="s">
        <v>2853</v>
      </c>
      <c r="J932" t="s">
        <v>2841</v>
      </c>
      <c r="K932" t="s">
        <v>2860</v>
      </c>
      <c r="L932" t="s">
        <v>2848</v>
      </c>
      <c r="M932" t="s">
        <v>2839</v>
      </c>
      <c r="N932" t="s">
        <v>2844</v>
      </c>
    </row>
    <row r="933" spans="1:14">
      <c r="A933">
        <v>1260</v>
      </c>
      <c r="B933">
        <v>63</v>
      </c>
      <c r="C933">
        <v>1197</v>
      </c>
      <c r="D933">
        <v>819</v>
      </c>
      <c r="E933">
        <v>378</v>
      </c>
      <c r="F933" s="12">
        <v>0.31578947368421051</v>
      </c>
      <c r="G933">
        <v>2025</v>
      </c>
      <c r="H933">
        <v>1</v>
      </c>
      <c r="I933" t="s">
        <v>2850</v>
      </c>
      <c r="J933" t="s">
        <v>2851</v>
      </c>
      <c r="K933" t="s">
        <v>2847</v>
      </c>
      <c r="L933" t="s">
        <v>2848</v>
      </c>
      <c r="M933" t="s">
        <v>2838</v>
      </c>
      <c r="N933" t="s">
        <v>2857</v>
      </c>
    </row>
    <row r="934" spans="1:14">
      <c r="A934">
        <v>1560</v>
      </c>
      <c r="B934">
        <v>0</v>
      </c>
      <c r="C934">
        <v>1560</v>
      </c>
      <c r="D934">
        <v>936</v>
      </c>
      <c r="E934">
        <v>624</v>
      </c>
      <c r="F934" s="12">
        <v>0.4</v>
      </c>
      <c r="G934">
        <v>2025</v>
      </c>
      <c r="H934">
        <v>7</v>
      </c>
      <c r="I934" t="s">
        <v>2840</v>
      </c>
      <c r="J934" t="s">
        <v>2841</v>
      </c>
      <c r="K934" t="s">
        <v>2852</v>
      </c>
      <c r="L934" t="s">
        <v>2843</v>
      </c>
      <c r="M934" t="s">
        <v>2837</v>
      </c>
      <c r="N934" t="s">
        <v>2857</v>
      </c>
    </row>
    <row r="935" spans="1:14">
      <c r="A935">
        <v>360</v>
      </c>
      <c r="B935">
        <v>18</v>
      </c>
      <c r="C935">
        <v>342</v>
      </c>
      <c r="D935">
        <v>219.60000000000002</v>
      </c>
      <c r="E935">
        <v>122.39999999999998</v>
      </c>
      <c r="F935" s="12">
        <v>0.35789473684210521</v>
      </c>
      <c r="G935">
        <v>2025</v>
      </c>
      <c r="H935">
        <v>7</v>
      </c>
      <c r="I935" t="s">
        <v>2840</v>
      </c>
      <c r="J935" t="s">
        <v>2841</v>
      </c>
      <c r="K935" t="s">
        <v>2842</v>
      </c>
      <c r="L935" t="s">
        <v>2856</v>
      </c>
      <c r="M935" t="s">
        <v>2839</v>
      </c>
      <c r="N935" t="s">
        <v>2844</v>
      </c>
    </row>
    <row r="936" spans="1:14">
      <c r="A936">
        <v>960</v>
      </c>
      <c r="B936">
        <v>96</v>
      </c>
      <c r="C936">
        <v>864</v>
      </c>
      <c r="D936">
        <v>710.4</v>
      </c>
      <c r="E936">
        <v>153.60000000000002</v>
      </c>
      <c r="F936" s="12">
        <v>0.17777777777777781</v>
      </c>
      <c r="G936">
        <v>2025</v>
      </c>
      <c r="H936">
        <v>7</v>
      </c>
      <c r="I936" t="s">
        <v>2840</v>
      </c>
      <c r="J936" t="s">
        <v>2841</v>
      </c>
      <c r="K936" t="s">
        <v>2847</v>
      </c>
      <c r="L936" t="s">
        <v>2843</v>
      </c>
      <c r="M936" t="s">
        <v>2837</v>
      </c>
      <c r="N936" t="s">
        <v>2849</v>
      </c>
    </row>
    <row r="937" spans="1:14">
      <c r="A937">
        <v>65</v>
      </c>
      <c r="B937">
        <v>0</v>
      </c>
      <c r="C937">
        <v>65</v>
      </c>
      <c r="D937">
        <v>47.45</v>
      </c>
      <c r="E937">
        <v>17.549999999999997</v>
      </c>
      <c r="F937" s="12">
        <v>0.26999999999999996</v>
      </c>
      <c r="G937">
        <v>2025</v>
      </c>
      <c r="H937">
        <v>7</v>
      </c>
      <c r="I937" t="s">
        <v>2840</v>
      </c>
      <c r="J937" t="s">
        <v>2841</v>
      </c>
      <c r="K937" t="s">
        <v>2842</v>
      </c>
      <c r="L937" t="s">
        <v>2866</v>
      </c>
      <c r="M937" t="s">
        <v>2838</v>
      </c>
      <c r="N937" t="s">
        <v>2844</v>
      </c>
    </row>
    <row r="938" spans="1:14">
      <c r="A938">
        <v>96</v>
      </c>
      <c r="B938">
        <v>0</v>
      </c>
      <c r="C938">
        <v>96</v>
      </c>
      <c r="D938">
        <v>74.88</v>
      </c>
      <c r="E938">
        <v>21.120000000000005</v>
      </c>
      <c r="F938" s="12">
        <v>0.22000000000000006</v>
      </c>
      <c r="G938">
        <v>2025</v>
      </c>
      <c r="H938">
        <v>5</v>
      </c>
      <c r="I938" t="s">
        <v>2845</v>
      </c>
      <c r="J938" t="s">
        <v>2846</v>
      </c>
      <c r="K938" t="s">
        <v>2860</v>
      </c>
      <c r="L938" t="s">
        <v>2856</v>
      </c>
      <c r="M938" t="s">
        <v>2839</v>
      </c>
      <c r="N938" t="s">
        <v>2844</v>
      </c>
    </row>
    <row r="939" spans="1:14">
      <c r="A939">
        <v>130</v>
      </c>
      <c r="B939">
        <v>6.5</v>
      </c>
      <c r="C939">
        <v>123.5</v>
      </c>
      <c r="D939">
        <v>94.9</v>
      </c>
      <c r="E939">
        <v>28.599999999999994</v>
      </c>
      <c r="F939" s="12">
        <v>0.231578947368421</v>
      </c>
      <c r="G939">
        <v>2025</v>
      </c>
      <c r="H939">
        <v>3</v>
      </c>
      <c r="I939" t="s">
        <v>2859</v>
      </c>
      <c r="J939" t="s">
        <v>2851</v>
      </c>
      <c r="K939" t="s">
        <v>2847</v>
      </c>
      <c r="L939" t="s">
        <v>2856</v>
      </c>
      <c r="M939" t="s">
        <v>2839</v>
      </c>
      <c r="N939" t="s">
        <v>2844</v>
      </c>
    </row>
    <row r="940" spans="1:14">
      <c r="A940">
        <v>8400</v>
      </c>
      <c r="B940">
        <v>420</v>
      </c>
      <c r="C940">
        <v>7980</v>
      </c>
      <c r="D940">
        <v>5460</v>
      </c>
      <c r="E940">
        <v>2520</v>
      </c>
      <c r="F940" s="12">
        <v>0.31578947368421051</v>
      </c>
      <c r="G940">
        <v>2025</v>
      </c>
      <c r="H940">
        <v>1</v>
      </c>
      <c r="I940" t="s">
        <v>2850</v>
      </c>
      <c r="J940" t="s">
        <v>2851</v>
      </c>
      <c r="K940" t="s">
        <v>2847</v>
      </c>
      <c r="L940" t="s">
        <v>2843</v>
      </c>
      <c r="M940" t="s">
        <v>2837</v>
      </c>
      <c r="N940" t="s">
        <v>2857</v>
      </c>
    </row>
    <row r="941" spans="1:14">
      <c r="A941">
        <v>870</v>
      </c>
      <c r="B941">
        <v>0</v>
      </c>
      <c r="C941">
        <v>870</v>
      </c>
      <c r="D941">
        <v>582.90000000000009</v>
      </c>
      <c r="E941">
        <v>287.09999999999991</v>
      </c>
      <c r="F941" s="12">
        <v>0.3299999999999999</v>
      </c>
      <c r="G941">
        <v>2025</v>
      </c>
      <c r="H941">
        <v>2</v>
      </c>
      <c r="I941" t="s">
        <v>2861</v>
      </c>
      <c r="J941" t="s">
        <v>2851</v>
      </c>
      <c r="K941" t="s">
        <v>2860</v>
      </c>
      <c r="L941" t="s">
        <v>2843</v>
      </c>
      <c r="M941" t="s">
        <v>2837</v>
      </c>
      <c r="N941" t="s">
        <v>2849</v>
      </c>
    </row>
    <row r="942" spans="1:14">
      <c r="A942">
        <v>145</v>
      </c>
      <c r="B942">
        <v>7.25</v>
      </c>
      <c r="C942">
        <v>137.75</v>
      </c>
      <c r="D942">
        <v>97.15</v>
      </c>
      <c r="E942">
        <v>40.599999999999994</v>
      </c>
      <c r="F942" s="12">
        <v>0.29473684210526313</v>
      </c>
      <c r="G942">
        <v>2025</v>
      </c>
      <c r="H942">
        <v>7</v>
      </c>
      <c r="I942" t="s">
        <v>2840</v>
      </c>
      <c r="J942" t="s">
        <v>2841</v>
      </c>
      <c r="K942" t="s">
        <v>2852</v>
      </c>
      <c r="L942" t="s">
        <v>2848</v>
      </c>
      <c r="M942" t="s">
        <v>2838</v>
      </c>
      <c r="N942" t="s">
        <v>2844</v>
      </c>
    </row>
    <row r="943" spans="1:14">
      <c r="A943">
        <v>190</v>
      </c>
      <c r="B943">
        <v>3.8000000000000003</v>
      </c>
      <c r="C943">
        <v>186.2</v>
      </c>
      <c r="D943">
        <v>148.19999999999999</v>
      </c>
      <c r="E943">
        <v>38</v>
      </c>
      <c r="F943" s="12">
        <v>0.20408163265306123</v>
      </c>
      <c r="G943">
        <v>2025</v>
      </c>
      <c r="H943">
        <v>11</v>
      </c>
      <c r="I943" t="s">
        <v>2862</v>
      </c>
      <c r="J943" t="s">
        <v>2855</v>
      </c>
      <c r="K943" t="s">
        <v>2842</v>
      </c>
      <c r="L943" t="s">
        <v>2843</v>
      </c>
      <c r="M943" t="s">
        <v>2837</v>
      </c>
      <c r="N943" t="s">
        <v>2844</v>
      </c>
    </row>
    <row r="944" spans="1:14">
      <c r="A944">
        <v>35</v>
      </c>
      <c r="B944">
        <v>0.70000000000000007</v>
      </c>
      <c r="C944">
        <v>34.299999999999997</v>
      </c>
      <c r="D944">
        <v>24.15</v>
      </c>
      <c r="E944">
        <v>10.149999999999999</v>
      </c>
      <c r="F944" s="12">
        <v>0.29591836734693877</v>
      </c>
      <c r="G944">
        <v>2025</v>
      </c>
      <c r="H944">
        <v>6</v>
      </c>
      <c r="I944" t="s">
        <v>2864</v>
      </c>
      <c r="J944" t="s">
        <v>2846</v>
      </c>
      <c r="K944" t="s">
        <v>2852</v>
      </c>
      <c r="L944" t="s">
        <v>2848</v>
      </c>
      <c r="M944" t="s">
        <v>2838</v>
      </c>
      <c r="N944" t="s">
        <v>2844</v>
      </c>
    </row>
    <row r="945" spans="1:14">
      <c r="A945">
        <v>435</v>
      </c>
      <c r="B945">
        <v>0</v>
      </c>
      <c r="C945">
        <v>435</v>
      </c>
      <c r="D945">
        <v>291.45000000000005</v>
      </c>
      <c r="E945">
        <v>143.54999999999995</v>
      </c>
      <c r="F945" s="12">
        <v>0.3299999999999999</v>
      </c>
      <c r="G945">
        <v>2025</v>
      </c>
      <c r="H945">
        <v>12</v>
      </c>
      <c r="I945" t="s">
        <v>2858</v>
      </c>
      <c r="J945" t="s">
        <v>2855</v>
      </c>
      <c r="K945" t="s">
        <v>2860</v>
      </c>
      <c r="L945" t="s">
        <v>2856</v>
      </c>
      <c r="M945" t="s">
        <v>2839</v>
      </c>
      <c r="N945" t="s">
        <v>2844</v>
      </c>
    </row>
    <row r="946" spans="1:14">
      <c r="A946">
        <v>480</v>
      </c>
      <c r="B946">
        <v>0</v>
      </c>
      <c r="C946">
        <v>480</v>
      </c>
      <c r="D946">
        <v>355.2</v>
      </c>
      <c r="E946">
        <v>124.80000000000001</v>
      </c>
      <c r="F946" s="12">
        <v>0.26</v>
      </c>
      <c r="G946">
        <v>2025</v>
      </c>
      <c r="H946">
        <v>7</v>
      </c>
      <c r="I946" t="s">
        <v>2840</v>
      </c>
      <c r="J946" t="s">
        <v>2841</v>
      </c>
      <c r="K946" t="s">
        <v>2847</v>
      </c>
      <c r="L946" t="s">
        <v>2856</v>
      </c>
      <c r="M946" t="s">
        <v>2839</v>
      </c>
      <c r="N946" t="s">
        <v>2844</v>
      </c>
    </row>
    <row r="947" spans="1:14">
      <c r="A947">
        <v>1050</v>
      </c>
      <c r="B947">
        <v>105</v>
      </c>
      <c r="C947">
        <v>945</v>
      </c>
      <c r="D947">
        <v>640.5</v>
      </c>
      <c r="E947">
        <v>304.5</v>
      </c>
      <c r="F947" s="12">
        <v>0.32222222222222224</v>
      </c>
      <c r="G947">
        <v>2025</v>
      </c>
      <c r="H947">
        <v>4</v>
      </c>
      <c r="I947" t="s">
        <v>2865</v>
      </c>
      <c r="J947" t="s">
        <v>2846</v>
      </c>
      <c r="K947" t="s">
        <v>2847</v>
      </c>
      <c r="L947" t="s">
        <v>2843</v>
      </c>
      <c r="M947" t="s">
        <v>2837</v>
      </c>
      <c r="N947" t="s">
        <v>2849</v>
      </c>
    </row>
    <row r="948" spans="1:14">
      <c r="A948">
        <v>600</v>
      </c>
      <c r="B948">
        <v>60</v>
      </c>
      <c r="C948">
        <v>540</v>
      </c>
      <c r="D948">
        <v>366</v>
      </c>
      <c r="E948">
        <v>174</v>
      </c>
      <c r="F948" s="12">
        <v>0.32222222222222224</v>
      </c>
      <c r="G948">
        <v>2025</v>
      </c>
      <c r="H948">
        <v>2</v>
      </c>
      <c r="I948" t="s">
        <v>2861</v>
      </c>
      <c r="J948" t="s">
        <v>2851</v>
      </c>
      <c r="K948" t="s">
        <v>2860</v>
      </c>
      <c r="L948" t="s">
        <v>2856</v>
      </c>
      <c r="M948" t="s">
        <v>2839</v>
      </c>
      <c r="N948" t="s">
        <v>2849</v>
      </c>
    </row>
    <row r="949" spans="1:14">
      <c r="A949">
        <v>22</v>
      </c>
      <c r="B949">
        <v>1.1000000000000001</v>
      </c>
      <c r="C949">
        <v>20.9</v>
      </c>
      <c r="D949">
        <v>14.96</v>
      </c>
      <c r="E949">
        <v>5.9399999999999977</v>
      </c>
      <c r="F949" s="12">
        <v>0.28421052631578936</v>
      </c>
      <c r="G949">
        <v>2025</v>
      </c>
      <c r="H949">
        <v>8</v>
      </c>
      <c r="I949" t="s">
        <v>2863</v>
      </c>
      <c r="J949" t="s">
        <v>2841</v>
      </c>
      <c r="K949" t="s">
        <v>2847</v>
      </c>
      <c r="L949" t="s">
        <v>2856</v>
      </c>
      <c r="M949" t="s">
        <v>2839</v>
      </c>
      <c r="N949" t="s">
        <v>2844</v>
      </c>
    </row>
    <row r="950" spans="1:14">
      <c r="A950">
        <v>240</v>
      </c>
      <c r="B950">
        <v>0</v>
      </c>
      <c r="C950">
        <v>240</v>
      </c>
      <c r="D950">
        <v>187.2</v>
      </c>
      <c r="E950">
        <v>52.800000000000011</v>
      </c>
      <c r="F950" s="12">
        <v>0.22000000000000006</v>
      </c>
      <c r="G950">
        <v>2025</v>
      </c>
      <c r="H950">
        <v>8</v>
      </c>
      <c r="I950" t="s">
        <v>2863</v>
      </c>
      <c r="J950" t="s">
        <v>2841</v>
      </c>
      <c r="K950" t="s">
        <v>2860</v>
      </c>
      <c r="L950" t="s">
        <v>2843</v>
      </c>
      <c r="M950" t="s">
        <v>2837</v>
      </c>
      <c r="N950" t="s">
        <v>2844</v>
      </c>
    </row>
    <row r="951" spans="1:14">
      <c r="A951">
        <v>380</v>
      </c>
      <c r="B951">
        <v>0</v>
      </c>
      <c r="C951">
        <v>380</v>
      </c>
      <c r="D951">
        <v>296.39999999999998</v>
      </c>
      <c r="E951">
        <v>83.600000000000023</v>
      </c>
      <c r="F951" s="12">
        <v>0.22000000000000006</v>
      </c>
      <c r="G951">
        <v>2025</v>
      </c>
      <c r="H951">
        <v>6</v>
      </c>
      <c r="I951" t="s">
        <v>2864</v>
      </c>
      <c r="J951" t="s">
        <v>2846</v>
      </c>
      <c r="K951" t="s">
        <v>2860</v>
      </c>
      <c r="L951" t="s">
        <v>2856</v>
      </c>
      <c r="M951" t="s">
        <v>2837</v>
      </c>
      <c r="N951" t="s">
        <v>2844</v>
      </c>
    </row>
    <row r="952" spans="1:14">
      <c r="A952">
        <v>360</v>
      </c>
      <c r="B952">
        <v>28.8</v>
      </c>
      <c r="C952">
        <v>331.2</v>
      </c>
      <c r="D952">
        <v>219.60000000000002</v>
      </c>
      <c r="E952">
        <v>111.59999999999997</v>
      </c>
      <c r="F952" s="12">
        <v>0.33695652173913032</v>
      </c>
      <c r="G952">
        <v>2025</v>
      </c>
      <c r="H952">
        <v>12</v>
      </c>
      <c r="I952" t="s">
        <v>2858</v>
      </c>
      <c r="J952" t="s">
        <v>2855</v>
      </c>
      <c r="K952" t="s">
        <v>2852</v>
      </c>
      <c r="L952" t="s">
        <v>2843</v>
      </c>
      <c r="M952" t="s">
        <v>2837</v>
      </c>
      <c r="N952" t="s">
        <v>2844</v>
      </c>
    </row>
    <row r="953" spans="1:14">
      <c r="A953">
        <v>96</v>
      </c>
      <c r="B953">
        <v>1.92</v>
      </c>
      <c r="C953">
        <v>94.08</v>
      </c>
      <c r="D953">
        <v>74.88</v>
      </c>
      <c r="E953">
        <v>19.200000000000003</v>
      </c>
      <c r="F953" s="12">
        <v>0.20408163265306126</v>
      </c>
      <c r="G953">
        <v>2025</v>
      </c>
      <c r="H953">
        <v>2</v>
      </c>
      <c r="I953" t="s">
        <v>2861</v>
      </c>
      <c r="J953" t="s">
        <v>2851</v>
      </c>
      <c r="K953" t="s">
        <v>2847</v>
      </c>
      <c r="L953" t="s">
        <v>2843</v>
      </c>
      <c r="M953" t="s">
        <v>2837</v>
      </c>
      <c r="N953" t="s">
        <v>2844</v>
      </c>
    </row>
    <row r="954" spans="1:14">
      <c r="A954">
        <v>520</v>
      </c>
      <c r="B954">
        <v>0</v>
      </c>
      <c r="C954">
        <v>520</v>
      </c>
      <c r="D954">
        <v>379.6</v>
      </c>
      <c r="E954">
        <v>140.39999999999998</v>
      </c>
      <c r="F954" s="12">
        <v>0.26999999999999996</v>
      </c>
      <c r="G954">
        <v>2025</v>
      </c>
      <c r="H954">
        <v>1</v>
      </c>
      <c r="I954" t="s">
        <v>2850</v>
      </c>
      <c r="J954" t="s">
        <v>2851</v>
      </c>
      <c r="K954" t="s">
        <v>2842</v>
      </c>
      <c r="L954" t="s">
        <v>2843</v>
      </c>
      <c r="M954" t="s">
        <v>2837</v>
      </c>
      <c r="N954" t="s">
        <v>2849</v>
      </c>
    </row>
    <row r="955" spans="1:14">
      <c r="A955">
        <v>720</v>
      </c>
      <c r="B955">
        <v>57.6</v>
      </c>
      <c r="C955">
        <v>662.4</v>
      </c>
      <c r="D955">
        <v>439.20000000000005</v>
      </c>
      <c r="E955">
        <v>223.19999999999993</v>
      </c>
      <c r="F955" s="12">
        <v>0.33695652173913032</v>
      </c>
      <c r="G955">
        <v>2025</v>
      </c>
      <c r="H955">
        <v>8</v>
      </c>
      <c r="I955" t="s">
        <v>2863</v>
      </c>
      <c r="J955" t="s">
        <v>2841</v>
      </c>
      <c r="K955" t="s">
        <v>2860</v>
      </c>
      <c r="L955" t="s">
        <v>2856</v>
      </c>
      <c r="M955" t="s">
        <v>2839</v>
      </c>
      <c r="N955" t="s">
        <v>2849</v>
      </c>
    </row>
    <row r="956" spans="1:14">
      <c r="A956">
        <v>780</v>
      </c>
      <c r="B956">
        <v>39</v>
      </c>
      <c r="C956">
        <v>741</v>
      </c>
      <c r="D956">
        <v>468</v>
      </c>
      <c r="E956">
        <v>273</v>
      </c>
      <c r="F956" s="12">
        <v>0.36842105263157893</v>
      </c>
      <c r="G956">
        <v>2025</v>
      </c>
      <c r="H956">
        <v>3</v>
      </c>
      <c r="I956" t="s">
        <v>2859</v>
      </c>
      <c r="J956" t="s">
        <v>2851</v>
      </c>
      <c r="K956" t="s">
        <v>2852</v>
      </c>
      <c r="L956" t="s">
        <v>2843</v>
      </c>
      <c r="M956" t="s">
        <v>2837</v>
      </c>
      <c r="N956" t="s">
        <v>2849</v>
      </c>
    </row>
    <row r="957" spans="1:14">
      <c r="A957">
        <v>144</v>
      </c>
      <c r="B957">
        <v>11.52</v>
      </c>
      <c r="C957">
        <v>132.47999999999999</v>
      </c>
      <c r="D957">
        <v>112.32</v>
      </c>
      <c r="E957">
        <v>20.159999999999997</v>
      </c>
      <c r="F957" s="12">
        <v>0.15217391304347824</v>
      </c>
      <c r="G957">
        <v>2025</v>
      </c>
      <c r="H957">
        <v>10</v>
      </c>
      <c r="I957" t="s">
        <v>2854</v>
      </c>
      <c r="J957" t="s">
        <v>2855</v>
      </c>
      <c r="K957" t="s">
        <v>2847</v>
      </c>
      <c r="L957" t="s">
        <v>2856</v>
      </c>
      <c r="M957" t="s">
        <v>2839</v>
      </c>
      <c r="N957" t="s">
        <v>2844</v>
      </c>
    </row>
    <row r="958" spans="1:14">
      <c r="A958">
        <v>195</v>
      </c>
      <c r="B958">
        <v>0</v>
      </c>
      <c r="C958">
        <v>195</v>
      </c>
      <c r="D958">
        <v>142.35000000000002</v>
      </c>
      <c r="E958">
        <v>52.649999999999977</v>
      </c>
      <c r="F958" s="12">
        <v>0.26999999999999991</v>
      </c>
      <c r="G958">
        <v>2025</v>
      </c>
      <c r="H958">
        <v>5</v>
      </c>
      <c r="I958" t="s">
        <v>2845</v>
      </c>
      <c r="J958" t="s">
        <v>2846</v>
      </c>
      <c r="K958" t="s">
        <v>2847</v>
      </c>
      <c r="L958" t="s">
        <v>2848</v>
      </c>
      <c r="M958" t="s">
        <v>2838</v>
      </c>
      <c r="N958" t="s">
        <v>2844</v>
      </c>
    </row>
    <row r="959" spans="1:14">
      <c r="A959">
        <v>48</v>
      </c>
      <c r="B959">
        <v>2.4000000000000004</v>
      </c>
      <c r="C959">
        <v>45.6</v>
      </c>
      <c r="D959">
        <v>37.44</v>
      </c>
      <c r="E959">
        <v>8.1600000000000037</v>
      </c>
      <c r="F959" s="12">
        <v>0.17894736842105272</v>
      </c>
      <c r="G959">
        <v>2025</v>
      </c>
      <c r="H959">
        <v>4</v>
      </c>
      <c r="I959" t="s">
        <v>2865</v>
      </c>
      <c r="J959" t="s">
        <v>2846</v>
      </c>
      <c r="K959" t="s">
        <v>2852</v>
      </c>
      <c r="L959" t="s">
        <v>2843</v>
      </c>
      <c r="M959" t="s">
        <v>2837</v>
      </c>
      <c r="N959" t="s">
        <v>2844</v>
      </c>
    </row>
    <row r="960" spans="1:14">
      <c r="A960">
        <v>145</v>
      </c>
      <c r="B960">
        <v>7.25</v>
      </c>
      <c r="C960">
        <v>137.75</v>
      </c>
      <c r="D960">
        <v>97.15</v>
      </c>
      <c r="E960">
        <v>40.599999999999994</v>
      </c>
      <c r="F960" s="12">
        <v>0.29473684210526313</v>
      </c>
      <c r="G960">
        <v>2025</v>
      </c>
      <c r="H960">
        <v>12</v>
      </c>
      <c r="I960" t="s">
        <v>2858</v>
      </c>
      <c r="J960" t="s">
        <v>2855</v>
      </c>
      <c r="K960" t="s">
        <v>2852</v>
      </c>
      <c r="L960" t="s">
        <v>2848</v>
      </c>
      <c r="M960" t="s">
        <v>2838</v>
      </c>
      <c r="N960" t="s">
        <v>2844</v>
      </c>
    </row>
    <row r="961" spans="1:14">
      <c r="A961">
        <v>2340</v>
      </c>
      <c r="B961">
        <v>46.800000000000004</v>
      </c>
      <c r="C961">
        <v>2293.1999999999998</v>
      </c>
      <c r="D961">
        <v>1404</v>
      </c>
      <c r="E961">
        <v>889.19999999999982</v>
      </c>
      <c r="F961" s="12">
        <v>0.38775510204081626</v>
      </c>
      <c r="G961">
        <v>2025</v>
      </c>
      <c r="H961">
        <v>11</v>
      </c>
      <c r="I961" t="s">
        <v>2862</v>
      </c>
      <c r="J961" t="s">
        <v>2855</v>
      </c>
      <c r="K961" t="s">
        <v>2852</v>
      </c>
      <c r="L961" t="s">
        <v>2843</v>
      </c>
      <c r="M961" t="s">
        <v>2839</v>
      </c>
      <c r="N961" t="s">
        <v>2857</v>
      </c>
    </row>
    <row r="962" spans="1:14">
      <c r="A962">
        <v>840</v>
      </c>
      <c r="B962">
        <v>42</v>
      </c>
      <c r="C962">
        <v>798</v>
      </c>
      <c r="D962">
        <v>546</v>
      </c>
      <c r="E962">
        <v>252</v>
      </c>
      <c r="F962" s="12">
        <v>0.31578947368421051</v>
      </c>
      <c r="G962">
        <v>2025</v>
      </c>
      <c r="H962">
        <v>3</v>
      </c>
      <c r="I962" t="s">
        <v>2859</v>
      </c>
      <c r="J962" t="s">
        <v>2851</v>
      </c>
      <c r="K962" t="s">
        <v>2860</v>
      </c>
      <c r="L962" t="s">
        <v>2856</v>
      </c>
      <c r="M962" t="s">
        <v>2839</v>
      </c>
      <c r="N962" t="s">
        <v>2849</v>
      </c>
    </row>
    <row r="963" spans="1:14">
      <c r="A963">
        <v>720</v>
      </c>
      <c r="B963">
        <v>57.6</v>
      </c>
      <c r="C963">
        <v>662.4</v>
      </c>
      <c r="D963">
        <v>532.79999999999995</v>
      </c>
      <c r="E963">
        <v>129.60000000000002</v>
      </c>
      <c r="F963" s="12">
        <v>0.19565217391304351</v>
      </c>
      <c r="G963">
        <v>2025</v>
      </c>
      <c r="H963">
        <v>7</v>
      </c>
      <c r="I963" t="s">
        <v>2840</v>
      </c>
      <c r="J963" t="s">
        <v>2841</v>
      </c>
      <c r="K963" t="s">
        <v>2842</v>
      </c>
      <c r="L963" t="s">
        <v>2856</v>
      </c>
      <c r="M963" t="s">
        <v>2839</v>
      </c>
      <c r="N963" t="s">
        <v>2849</v>
      </c>
    </row>
    <row r="964" spans="1:14">
      <c r="A964">
        <v>240</v>
      </c>
      <c r="B964">
        <v>12</v>
      </c>
      <c r="C964">
        <v>228</v>
      </c>
      <c r="D964">
        <v>146.4</v>
      </c>
      <c r="E964">
        <v>81.599999999999994</v>
      </c>
      <c r="F964" s="12">
        <v>0.35789473684210527</v>
      </c>
      <c r="G964">
        <v>2025</v>
      </c>
      <c r="H964">
        <v>7</v>
      </c>
      <c r="I964" t="s">
        <v>2840</v>
      </c>
      <c r="J964" t="s">
        <v>2841</v>
      </c>
      <c r="K964" t="s">
        <v>2860</v>
      </c>
      <c r="L964" t="s">
        <v>2856</v>
      </c>
      <c r="M964" t="s">
        <v>2839</v>
      </c>
      <c r="N964" t="s">
        <v>2844</v>
      </c>
    </row>
    <row r="965" spans="1:14">
      <c r="A965">
        <v>600</v>
      </c>
      <c r="B965">
        <v>0</v>
      </c>
      <c r="C965">
        <v>600</v>
      </c>
      <c r="D965">
        <v>366</v>
      </c>
      <c r="E965">
        <v>234</v>
      </c>
      <c r="F965" s="12">
        <v>0.39</v>
      </c>
      <c r="G965">
        <v>2025</v>
      </c>
      <c r="H965">
        <v>5</v>
      </c>
      <c r="I965" t="s">
        <v>2845</v>
      </c>
      <c r="J965" t="s">
        <v>2846</v>
      </c>
      <c r="K965" t="s">
        <v>2842</v>
      </c>
      <c r="L965" t="s">
        <v>2856</v>
      </c>
      <c r="M965" t="s">
        <v>2837</v>
      </c>
      <c r="N965" t="s">
        <v>2849</v>
      </c>
    </row>
    <row r="966" spans="1:14">
      <c r="A966">
        <v>44</v>
      </c>
      <c r="B966">
        <v>2.2000000000000002</v>
      </c>
      <c r="C966">
        <v>41.8</v>
      </c>
      <c r="D966">
        <v>29.92</v>
      </c>
      <c r="E966">
        <v>11.879999999999995</v>
      </c>
      <c r="F966" s="12">
        <v>0.28421052631578936</v>
      </c>
      <c r="G966">
        <v>2025</v>
      </c>
      <c r="H966">
        <v>9</v>
      </c>
      <c r="I966" t="s">
        <v>2853</v>
      </c>
      <c r="J966" t="s">
        <v>2841</v>
      </c>
      <c r="K966" t="s">
        <v>2852</v>
      </c>
      <c r="L966" t="s">
        <v>2848</v>
      </c>
      <c r="M966" t="s">
        <v>2838</v>
      </c>
      <c r="N966" t="s">
        <v>2844</v>
      </c>
    </row>
    <row r="967" spans="1:14">
      <c r="A967">
        <v>285</v>
      </c>
      <c r="B967">
        <v>0</v>
      </c>
      <c r="C967">
        <v>285</v>
      </c>
      <c r="D967">
        <v>210.89999999999998</v>
      </c>
      <c r="E967">
        <v>74.100000000000023</v>
      </c>
      <c r="F967" s="12">
        <v>0.26000000000000006</v>
      </c>
      <c r="G967">
        <v>2025</v>
      </c>
      <c r="H967">
        <v>5</v>
      </c>
      <c r="I967" t="s">
        <v>2845</v>
      </c>
      <c r="J967" t="s">
        <v>2846</v>
      </c>
      <c r="K967" t="s">
        <v>2852</v>
      </c>
      <c r="L967" t="s">
        <v>2843</v>
      </c>
      <c r="M967" t="s">
        <v>2837</v>
      </c>
      <c r="N967" t="s">
        <v>2844</v>
      </c>
    </row>
    <row r="968" spans="1:14">
      <c r="A968">
        <v>870</v>
      </c>
      <c r="B968">
        <v>0</v>
      </c>
      <c r="C968">
        <v>870</v>
      </c>
      <c r="D968">
        <v>582.90000000000009</v>
      </c>
      <c r="E968">
        <v>287.09999999999991</v>
      </c>
      <c r="F968" s="12">
        <v>0.3299999999999999</v>
      </c>
      <c r="G968">
        <v>2025</v>
      </c>
      <c r="H968">
        <v>10</v>
      </c>
      <c r="I968" t="s">
        <v>2854</v>
      </c>
      <c r="J968" t="s">
        <v>2855</v>
      </c>
      <c r="K968" t="s">
        <v>2852</v>
      </c>
      <c r="L968" t="s">
        <v>2848</v>
      </c>
      <c r="M968" t="s">
        <v>2838</v>
      </c>
      <c r="N968" t="s">
        <v>2849</v>
      </c>
    </row>
    <row r="969" spans="1:14">
      <c r="A969">
        <v>220</v>
      </c>
      <c r="B969">
        <v>11</v>
      </c>
      <c r="C969">
        <v>209</v>
      </c>
      <c r="D969">
        <v>145.19999999999999</v>
      </c>
      <c r="E969">
        <v>63.800000000000011</v>
      </c>
      <c r="F969" s="12">
        <v>0.3052631578947369</v>
      </c>
      <c r="G969">
        <v>2025</v>
      </c>
      <c r="H969">
        <v>3</v>
      </c>
      <c r="I969" t="s">
        <v>2859</v>
      </c>
      <c r="J969" t="s">
        <v>2851</v>
      </c>
      <c r="K969" t="s">
        <v>2842</v>
      </c>
      <c r="L969" t="s">
        <v>2848</v>
      </c>
      <c r="M969" t="s">
        <v>2838</v>
      </c>
      <c r="N969" t="s">
        <v>2844</v>
      </c>
    </row>
    <row r="970" spans="1:14">
      <c r="A970">
        <v>480</v>
      </c>
      <c r="B970">
        <v>0</v>
      </c>
      <c r="C970">
        <v>480</v>
      </c>
      <c r="D970">
        <v>355.2</v>
      </c>
      <c r="E970">
        <v>124.80000000000001</v>
      </c>
      <c r="F970" s="12">
        <v>0.26</v>
      </c>
      <c r="G970">
        <v>2025</v>
      </c>
      <c r="H970">
        <v>12</v>
      </c>
      <c r="I970" t="s">
        <v>2858</v>
      </c>
      <c r="J970" t="s">
        <v>2855</v>
      </c>
      <c r="K970" t="s">
        <v>2852</v>
      </c>
      <c r="L970" t="s">
        <v>2848</v>
      </c>
      <c r="M970" t="s">
        <v>2838</v>
      </c>
      <c r="N970" t="s">
        <v>2844</v>
      </c>
    </row>
    <row r="971" spans="1:14">
      <c r="A971">
        <v>480</v>
      </c>
      <c r="B971">
        <v>0</v>
      </c>
      <c r="C971">
        <v>480</v>
      </c>
      <c r="D971">
        <v>292.8</v>
      </c>
      <c r="E971">
        <v>187.2</v>
      </c>
      <c r="F971" s="12">
        <v>0.38999999999999996</v>
      </c>
      <c r="G971">
        <v>2025</v>
      </c>
      <c r="H971">
        <v>9</v>
      </c>
      <c r="I971" t="s">
        <v>2853</v>
      </c>
      <c r="J971" t="s">
        <v>2841</v>
      </c>
      <c r="K971" t="s">
        <v>2847</v>
      </c>
      <c r="L971" t="s">
        <v>2843</v>
      </c>
      <c r="M971" t="s">
        <v>2837</v>
      </c>
      <c r="N971" t="s">
        <v>2844</v>
      </c>
    </row>
    <row r="972" spans="1:14">
      <c r="A972">
        <v>420</v>
      </c>
      <c r="B972">
        <v>42</v>
      </c>
      <c r="C972">
        <v>378</v>
      </c>
      <c r="D972">
        <v>273</v>
      </c>
      <c r="E972">
        <v>105</v>
      </c>
      <c r="F972" s="12">
        <v>0.27777777777777779</v>
      </c>
      <c r="G972">
        <v>2025</v>
      </c>
      <c r="H972">
        <v>1</v>
      </c>
      <c r="I972" t="s">
        <v>2850</v>
      </c>
      <c r="J972" t="s">
        <v>2851</v>
      </c>
      <c r="K972" t="s">
        <v>2860</v>
      </c>
      <c r="L972" t="s">
        <v>2848</v>
      </c>
      <c r="M972" t="s">
        <v>2838</v>
      </c>
      <c r="N972" t="s">
        <v>2844</v>
      </c>
    </row>
    <row r="973" spans="1:14">
      <c r="A973">
        <v>350</v>
      </c>
      <c r="B973">
        <v>0</v>
      </c>
      <c r="C973">
        <v>350</v>
      </c>
      <c r="D973">
        <v>213.5</v>
      </c>
      <c r="E973">
        <v>136.5</v>
      </c>
      <c r="F973" s="12">
        <v>0.39</v>
      </c>
      <c r="G973">
        <v>2025</v>
      </c>
      <c r="H973">
        <v>7</v>
      </c>
      <c r="I973" t="s">
        <v>2840</v>
      </c>
      <c r="J973" t="s">
        <v>2841</v>
      </c>
      <c r="K973" t="s">
        <v>2860</v>
      </c>
      <c r="L973" t="s">
        <v>2856</v>
      </c>
      <c r="M973" t="s">
        <v>2839</v>
      </c>
      <c r="N973" t="s">
        <v>2844</v>
      </c>
    </row>
    <row r="974" spans="1:14">
      <c r="A974">
        <v>520</v>
      </c>
      <c r="B974">
        <v>0</v>
      </c>
      <c r="C974">
        <v>520</v>
      </c>
      <c r="D974">
        <v>348.4</v>
      </c>
      <c r="E974">
        <v>171.60000000000002</v>
      </c>
      <c r="F974" s="12">
        <v>0.33000000000000007</v>
      </c>
      <c r="G974">
        <v>2025</v>
      </c>
      <c r="H974">
        <v>6</v>
      </c>
      <c r="I974" t="s">
        <v>2864</v>
      </c>
      <c r="J974" t="s">
        <v>2846</v>
      </c>
      <c r="K974" t="s">
        <v>2847</v>
      </c>
      <c r="L974" t="s">
        <v>2843</v>
      </c>
      <c r="M974" t="s">
        <v>2837</v>
      </c>
      <c r="N974" t="s">
        <v>2849</v>
      </c>
    </row>
    <row r="975" spans="1:14">
      <c r="A975">
        <v>65</v>
      </c>
      <c r="B975">
        <v>6.5</v>
      </c>
      <c r="C975">
        <v>58.5</v>
      </c>
      <c r="D975">
        <v>47.45</v>
      </c>
      <c r="E975">
        <v>11.049999999999997</v>
      </c>
      <c r="F975" s="12">
        <v>0.18888888888888883</v>
      </c>
      <c r="G975">
        <v>2025</v>
      </c>
      <c r="H975">
        <v>9</v>
      </c>
      <c r="I975" t="s">
        <v>2853</v>
      </c>
      <c r="J975" t="s">
        <v>2841</v>
      </c>
      <c r="K975" t="s">
        <v>2860</v>
      </c>
      <c r="L975" t="s">
        <v>2856</v>
      </c>
      <c r="M975" t="s">
        <v>2839</v>
      </c>
      <c r="N975" t="s">
        <v>2844</v>
      </c>
    </row>
    <row r="976" spans="1:14">
      <c r="A976">
        <v>3500</v>
      </c>
      <c r="B976">
        <v>0</v>
      </c>
      <c r="C976">
        <v>3500</v>
      </c>
      <c r="D976">
        <v>2135</v>
      </c>
      <c r="E976">
        <v>1365</v>
      </c>
      <c r="F976" s="12">
        <v>0.39</v>
      </c>
      <c r="G976">
        <v>2025</v>
      </c>
      <c r="H976">
        <v>5</v>
      </c>
      <c r="I976" t="s">
        <v>2845</v>
      </c>
      <c r="J976" t="s">
        <v>2846</v>
      </c>
      <c r="K976" t="s">
        <v>2847</v>
      </c>
      <c r="L976" t="s">
        <v>2848</v>
      </c>
      <c r="M976" t="s">
        <v>2838</v>
      </c>
      <c r="N976" t="s">
        <v>2857</v>
      </c>
    </row>
    <row r="977" spans="1:14">
      <c r="A977">
        <v>700</v>
      </c>
      <c r="B977">
        <v>35</v>
      </c>
      <c r="C977">
        <v>665</v>
      </c>
      <c r="D977">
        <v>427</v>
      </c>
      <c r="E977">
        <v>238</v>
      </c>
      <c r="F977" s="12">
        <v>0.35789473684210527</v>
      </c>
      <c r="G977">
        <v>2025</v>
      </c>
      <c r="H977">
        <v>8</v>
      </c>
      <c r="I977" t="s">
        <v>2863</v>
      </c>
      <c r="J977" t="s">
        <v>2841</v>
      </c>
      <c r="K977" t="s">
        <v>2847</v>
      </c>
      <c r="L977" t="s">
        <v>2856</v>
      </c>
      <c r="M977" t="s">
        <v>2839</v>
      </c>
      <c r="N977" t="s">
        <v>2849</v>
      </c>
    </row>
    <row r="978" spans="1:14">
      <c r="A978">
        <v>1680</v>
      </c>
      <c r="B978">
        <v>0</v>
      </c>
      <c r="C978">
        <v>1680</v>
      </c>
      <c r="D978">
        <v>1092</v>
      </c>
      <c r="E978">
        <v>588</v>
      </c>
      <c r="F978" s="12">
        <v>0.35</v>
      </c>
      <c r="G978">
        <v>2025</v>
      </c>
      <c r="H978">
        <v>11</v>
      </c>
      <c r="I978" t="s">
        <v>2862</v>
      </c>
      <c r="J978" t="s">
        <v>2855</v>
      </c>
      <c r="K978" t="s">
        <v>2842</v>
      </c>
      <c r="L978" t="s">
        <v>2856</v>
      </c>
      <c r="M978" t="s">
        <v>2839</v>
      </c>
      <c r="N978" t="s">
        <v>2857</v>
      </c>
    </row>
    <row r="979" spans="1:14">
      <c r="A979">
        <v>780</v>
      </c>
      <c r="B979">
        <v>78</v>
      </c>
      <c r="C979">
        <v>702</v>
      </c>
      <c r="D979">
        <v>569.40000000000009</v>
      </c>
      <c r="E979">
        <v>132.59999999999991</v>
      </c>
      <c r="F979" s="12">
        <v>0.18888888888888877</v>
      </c>
      <c r="G979">
        <v>2025</v>
      </c>
      <c r="H979">
        <v>9</v>
      </c>
      <c r="I979" t="s">
        <v>2853</v>
      </c>
      <c r="J979" t="s">
        <v>2841</v>
      </c>
      <c r="K979" t="s">
        <v>2842</v>
      </c>
      <c r="L979" t="s">
        <v>2848</v>
      </c>
      <c r="M979" t="s">
        <v>2839</v>
      </c>
      <c r="N979" t="s">
        <v>2849</v>
      </c>
    </row>
    <row r="980" spans="1:14">
      <c r="A980">
        <v>480</v>
      </c>
      <c r="B980">
        <v>0</v>
      </c>
      <c r="C980">
        <v>480</v>
      </c>
      <c r="D980">
        <v>355.2</v>
      </c>
      <c r="E980">
        <v>124.80000000000001</v>
      </c>
      <c r="F980" s="12">
        <v>0.26</v>
      </c>
      <c r="G980">
        <v>2025</v>
      </c>
      <c r="H980">
        <v>8</v>
      </c>
      <c r="I980" t="s">
        <v>2863</v>
      </c>
      <c r="J980" t="s">
        <v>2841</v>
      </c>
      <c r="K980" t="s">
        <v>2852</v>
      </c>
      <c r="L980" t="s">
        <v>2843</v>
      </c>
      <c r="M980" t="s">
        <v>2837</v>
      </c>
      <c r="N980" t="s">
        <v>2844</v>
      </c>
    </row>
    <row r="981" spans="1:14">
      <c r="A981">
        <v>48</v>
      </c>
      <c r="B981">
        <v>3.84</v>
      </c>
      <c r="C981">
        <v>44.16</v>
      </c>
      <c r="D981">
        <v>37.44</v>
      </c>
      <c r="E981">
        <v>6.7199999999999989</v>
      </c>
      <c r="F981" s="12">
        <v>0.15217391304347824</v>
      </c>
      <c r="G981">
        <v>2025</v>
      </c>
      <c r="H981">
        <v>3</v>
      </c>
      <c r="I981" t="s">
        <v>2859</v>
      </c>
      <c r="J981" t="s">
        <v>2851</v>
      </c>
      <c r="K981" t="s">
        <v>2847</v>
      </c>
      <c r="L981" t="s">
        <v>2848</v>
      </c>
      <c r="M981" t="s">
        <v>2838</v>
      </c>
      <c r="N981" t="s">
        <v>2844</v>
      </c>
    </row>
    <row r="982" spans="1:14">
      <c r="A982">
        <v>960</v>
      </c>
      <c r="B982">
        <v>96</v>
      </c>
      <c r="C982">
        <v>864</v>
      </c>
      <c r="D982">
        <v>710.4</v>
      </c>
      <c r="E982">
        <v>153.60000000000002</v>
      </c>
      <c r="F982" s="12">
        <v>0.17777777777777781</v>
      </c>
      <c r="G982">
        <v>2025</v>
      </c>
      <c r="H982">
        <v>6</v>
      </c>
      <c r="I982" t="s">
        <v>2864</v>
      </c>
      <c r="J982" t="s">
        <v>2846</v>
      </c>
      <c r="K982" t="s">
        <v>2847</v>
      </c>
      <c r="L982" t="s">
        <v>2848</v>
      </c>
      <c r="M982" t="s">
        <v>2838</v>
      </c>
      <c r="N982" t="s">
        <v>2849</v>
      </c>
    </row>
    <row r="983" spans="1:14">
      <c r="A983">
        <v>190</v>
      </c>
      <c r="B983">
        <v>0</v>
      </c>
      <c r="C983">
        <v>190</v>
      </c>
      <c r="D983">
        <v>140.6</v>
      </c>
      <c r="E983">
        <v>49.400000000000006</v>
      </c>
      <c r="F983" s="12">
        <v>0.26</v>
      </c>
      <c r="G983">
        <v>2025</v>
      </c>
      <c r="H983">
        <v>12</v>
      </c>
      <c r="I983" t="s">
        <v>2858</v>
      </c>
      <c r="J983" t="s">
        <v>2855</v>
      </c>
      <c r="K983" t="s">
        <v>2852</v>
      </c>
      <c r="L983" t="s">
        <v>2848</v>
      </c>
      <c r="M983" t="s">
        <v>2838</v>
      </c>
      <c r="N983" t="s">
        <v>2844</v>
      </c>
    </row>
    <row r="984" spans="1:14">
      <c r="A984">
        <v>700</v>
      </c>
      <c r="B984">
        <v>0</v>
      </c>
      <c r="C984">
        <v>700</v>
      </c>
      <c r="D984">
        <v>427</v>
      </c>
      <c r="E984">
        <v>273</v>
      </c>
      <c r="F984" s="12">
        <v>0.39</v>
      </c>
      <c r="G984">
        <v>2025</v>
      </c>
      <c r="H984">
        <v>6</v>
      </c>
      <c r="I984" t="s">
        <v>2864</v>
      </c>
      <c r="J984" t="s">
        <v>2846</v>
      </c>
      <c r="K984" t="s">
        <v>2852</v>
      </c>
      <c r="L984" t="s">
        <v>2843</v>
      </c>
      <c r="M984" t="s">
        <v>2837</v>
      </c>
      <c r="N984" t="s">
        <v>2849</v>
      </c>
    </row>
    <row r="985" spans="1:14">
      <c r="A985">
        <v>1300</v>
      </c>
      <c r="B985">
        <v>0</v>
      </c>
      <c r="C985">
        <v>1300</v>
      </c>
      <c r="D985">
        <v>949</v>
      </c>
      <c r="E985">
        <v>351</v>
      </c>
      <c r="F985" s="12">
        <v>0.27</v>
      </c>
      <c r="G985">
        <v>2025</v>
      </c>
      <c r="H985">
        <v>6</v>
      </c>
      <c r="I985" t="s">
        <v>2864</v>
      </c>
      <c r="J985" t="s">
        <v>2846</v>
      </c>
      <c r="K985" t="s">
        <v>2860</v>
      </c>
      <c r="L985" t="s">
        <v>2843</v>
      </c>
      <c r="M985" t="s">
        <v>2837</v>
      </c>
      <c r="N985" t="s">
        <v>2857</v>
      </c>
    </row>
    <row r="986" spans="1:14">
      <c r="A986">
        <v>1260</v>
      </c>
      <c r="B986">
        <v>25.2</v>
      </c>
      <c r="C986">
        <v>1234.8</v>
      </c>
      <c r="D986">
        <v>819</v>
      </c>
      <c r="E986">
        <v>415.79999999999995</v>
      </c>
      <c r="F986" s="12">
        <v>0.33673469387755101</v>
      </c>
      <c r="G986">
        <v>2025</v>
      </c>
      <c r="H986">
        <v>4</v>
      </c>
      <c r="I986" t="s">
        <v>2865</v>
      </c>
      <c r="J986" t="s">
        <v>2846</v>
      </c>
      <c r="K986" t="s">
        <v>2847</v>
      </c>
      <c r="L986" t="s">
        <v>2856</v>
      </c>
      <c r="M986" t="s">
        <v>2839</v>
      </c>
      <c r="N986" t="s">
        <v>2857</v>
      </c>
    </row>
    <row r="987" spans="1:14">
      <c r="A987">
        <v>285</v>
      </c>
      <c r="B987">
        <v>5.7</v>
      </c>
      <c r="C987">
        <v>279.3</v>
      </c>
      <c r="D987">
        <v>210.89999999999998</v>
      </c>
      <c r="E987">
        <v>68.400000000000034</v>
      </c>
      <c r="F987" s="12">
        <v>0.24489795918367357</v>
      </c>
      <c r="G987">
        <v>2025</v>
      </c>
      <c r="H987">
        <v>9</v>
      </c>
      <c r="I987" t="s">
        <v>2853</v>
      </c>
      <c r="J987" t="s">
        <v>2841</v>
      </c>
      <c r="K987" t="s">
        <v>2852</v>
      </c>
      <c r="L987" t="s">
        <v>2848</v>
      </c>
      <c r="M987" t="s">
        <v>2838</v>
      </c>
      <c r="N987" t="s">
        <v>2844</v>
      </c>
    </row>
    <row r="988" spans="1:14">
      <c r="A988">
        <v>5200</v>
      </c>
      <c r="B988">
        <v>0</v>
      </c>
      <c r="C988">
        <v>5200</v>
      </c>
      <c r="D988">
        <v>3796</v>
      </c>
      <c r="E988">
        <v>1404</v>
      </c>
      <c r="F988" s="12">
        <v>0.27</v>
      </c>
      <c r="G988">
        <v>2025</v>
      </c>
      <c r="H988">
        <v>12</v>
      </c>
      <c r="I988" t="s">
        <v>2858</v>
      </c>
      <c r="J988" t="s">
        <v>2855</v>
      </c>
      <c r="K988" t="s">
        <v>2860</v>
      </c>
      <c r="L988" t="s">
        <v>2843</v>
      </c>
      <c r="M988" t="s">
        <v>2837</v>
      </c>
      <c r="N988" t="s">
        <v>2857</v>
      </c>
    </row>
    <row r="989" spans="1:14">
      <c r="A989">
        <v>580</v>
      </c>
      <c r="B989">
        <v>0</v>
      </c>
      <c r="C989">
        <v>580</v>
      </c>
      <c r="D989">
        <v>388.6</v>
      </c>
      <c r="E989">
        <v>191.39999999999998</v>
      </c>
      <c r="F989" s="12">
        <v>0.32999999999999996</v>
      </c>
      <c r="G989">
        <v>2025</v>
      </c>
      <c r="H989">
        <v>4</v>
      </c>
      <c r="I989" t="s">
        <v>2865</v>
      </c>
      <c r="J989" t="s">
        <v>2846</v>
      </c>
      <c r="K989" t="s">
        <v>2860</v>
      </c>
      <c r="L989" t="s">
        <v>2843</v>
      </c>
      <c r="M989" t="s">
        <v>2837</v>
      </c>
      <c r="N989" t="s">
        <v>2849</v>
      </c>
    </row>
    <row r="990" spans="1:14">
      <c r="A990">
        <v>780</v>
      </c>
      <c r="B990">
        <v>78</v>
      </c>
      <c r="C990">
        <v>702</v>
      </c>
      <c r="D990">
        <v>468</v>
      </c>
      <c r="E990">
        <v>234</v>
      </c>
      <c r="F990" s="12">
        <v>0.33333333333333331</v>
      </c>
      <c r="G990">
        <v>2025</v>
      </c>
      <c r="H990">
        <v>11</v>
      </c>
      <c r="I990" t="s">
        <v>2862</v>
      </c>
      <c r="J990" t="s">
        <v>2855</v>
      </c>
      <c r="K990" t="s">
        <v>2860</v>
      </c>
      <c r="L990" t="s">
        <v>2848</v>
      </c>
      <c r="M990" t="s">
        <v>2838</v>
      </c>
      <c r="N990" t="s">
        <v>2849</v>
      </c>
    </row>
    <row r="991" spans="1:14">
      <c r="A991">
        <v>1750</v>
      </c>
      <c r="B991">
        <v>87.5</v>
      </c>
      <c r="C991">
        <v>1662.5</v>
      </c>
      <c r="D991">
        <v>1067.5</v>
      </c>
      <c r="E991">
        <v>595</v>
      </c>
      <c r="F991" s="12">
        <v>0.35789473684210527</v>
      </c>
      <c r="G991">
        <v>2025</v>
      </c>
      <c r="H991">
        <v>1</v>
      </c>
      <c r="I991" t="s">
        <v>2850</v>
      </c>
      <c r="J991" t="s">
        <v>2851</v>
      </c>
      <c r="K991" t="s">
        <v>2860</v>
      </c>
      <c r="L991" t="s">
        <v>2856</v>
      </c>
      <c r="M991" t="s">
        <v>2838</v>
      </c>
      <c r="N991" t="s">
        <v>2857</v>
      </c>
    </row>
    <row r="992" spans="1:14">
      <c r="A992">
        <v>380</v>
      </c>
      <c r="B992">
        <v>0</v>
      </c>
      <c r="C992">
        <v>380</v>
      </c>
      <c r="D992">
        <v>296.39999999999998</v>
      </c>
      <c r="E992">
        <v>83.600000000000023</v>
      </c>
      <c r="F992" s="12">
        <v>0.22000000000000006</v>
      </c>
      <c r="G992">
        <v>2025</v>
      </c>
      <c r="H992">
        <v>10</v>
      </c>
      <c r="I992" t="s">
        <v>2854</v>
      </c>
      <c r="J992" t="s">
        <v>2855</v>
      </c>
      <c r="K992" t="s">
        <v>2852</v>
      </c>
      <c r="L992" t="s">
        <v>2848</v>
      </c>
      <c r="M992" t="s">
        <v>2838</v>
      </c>
      <c r="N992" t="s">
        <v>2844</v>
      </c>
    </row>
    <row r="993" spans="1:14">
      <c r="A993">
        <v>3900</v>
      </c>
      <c r="B993">
        <v>78</v>
      </c>
      <c r="C993">
        <v>3822</v>
      </c>
      <c r="D993">
        <v>2340</v>
      </c>
      <c r="E993">
        <v>1482</v>
      </c>
      <c r="F993" s="12">
        <v>0.38775510204081631</v>
      </c>
      <c r="G993">
        <v>2025</v>
      </c>
      <c r="H993">
        <v>4</v>
      </c>
      <c r="I993" t="s">
        <v>2865</v>
      </c>
      <c r="J993" t="s">
        <v>2846</v>
      </c>
      <c r="K993" t="s">
        <v>2860</v>
      </c>
      <c r="L993" t="s">
        <v>2843</v>
      </c>
      <c r="M993" t="s">
        <v>2837</v>
      </c>
      <c r="N993" t="s">
        <v>2857</v>
      </c>
    </row>
    <row r="994" spans="1:14">
      <c r="A994">
        <v>22</v>
      </c>
      <c r="B994">
        <v>1.1000000000000001</v>
      </c>
      <c r="C994">
        <v>20.9</v>
      </c>
      <c r="D994">
        <v>14.96</v>
      </c>
      <c r="E994">
        <v>5.9399999999999977</v>
      </c>
      <c r="F994" s="12">
        <v>0.28421052631578936</v>
      </c>
      <c r="G994">
        <v>2025</v>
      </c>
      <c r="H994">
        <v>7</v>
      </c>
      <c r="I994" t="s">
        <v>2840</v>
      </c>
      <c r="J994" t="s">
        <v>2841</v>
      </c>
      <c r="K994" t="s">
        <v>2852</v>
      </c>
      <c r="L994" t="s">
        <v>2848</v>
      </c>
      <c r="M994" t="s">
        <v>2838</v>
      </c>
      <c r="N994" t="s">
        <v>2844</v>
      </c>
    </row>
    <row r="995" spans="1:14">
      <c r="A995">
        <v>144</v>
      </c>
      <c r="B995">
        <v>11.52</v>
      </c>
      <c r="C995">
        <v>132.47999999999999</v>
      </c>
      <c r="D995">
        <v>112.32</v>
      </c>
      <c r="E995">
        <v>20.159999999999997</v>
      </c>
      <c r="F995" s="12">
        <v>0.15217391304347824</v>
      </c>
      <c r="G995">
        <v>2025</v>
      </c>
      <c r="H995">
        <v>12</v>
      </c>
      <c r="I995" t="s">
        <v>2858</v>
      </c>
      <c r="J995" t="s">
        <v>2855</v>
      </c>
      <c r="K995" t="s">
        <v>2852</v>
      </c>
      <c r="L995" t="s">
        <v>2856</v>
      </c>
      <c r="M995" t="s">
        <v>2839</v>
      </c>
      <c r="N995" t="s">
        <v>2844</v>
      </c>
    </row>
    <row r="996" spans="1:14">
      <c r="A996">
        <v>48</v>
      </c>
      <c r="B996">
        <v>0.96</v>
      </c>
      <c r="C996">
        <v>47.04</v>
      </c>
      <c r="D996">
        <v>37.44</v>
      </c>
      <c r="E996">
        <v>9.6000000000000014</v>
      </c>
      <c r="F996" s="12">
        <v>0.20408163265306126</v>
      </c>
      <c r="G996">
        <v>2025</v>
      </c>
      <c r="H996">
        <v>8</v>
      </c>
      <c r="I996" t="s">
        <v>2863</v>
      </c>
      <c r="J996" t="s">
        <v>2841</v>
      </c>
      <c r="K996" t="s">
        <v>2842</v>
      </c>
      <c r="L996" t="s">
        <v>2856</v>
      </c>
      <c r="M996" t="s">
        <v>2839</v>
      </c>
      <c r="N996" t="s">
        <v>2844</v>
      </c>
    </row>
    <row r="997" spans="1:14">
      <c r="A997">
        <v>190</v>
      </c>
      <c r="B997">
        <v>9.5</v>
      </c>
      <c r="C997">
        <v>180.5</v>
      </c>
      <c r="D997">
        <v>148.19999999999999</v>
      </c>
      <c r="E997">
        <v>32.300000000000011</v>
      </c>
      <c r="F997" s="12">
        <v>0.17894736842105269</v>
      </c>
      <c r="G997">
        <v>2025</v>
      </c>
      <c r="H997">
        <v>4</v>
      </c>
      <c r="I997" t="s">
        <v>2865</v>
      </c>
      <c r="J997" t="s">
        <v>2846</v>
      </c>
      <c r="K997" t="s">
        <v>2842</v>
      </c>
      <c r="L997" t="s">
        <v>2848</v>
      </c>
      <c r="M997" t="s">
        <v>2838</v>
      </c>
      <c r="N997" t="s">
        <v>2844</v>
      </c>
    </row>
    <row r="998" spans="1:14">
      <c r="A998">
        <v>1560</v>
      </c>
      <c r="B998">
        <v>78</v>
      </c>
      <c r="C998">
        <v>1482</v>
      </c>
      <c r="D998">
        <v>1045.1999999999998</v>
      </c>
      <c r="E998">
        <v>436.80000000000018</v>
      </c>
      <c r="F998" s="12">
        <v>0.2947368421052633</v>
      </c>
      <c r="G998">
        <v>2025</v>
      </c>
      <c r="H998">
        <v>6</v>
      </c>
      <c r="I998" t="s">
        <v>2864</v>
      </c>
      <c r="J998" t="s">
        <v>2846</v>
      </c>
      <c r="K998" t="s">
        <v>2852</v>
      </c>
      <c r="L998" t="s">
        <v>2843</v>
      </c>
      <c r="M998" t="s">
        <v>2837</v>
      </c>
      <c r="N998" t="s">
        <v>2857</v>
      </c>
    </row>
    <row r="999" spans="1:14">
      <c r="A999">
        <v>520</v>
      </c>
      <c r="B999">
        <v>0</v>
      </c>
      <c r="C999">
        <v>520</v>
      </c>
      <c r="D999">
        <v>379.6</v>
      </c>
      <c r="E999">
        <v>140.39999999999998</v>
      </c>
      <c r="F999" s="12">
        <v>0.26999999999999996</v>
      </c>
      <c r="G999">
        <v>2025</v>
      </c>
      <c r="H999">
        <v>3</v>
      </c>
      <c r="I999" t="s">
        <v>2859</v>
      </c>
      <c r="J999" t="s">
        <v>2851</v>
      </c>
      <c r="K999" t="s">
        <v>2852</v>
      </c>
      <c r="L999" t="s">
        <v>2856</v>
      </c>
      <c r="M999" t="s">
        <v>2839</v>
      </c>
      <c r="N999" t="s">
        <v>2849</v>
      </c>
    </row>
    <row r="1000" spans="1:14">
      <c r="A1000">
        <v>480</v>
      </c>
      <c r="B1000">
        <v>9.6</v>
      </c>
      <c r="C1000">
        <v>470.4</v>
      </c>
      <c r="D1000">
        <v>355.2</v>
      </c>
      <c r="E1000">
        <v>115.19999999999999</v>
      </c>
      <c r="F1000" s="12">
        <v>0.24489795918367346</v>
      </c>
      <c r="G1000">
        <v>2025</v>
      </c>
      <c r="H1000">
        <v>5</v>
      </c>
      <c r="I1000" t="s">
        <v>2845</v>
      </c>
      <c r="J1000" t="s">
        <v>2846</v>
      </c>
      <c r="K1000" t="s">
        <v>2852</v>
      </c>
      <c r="L1000" t="s">
        <v>2848</v>
      </c>
      <c r="M1000" t="s">
        <v>2838</v>
      </c>
      <c r="N1000" t="s">
        <v>2844</v>
      </c>
    </row>
    <row r="1001" spans="1:14">
      <c r="A1001">
        <v>70</v>
      </c>
      <c r="B1001">
        <v>0</v>
      </c>
      <c r="C1001">
        <v>70</v>
      </c>
      <c r="D1001">
        <v>48.3</v>
      </c>
      <c r="E1001">
        <v>21.700000000000003</v>
      </c>
      <c r="F1001" s="12">
        <v>0.31000000000000005</v>
      </c>
      <c r="G1001">
        <v>2025</v>
      </c>
      <c r="H1001">
        <v>7</v>
      </c>
      <c r="I1001" t="s">
        <v>2840</v>
      </c>
      <c r="J1001" t="s">
        <v>2841</v>
      </c>
      <c r="K1001" t="s">
        <v>2842</v>
      </c>
      <c r="L1001" t="s">
        <v>2856</v>
      </c>
      <c r="M1001" t="s">
        <v>2839</v>
      </c>
      <c r="N1001" t="s">
        <v>2844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TDC</vt:lpstr>
      <vt:lpstr>BASE_DONNEES</vt:lpstr>
      <vt:lpstr>CLIENTS</vt:lpstr>
      <vt:lpstr>BDD Bruit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PIERRE N</dc:creator>
  <cp:lastModifiedBy>ELI BASISA GRAND BOOSTER</cp:lastModifiedBy>
  <dcterms:created xsi:type="dcterms:W3CDTF">2026-10-05T10:59:47Z</dcterms:created>
  <dcterms:modified xsi:type="dcterms:W3CDTF">2026-10-07T15:19:04Z</dcterms:modified>
</cp:coreProperties>
</file>